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Employee Master" sheetId="3" state="visible" r:id="rId5"/>
    <sheet name="Employee Card" sheetId="4" state="visible" r:id="rId6"/>
    <sheet name="Settings" sheetId="5" state="visible" r:id="rId7"/>
    <sheet name="Lists" sheetId="6" state="visible" r:id="rId8"/>
  </sheets>
  <definedNames>
    <definedName function="false" hidden="true" localSheetId="2" name="_xlnm._FilterDatabase" vbProcedure="false">'Employee Master'!$A$5:$AX$505</definedName>
    <definedName function="false" hidden="false" name="AsOf" vbProcedure="false">Settings!$C$6</definedName>
    <definedName function="false" hidden="false" name="CurFY" vbProcedure="false">Settings!$C$8</definedName>
    <definedName function="false" hidden="false" name="LvAsOf" vbProcedure="false">Settings!$C$9</definedName>
    <definedName function="false" hidden="false" name="LvYear" vbProcedure="false">Settings!$C$7</definedName>
    <definedName function="false" hidden="false" name="M_aadhaar" vbProcedure="false">'Employee Master'!$T$6:$T$505</definedName>
    <definedName function="false" hidden="false" name="M_acct" vbProcedure="false">'Employee Master'!$AG$6:$AG$505</definedName>
    <definedName function="false" hidden="false" name="M_addr0" vbProcedure="false">'Employee Master'!$Z$6:$Z$505</definedName>
    <definedName function="false" hidden="false" name="M_addr1" vbProcedure="false">'Employee Master'!$AA$6:$AA$505</definedName>
    <definedName function="false" hidden="false" name="M_addr2" vbProcedure="false">'Employee Master'!$AB$6:$AB$505</definedName>
    <definedName function="false" hidden="false" name="M_age" vbProcedure="false">'Employee Master'!$R$6:$R$505</definedName>
    <definedName function="false" hidden="false" name="M_an" vbProcedure="false">'Employee Master'!$AT$6:$AT$505</definedName>
    <definedName function="false" hidden="false" name="M_anrank" vbProcedure="false">'Employee Master'!$AX$6:$AX$505</definedName>
    <definedName function="false" hidden="false" name="M_bank" vbProcedure="false">'Employee Master'!$AF$6:$AF$505</definedName>
    <definedName function="false" hidden="false" name="M_bd" vbProcedure="false">'Employee Master'!$AS$6:$AS$505</definedName>
    <definedName function="false" hidden="false" name="M_bdrank" vbProcedure="false">'Employee Master'!$AW$6:$AW$505</definedName>
    <definedName function="false" hidden="false" name="M_blood" vbProcedure="false">'Employee Master'!$S$6:$S$505</definedName>
    <definedName function="false" hidden="false" name="M_branch" vbProcedure="false">'Employee Master'!$AI$6:$AI$505</definedName>
    <definedName function="false" hidden="false" name="M_cemail" vbProcedure="false">'Employee Master'!$Y$6:$Y$505</definedName>
    <definedName function="false" hidden="false" name="M_city" vbProcedure="false">'Employee Master'!$AC$6:$AC$505</definedName>
    <definedName function="false" hidden="false" name="M_dept" vbProcedure="false">'Employee Master'!$F$6:$F$505</definedName>
    <definedName function="false" hidden="false" name="M_dob" vbProcedure="false">'Employee Master'!$Q$6:$Q$505</definedName>
    <definedName function="false" hidden="false" name="M_doj" vbProcedure="false">'Employee Master'!$I$6:$I$505</definedName>
    <definedName function="false" hidden="false" name="M_emerg" vbProcedure="false">'Employee Master'!$W$6:$W$505</definedName>
    <definedName function="false" hidden="false" name="M_emp" vbProcedure="false">'Employee Master'!$B$6:$B$505</definedName>
    <definedName function="false" hidden="false" name="M_esic" vbProcedure="false">'Employee Master'!$AJ$6:$AJ$505</definedName>
    <definedName function="false" hidden="false" name="M_exit" vbProcedure="false">'Employee Master'!$J$6:$J$505</definedName>
    <definedName function="false" hidden="false" name="M_exitreason" vbProcedure="false">'Employee Master'!$K$6:$K$505</definedName>
    <definedName function="false" hidden="false" name="M_fname" vbProcedure="false">'Employee Master'!$N$6:$N$505</definedName>
    <definedName function="false" hidden="false" name="M_fyin" vbProcedure="false">'Employee Master'!$AQ$6:$AQ$505</definedName>
    <definedName function="false" hidden="false" name="M_fyout" vbProcedure="false">'Employee Master'!$AR$6:$AR$505</definedName>
    <definedName function="false" hidden="false" name="M_hike" vbProcedure="false">'Employee Master'!$AP$6:$AP$505</definedName>
    <definedName function="false" hidden="false" name="M_ifsc" vbProcedure="false">'Employee Master'!$AH$6:$AH$505</definedName>
    <definedName function="false" hidden="false" name="M_issues" vbProcedure="false">'Employee Master'!$AU$6:$AU$505</definedName>
    <definedName function="false" hidden="false" name="M_loc" vbProcedure="false">'Employee Master'!$G$6:$G$505</definedName>
    <definedName function="false" hidden="false" name="M_mar" vbProcedure="false">'Employee Master'!$P$6:$P$505</definedName>
    <definedName function="false" hidden="false" name="M_mobile" vbProcedure="false">'Employee Master'!$V$6:$V$505</definedName>
    <definedName function="false" hidden="false" name="M_name" vbProcedure="false">'Employee Master'!$C$6:$C$505</definedName>
    <definedName function="false" hidden="false" name="M_pan" vbProcedure="false">'Employee Master'!$U$6:$U$505</definedName>
    <definedName function="false" hidden="false" name="M_pemail" vbProcedure="false">'Employee Master'!$X$6:$X$505</definedName>
    <definedName function="false" hidden="false" name="M_pf" vbProcedure="false">'Employee Master'!$AL$6:$AL$505</definedName>
    <definedName function="false" hidden="false" name="M_pin" vbProcedure="false">'Employee Master'!$AE$6:$AE$505</definedName>
    <definedName function="false" hidden="false" name="M_pos" vbProcedure="false">'Employee Master'!$E$6:$E$505</definedName>
    <definedName function="false" hidden="false" name="M_prevsal" vbProcedure="false">'Employee Master'!$AM$6:$AM$505</definedName>
    <definedName function="false" hidden="false" name="M_report" vbProcedure="false">'Employee Master'!$M$6:$M$505</definedName>
    <definedName function="false" hidden="false" name="M_revdate" vbProcedure="false">'Employee Master'!$AO$6:$AO$505</definedName>
    <definedName function="false" hidden="false" name="M_sal" vbProcedure="false">'Employee Master'!$AN$6:$AN$505</definedName>
    <definedName function="false" hidden="false" name="M_sex" vbProcedure="false">'Employee Master'!$O$6:$O$505</definedName>
    <definedName function="false" hidden="false" name="M_state" vbProcedure="false">'Employee Master'!$AD$6:$AD$505</definedName>
    <definedName function="false" hidden="false" name="M_status" vbProcedure="false">'Employee Master'!$D$6:$D$505</definedName>
    <definedName function="false" hidden="false" name="M_ten" vbProcedure="false">'Employee Master'!$L$6:$L$505</definedName>
    <definedName function="false" hidden="false" name="M_type" vbProcedure="false">'Employee Master'!$H$6:$H$505</definedName>
    <definedName function="false" hidden="false" name="M_uan" vbProcedure="false">'Employee Master'!$AK$6:$AK$505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<sst xmlns="http://schemas.openxmlformats.org/spreadsheetml/2006/main" count="421" uniqueCount="348">
  <si>
    <t xml:space="preserve">EMPLOYEE MASTER TEMPLATE - START HERE</t>
  </si>
  <si>
    <t xml:space="preserve">Employee records with a dashboard and a printable employee card. Empty and ready to fill - no employee data inside.</t>
  </si>
  <si>
    <t xml:space="preserve">SHEETS</t>
  </si>
  <si>
    <t xml:space="preserve">Dashboard</t>
  </si>
  <si>
    <t xml:space="preserve">Live numbers: headcount, payroll, department and location tables, gender / age / tenure mix, birthdays, work anniversaries and data-quality counts. Nothing to type.</t>
  </si>
  <si>
    <t xml:space="preserve">Employee Master</t>
  </si>
  <si>
    <t xml:space="preserve">One row per employee (500 rows ready): job, personal, contact, address, bank &amp; statutory and salary details.</t>
  </si>
  <si>
    <t xml:space="preserve">Employee Card</t>
  </si>
  <si>
    <t xml:space="preserve">Pick an Emp Code to get a one-page printable profile.</t>
  </si>
  <si>
    <t xml:space="preserve">Settings</t>
  </si>
  <si>
    <t xml:space="preserve">Company name, report date and the confirmation period (days) that decides Permanent vs Probation.</t>
  </si>
  <si>
    <t xml:space="preserve">Lists</t>
  </si>
  <si>
    <t xml:space="preserve">Dropdown options (Department, Location, Designation, Bank, State ...). Overwrite the examples with your own.</t>
  </si>
  <si>
    <t xml:space="preserve">HOW TO USE</t>
  </si>
  <si>
    <t xml:space="preserve">1. Settings</t>
  </si>
  <si>
    <t xml:space="preserve">Type your Company name.</t>
  </si>
  <si>
    <t xml:space="preserve">2. Lists</t>
  </si>
  <si>
    <t xml:space="preserve">Replace the example Departments, Locations and Designations with your own.</t>
  </si>
  <si>
    <t xml:space="preserve">3. Add employees</t>
  </si>
  <si>
    <t xml:space="preserve">Employee Master &gt; first blank row from row 6. Paste values only (Paste Special &gt; Values) to keep dropdowns and formulas.</t>
  </si>
  <si>
    <t xml:space="preserve">Employment Type</t>
  </si>
  <si>
    <t xml:space="preserve">Automatic: Permanent once an employee is 90 days or more past the Date of Joining, otherwise Probation (change the days in Settings).</t>
  </si>
  <si>
    <t xml:space="preserve">Record an exit</t>
  </si>
  <si>
    <t xml:space="preserve">Type the Exit Date (and Exit Reason). Status becomes Exited and the row turns grey.</t>
  </si>
  <si>
    <t xml:space="preserve">Salary revision</t>
  </si>
  <si>
    <t xml:space="preserve">Move the old amount to Previous Salary, enter the new amount in Current Salary and the Last Revision Date. Hike % is automatic.</t>
  </si>
  <si>
    <t xml:space="preserve">Data quality</t>
  </si>
  <si>
    <t xml:space="preserve">Pink cells = active employee with missing Aadhaar, PAN, mobile, bank account or IFSC. "Data Issue Details" explains each row.</t>
  </si>
  <si>
    <t xml:space="preserve">COLOUR GUIDE</t>
  </si>
  <si>
    <t xml:space="preserve">Yellow cell, blue text</t>
  </si>
  <si>
    <t xml:space="preserve">Input cell on Settings / Dashboard / Card - type here.</t>
  </si>
  <si>
    <t xml:space="preserve">Blue text, white cell</t>
  </si>
  <si>
    <t xml:space="preserve">Input column in Employee Master - type here.</t>
  </si>
  <si>
    <t xml:space="preserve">Blue-grey cell</t>
  </si>
  <si>
    <t xml:space="preserve">Calculated automatically - do not type over it.</t>
  </si>
  <si>
    <t xml:space="preserve">Pink / amber cell</t>
  </si>
  <si>
    <t xml:space="preserve">Missing or invalid details (see Data Issue Details).</t>
  </si>
  <si>
    <t xml:space="preserve">Grey italic row</t>
  </si>
  <si>
    <t xml:space="preserve">Exited employee.</t>
  </si>
  <si>
    <t xml:space="preserve">EXAMPLE ENTRY (format only - fictional values, do not copy into the sheet)</t>
  </si>
  <si>
    <t xml:space="preserve">Emp Code / Name</t>
  </si>
  <si>
    <t xml:space="preserve">EMP001  /  Asha Mehta</t>
  </si>
  <si>
    <t xml:space="preserve">DOJ / DOB</t>
  </si>
  <si>
    <t xml:space="preserve">01-Apr-2024  /  15-Aug-1995  (type as a date)</t>
  </si>
  <si>
    <t xml:space="preserve">Aadhaar / PAN / Mobile</t>
  </si>
  <si>
    <t xml:space="preserve">123412341234 (12 digits)  /  ABCDE1234F (10 characters)  /  9876543210 (10 digits)</t>
  </si>
  <si>
    <t xml:space="preserve">Bank A/c / IFSC</t>
  </si>
  <si>
    <t xml:space="preserve">1234567890  /  SBIN0001234 (11 characters)</t>
  </si>
  <si>
    <t xml:space="preserve">LIMITS</t>
  </si>
  <si>
    <t xml:space="preserve">Capacity</t>
  </si>
  <si>
    <t xml:space="preserve">Employee Master: 500 employees. Dropdowns: 12 departments, 10 locations, 40 designations.</t>
  </si>
  <si>
    <t xml:space="preserve">Total Records</t>
  </si>
  <si>
    <t xml:space="preserve">Active Headcount</t>
  </si>
  <si>
    <t xml:space="preserve">Exited (all time)</t>
  </si>
  <si>
    <t xml:space="preserve">Avg Tenure - Active (yrs)</t>
  </si>
  <si>
    <t xml:space="preserve">Avg Age - Active (yrs)</t>
  </si>
  <si>
    <t xml:space="preserve">Monthly Payroll - Active (Rs)</t>
  </si>
  <si>
    <t xml:space="preserve">Avg Salary - Active (Rs)</t>
  </si>
  <si>
    <t xml:space="preserve">Female % of Active</t>
  </si>
  <si>
    <t xml:space="preserve">Joined this FY</t>
  </si>
  <si>
    <t xml:space="preserve">Exited this FY</t>
  </si>
  <si>
    <t xml:space="preserve">Exit % this FY</t>
  </si>
  <si>
    <t xml:space="preserve">Birthdays in alert window</t>
  </si>
  <si>
    <t xml:space="preserve">Work anniversaries in window</t>
  </si>
  <si>
    <t xml:space="preserve">Active records with data issues</t>
  </si>
  <si>
    <t xml:space="preserve">DEPARTMENT SUMMARY</t>
  </si>
  <si>
    <t xml:space="preserve">LOCATION SUMMARY</t>
  </si>
  <si>
    <t xml:space="preserve">Department</t>
  </si>
  <si>
    <t xml:space="preserve">Active</t>
  </si>
  <si>
    <t xml:space="preserve">% of Active</t>
  </si>
  <si>
    <t xml:space="preserve">Monthly Payroll (Rs)</t>
  </si>
  <si>
    <t xml:space="preserve">Avg Salary (Rs)</t>
  </si>
  <si>
    <t xml:space="preserve">Exited</t>
  </si>
  <si>
    <t xml:space="preserve">Location</t>
  </si>
  <si>
    <t xml:space="preserve">TOTAL</t>
  </si>
  <si>
    <t xml:space="preserve">WORKFORCE MIX (ACTIVE EMPLOYEES)</t>
  </si>
  <si>
    <t xml:space="preserve">Gender</t>
  </si>
  <si>
    <t xml:space="preserve">Count</t>
  </si>
  <si>
    <t xml:space="preserve">Age Band</t>
  </si>
  <si>
    <t xml:space="preserve">Tenure Band</t>
  </si>
  <si>
    <t xml:space="preserve">Below 25</t>
  </si>
  <si>
    <t xml:space="preserve">Below 1 yr</t>
  </si>
  <si>
    <t xml:space="preserve">25 - 34</t>
  </si>
  <si>
    <t xml:space="preserve">1 - 3 yrs</t>
  </si>
  <si>
    <t xml:space="preserve">35 - 44</t>
  </si>
  <si>
    <t xml:space="preserve">3 - 5 yrs</t>
  </si>
  <si>
    <t xml:space="preserve">45 - 54</t>
  </si>
  <si>
    <t xml:space="preserve">5 - 10 yrs</t>
  </si>
  <si>
    <t xml:space="preserve">55 &amp; above</t>
  </si>
  <si>
    <t xml:space="preserve">10+ yrs</t>
  </si>
  <si>
    <t xml:space="preserve">UPCOMING BIRTHDAYS (next 5)</t>
  </si>
  <si>
    <t xml:space="preserve">UPCOMING WORK ANNIVERSARIES (next 5)</t>
  </si>
  <si>
    <t xml:space="preserve">Name</t>
  </si>
  <si>
    <t xml:space="preserve">Date</t>
  </si>
  <si>
    <t xml:space="preserve">In (days)</t>
  </si>
  <si>
    <t xml:space="preserve">Years</t>
  </si>
  <si>
    <t xml:space="preserve">DATA QUALITY - active employees with missing details</t>
  </si>
  <si>
    <t xml:space="preserve">Missing Aadhaar</t>
  </si>
  <si>
    <t xml:space="preserve">Missing PAN</t>
  </si>
  <si>
    <t xml:space="preserve">Missing Mobile</t>
  </si>
  <si>
    <t xml:space="preserve">Missing Bank A/c</t>
  </si>
  <si>
    <t xml:space="preserve">Missing IFSC</t>
  </si>
  <si>
    <t xml:space="preserve">Missing DOB</t>
  </si>
  <si>
    <t xml:space="preserve">Missing DOJ</t>
  </si>
  <si>
    <t xml:space="preserve">Open the Employee Master and filter "Data Issues (count)" to see which employees need correction.</t>
  </si>
  <si>
    <t xml:space="preserve">How to use: type each employee in the first blank row (blue text = input, blue-grey columns fill themselves, incl. Employment Type: Permanent after 90 days from DOJ, else Probation). To record an exit, type the Exit Date - Status turns to Exited. Dropdown options come from the Lists sheet.</t>
  </si>
  <si>
    <t xml:space="preserve">Total records</t>
  </si>
  <si>
    <t xml:space="preserve">Active rows with data issues</t>
  </si>
  <si>
    <t xml:space="preserve">JOB &amp; EMPLOYMENT</t>
  </si>
  <si>
    <t xml:space="preserve">PERSONAL</t>
  </si>
  <si>
    <t xml:space="preserve">CONTACT</t>
  </si>
  <si>
    <t xml:space="preserve">ADDRESS</t>
  </si>
  <si>
    <t xml:space="preserve">BANK &amp; STATUTORY</t>
  </si>
  <si>
    <t xml:space="preserve">SALARY (RS / MONTH)</t>
  </si>
  <si>
    <t xml:space="preserve">AUTO INSIGHTS (DO NOT TYPE)</t>
  </si>
  <si>
    <t xml:space="preserve">HELPER</t>
  </si>
  <si>
    <t xml:space="preserve">Sr No</t>
  </si>
  <si>
    <t xml:space="preserve">Emp Code</t>
  </si>
  <si>
    <t xml:space="preserve">Employee Name</t>
  </si>
  <si>
    <t xml:space="preserve">Status</t>
  </si>
  <si>
    <t xml:space="preserve">Designation</t>
  </si>
  <si>
    <t xml:space="preserve">Employment Type (auto)</t>
  </si>
  <si>
    <t xml:space="preserve">DOJ</t>
  </si>
  <si>
    <t xml:space="preserve">Exit Date</t>
  </si>
  <si>
    <t xml:space="preserve">Exit Reason</t>
  </si>
  <si>
    <t xml:space="preserve">Tenure (Yrs)</t>
  </si>
  <si>
    <t xml:space="preserve">Reporting To</t>
  </si>
  <si>
    <t xml:space="preserve">Father / Husband Name</t>
  </si>
  <si>
    <t xml:space="preserve">Marital Status</t>
  </si>
  <si>
    <t xml:space="preserve">DOB</t>
  </si>
  <si>
    <t xml:space="preserve">Age</t>
  </si>
  <si>
    <t xml:space="preserve">Blood Group</t>
  </si>
  <si>
    <t xml:space="preserve">Aadhaar No</t>
  </si>
  <si>
    <t xml:space="preserve">PAN No</t>
  </si>
  <si>
    <t xml:space="preserve">Mobile No</t>
  </si>
  <si>
    <t xml:space="preserve">Emergency No</t>
  </si>
  <si>
    <t xml:space="preserve">Personal Email</t>
  </si>
  <si>
    <t xml:space="preserve">Company Email</t>
  </si>
  <si>
    <t xml:space="preserve">Flat / House No</t>
  </si>
  <si>
    <t xml:space="preserve">Address Line 1</t>
  </si>
  <si>
    <t xml:space="preserve">Address Line 2</t>
  </si>
  <si>
    <t xml:space="preserve">City</t>
  </si>
  <si>
    <t xml:space="preserve">State</t>
  </si>
  <si>
    <t xml:space="preserve">Pin Code</t>
  </si>
  <si>
    <t xml:space="preserve">Bank Name</t>
  </si>
  <si>
    <t xml:space="preserve">Account No</t>
  </si>
  <si>
    <t xml:space="preserve">IFSC Code</t>
  </si>
  <si>
    <t xml:space="preserve">Branch</t>
  </si>
  <si>
    <t xml:space="preserve">ESIC No</t>
  </si>
  <si>
    <t xml:space="preserve">UAN</t>
  </si>
  <si>
    <t xml:space="preserve">PF No</t>
  </si>
  <si>
    <t xml:space="preserve">Previous Salary</t>
  </si>
  <si>
    <t xml:space="preserve">Current Salary</t>
  </si>
  <si>
    <t xml:space="preserve">Last Revision Date</t>
  </si>
  <si>
    <t xml:space="preserve">Hike %</t>
  </si>
  <si>
    <t xml:space="preserve">Joining FY</t>
  </si>
  <si>
    <t xml:space="preserve">Exit FY</t>
  </si>
  <si>
    <t xml:space="preserve">Days to Birthday</t>
  </si>
  <si>
    <t xml:space="preserve">Days to Work Anniv.</t>
  </si>
  <si>
    <t xml:space="preserve">Data Issues (count)</t>
  </si>
  <si>
    <t xml:space="preserve">Data Issue Details</t>
  </si>
  <si>
    <t xml:space="preserve">bd rank</t>
  </si>
  <si>
    <t xml:space="preserve">an rank</t>
  </si>
  <si>
    <t xml:space="preserve">EMPLOYEE CARD</t>
  </si>
  <si>
    <t xml:space="preserve">row #</t>
  </si>
  <si>
    <t xml:space="preserve">Select Emp Code &gt;</t>
  </si>
  <si>
    <t xml:space="preserve">(pick from the dropdown or type a code)</t>
  </si>
  <si>
    <t xml:space="preserve">JOB DETAILS</t>
  </si>
  <si>
    <t xml:space="preserve">SALARY (Rs / month)</t>
  </si>
  <si>
    <t xml:space="preserve">Last Revision</t>
  </si>
  <si>
    <t xml:space="preserve">Date of Joining</t>
  </si>
  <si>
    <t xml:space="preserve">Tenure (yrs)</t>
  </si>
  <si>
    <t xml:space="preserve">Father / Husband</t>
  </si>
  <si>
    <t xml:space="preserve">Bank</t>
  </si>
  <si>
    <t xml:space="preserve">Date of Birth</t>
  </si>
  <si>
    <t xml:space="preserve">IFSC</t>
  </si>
  <si>
    <t xml:space="preserve">Settings &amp; Legend</t>
  </si>
  <si>
    <t xml:space="preserve">Yellow cells with blue text are inputs - edit them and every sheet recalculates.</t>
  </si>
  <si>
    <t xml:space="preserve">Setting</t>
  </si>
  <si>
    <t xml:space="preserve">Value</t>
  </si>
  <si>
    <t xml:space="preserve">Note</t>
  </si>
  <si>
    <t xml:space="preserve">Company name</t>
  </si>
  <si>
    <t xml:space="preserve">Your Company Name</t>
  </si>
  <si>
    <t xml:space="preserve">Appears in the titles of every sheet.</t>
  </si>
  <si>
    <t xml:space="preserve">Report / As-of date</t>
  </si>
  <si>
    <t xml:space="preserve">Auto = today. Type a fixed date to freeze age / tenure / birthday calculations.</t>
  </si>
  <si>
    <t xml:space="preserve">Leave year</t>
  </si>
  <si>
    <t xml:space="preserve">Auto = year of the report date. Type a year (e.g. 2026) to fix it. Carry-forward PL is entered in Leave Record.</t>
  </si>
  <si>
    <t xml:space="preserve">Current financial year (auto)</t>
  </si>
  <si>
    <t xml:space="preserve">Apr-Mar. Used for joiners / exits this FY.</t>
  </si>
  <si>
    <t xml:space="preserve">Leave as-of date (auto)</t>
  </si>
  <si>
    <t xml:space="preserve">Report date capped at the leave-year end.</t>
  </si>
  <si>
    <t xml:space="preserve">CL (Casual Leave) per year</t>
  </si>
  <si>
    <t xml:space="preserve">Default from your Leave Tracker template.</t>
  </si>
  <si>
    <t xml:space="preserve">SL (Sick Leave) per year</t>
  </si>
  <si>
    <t xml:space="preserve">PL (Paid Leave) per year</t>
  </si>
  <si>
    <t xml:space="preserve">Accrued pro-rata: PL/365 per day from the eligibility date (rounded down to 0.5).</t>
  </si>
  <si>
    <t xml:space="preserve">Confirmation period (days after DOJ)</t>
  </si>
  <si>
    <t xml:space="preserve">Employment Type: Permanent once an employee is this many days past DOJ, otherwise Probation.</t>
  </si>
  <si>
    <t xml:space="preserve">Training days per year (per employee)</t>
  </si>
  <si>
    <t xml:space="preserve">ASSUMPTION: set to your training policy (0 = none).</t>
  </si>
  <si>
    <t xml:space="preserve">"LOW" alert when total pending (CL+SL+PL) is at or below</t>
  </si>
  <si>
    <t xml:space="preserve">Flags employees on the Dashboard attention list.</t>
  </si>
  <si>
    <t xml:space="preserve">Free late marks per month before deduction</t>
  </si>
  <si>
    <t xml:space="preserve">Deduction per extra late mark (days)</t>
  </si>
  <si>
    <t xml:space="preserve">Birthday / anniversary alert window (days)</t>
  </si>
  <si>
    <t xml:space="preserve">Dashboard counts birthdays and work anniversaries within this many days.</t>
  </si>
  <si>
    <t xml:space="preserve">Attendance codes (type or pick from the dropdown in the day cells of the Attendance sheet)</t>
  </si>
  <si>
    <t xml:space="preserve">Code</t>
  </si>
  <si>
    <t xml:space="preserve">Meaning</t>
  </si>
  <si>
    <t xml:space="preserve">Effect on payable days / leave balance</t>
  </si>
  <si>
    <t xml:space="preserve">P</t>
  </si>
  <si>
    <t xml:space="preserve">Present</t>
  </si>
  <si>
    <t xml:space="preserve">1 payable day</t>
  </si>
  <si>
    <t xml:space="preserve">A</t>
  </si>
  <si>
    <t xml:space="preserve">Absent</t>
  </si>
  <si>
    <t xml:space="preserve">Not paid</t>
  </si>
  <si>
    <t xml:space="preserve">HA</t>
  </si>
  <si>
    <t xml:space="preserve">Half-day absent</t>
  </si>
  <si>
    <t xml:space="preserve">0.5 payable day</t>
  </si>
  <si>
    <t xml:space="preserve">L</t>
  </si>
  <si>
    <t xml:space="preserve">Late</t>
  </si>
  <si>
    <t xml:space="preserve">1 payable day; counts toward late deduction</t>
  </si>
  <si>
    <t xml:space="preserve">PL</t>
  </si>
  <si>
    <t xml:space="preserve">Paid Leave</t>
  </si>
  <si>
    <t xml:space="preserve">1 payable day; 1 deducted from PL balance</t>
  </si>
  <si>
    <t xml:space="preserve">HPL</t>
  </si>
  <si>
    <t xml:space="preserve">Half-day Paid Leave</t>
  </si>
  <si>
    <t xml:space="preserve">1 payable day (0.5 leave + 0.5 worked); 0.5 deducted from PL balance</t>
  </si>
  <si>
    <t xml:space="preserve">CL</t>
  </si>
  <si>
    <t xml:space="preserve">Casual Leave</t>
  </si>
  <si>
    <t xml:space="preserve">1 payable day; 1 deducted from CL balance</t>
  </si>
  <si>
    <t xml:space="preserve">HCL</t>
  </si>
  <si>
    <t xml:space="preserve">Half-day Casual Leave</t>
  </si>
  <si>
    <t xml:space="preserve">1 payable day (0.5 leave + 0.5 worked); 0.5 deducted from CL balance</t>
  </si>
  <si>
    <t xml:space="preserve">SL</t>
  </si>
  <si>
    <t xml:space="preserve">Sick Leave</t>
  </si>
  <si>
    <t xml:space="preserve">1 payable day; 1 deducted from SL balance</t>
  </si>
  <si>
    <t xml:space="preserve">CO</t>
  </si>
  <si>
    <t xml:space="preserve">Compensatory Off</t>
  </si>
  <si>
    <t xml:space="preserve">WO</t>
  </si>
  <si>
    <t xml:space="preserve">Weekly Off</t>
  </si>
  <si>
    <t xml:space="preserve">PH</t>
  </si>
  <si>
    <t xml:space="preserve">Public Holiday</t>
  </si>
  <si>
    <t xml:space="preserve">TR</t>
  </si>
  <si>
    <t xml:space="preserve">Training Day</t>
  </si>
  <si>
    <t xml:space="preserve">1 payable day; counted against Training days balance</t>
  </si>
  <si>
    <t xml:space="preserve">Note: half-day codes (HA, HPL, HCL) are treated as shown above. If your payroll rule is different, edit the Gross Payable Days formula in Attendance column BA.</t>
  </si>
  <si>
    <t xml:space="preserve">Lists (dropdown options)</t>
  </si>
  <si>
    <t xml:space="preserve">Overwrite the example Departments, Locations and Designations with your own. Type new options under the last item of a list. Do not delete the header row.</t>
  </si>
  <si>
    <t xml:space="preserve">Admin</t>
  </si>
  <si>
    <t xml:space="preserve">Location 1</t>
  </si>
  <si>
    <t xml:space="preserve">Manager</t>
  </si>
  <si>
    <t xml:space="preserve">Male</t>
  </si>
  <si>
    <t xml:space="preserve">Married</t>
  </si>
  <si>
    <t xml:space="preserve">A+</t>
  </si>
  <si>
    <t xml:space="preserve">Permanent</t>
  </si>
  <si>
    <t xml:space="preserve">Resignation</t>
  </si>
  <si>
    <t xml:space="preserve">Andhra Pradesh</t>
  </si>
  <si>
    <t xml:space="preserve">State Bank of India</t>
  </si>
  <si>
    <t xml:space="preserve">Accounts</t>
  </si>
  <si>
    <t xml:space="preserve">Location 2</t>
  </si>
  <si>
    <t xml:space="preserve">Executive</t>
  </si>
  <si>
    <t xml:space="preserve">Female</t>
  </si>
  <si>
    <t xml:space="preserve">Unmarried</t>
  </si>
  <si>
    <t xml:space="preserve">A-</t>
  </si>
  <si>
    <t xml:space="preserve">Probation</t>
  </si>
  <si>
    <t xml:space="preserve">Termination</t>
  </si>
  <si>
    <t xml:space="preserve">Arunachal Pradesh</t>
  </si>
  <si>
    <t xml:space="preserve">HDFC Bank</t>
  </si>
  <si>
    <t xml:space="preserve">HR</t>
  </si>
  <si>
    <t xml:space="preserve">Supervisor</t>
  </si>
  <si>
    <t xml:space="preserve">Other</t>
  </si>
  <si>
    <t xml:space="preserve">Divorced</t>
  </si>
  <si>
    <t xml:space="preserve">B+</t>
  </si>
  <si>
    <t xml:space="preserve">Retirement</t>
  </si>
  <si>
    <t xml:space="preserve">Assam</t>
  </si>
  <si>
    <t xml:space="preserve">ICICI Bank</t>
  </si>
  <si>
    <t xml:space="preserve">IT</t>
  </si>
  <si>
    <t xml:space="preserve">Operator</t>
  </si>
  <si>
    <t xml:space="preserve">Widowed</t>
  </si>
  <si>
    <t xml:space="preserve">B-</t>
  </si>
  <si>
    <t xml:space="preserve">Absconding</t>
  </si>
  <si>
    <t xml:space="preserve">Bihar</t>
  </si>
  <si>
    <t xml:space="preserve">Axis Bank</t>
  </si>
  <si>
    <t xml:space="preserve">Operations</t>
  </si>
  <si>
    <t xml:space="preserve">Assistant</t>
  </si>
  <si>
    <t xml:space="preserve">O+</t>
  </si>
  <si>
    <t xml:space="preserve">End of Contract</t>
  </si>
  <si>
    <t xml:space="preserve">Chhattisgarh</t>
  </si>
  <si>
    <t xml:space="preserve">Kotak Mahindra Bank</t>
  </si>
  <si>
    <t xml:space="preserve">Production</t>
  </si>
  <si>
    <t xml:space="preserve">O-</t>
  </si>
  <si>
    <t xml:space="preserve">Death</t>
  </si>
  <si>
    <t xml:space="preserve">Goa</t>
  </si>
  <si>
    <t xml:space="preserve">Bank of Baroda</t>
  </si>
  <si>
    <t xml:space="preserve">Sales</t>
  </si>
  <si>
    <t xml:space="preserve">AB+</t>
  </si>
  <si>
    <t xml:space="preserve">Gujarat</t>
  </si>
  <si>
    <t xml:space="preserve">Punjab National Bank</t>
  </si>
  <si>
    <t xml:space="preserve">Stores</t>
  </si>
  <si>
    <t xml:space="preserve">AB-</t>
  </si>
  <si>
    <t xml:space="preserve">Haryana</t>
  </si>
  <si>
    <t xml:space="preserve">Canara Bank</t>
  </si>
  <si>
    <t xml:space="preserve">Himachal Pradesh</t>
  </si>
  <si>
    <t xml:space="preserve">Union Bank of India</t>
  </si>
  <si>
    <t xml:space="preserve">Jharkhand</t>
  </si>
  <si>
    <t xml:space="preserve">Bank of India</t>
  </si>
  <si>
    <t xml:space="preserve">Karnataka</t>
  </si>
  <si>
    <t xml:space="preserve">IDFC First Bank</t>
  </si>
  <si>
    <t xml:space="preserve">Kerala</t>
  </si>
  <si>
    <t xml:space="preserve">Indian Bank</t>
  </si>
  <si>
    <t xml:space="preserve">Madhya Pradesh</t>
  </si>
  <si>
    <t xml:space="preserve">IndusInd Bank</t>
  </si>
  <si>
    <t xml:space="preserve">Maharashtra</t>
  </si>
  <si>
    <t xml:space="preserve">Yes Bank</t>
  </si>
  <si>
    <t xml:space="preserve">Manipur</t>
  </si>
  <si>
    <t xml:space="preserve">Central Bank of India</t>
  </si>
  <si>
    <t xml:space="preserve">Meghalaya</t>
  </si>
  <si>
    <t xml:space="preserve">UCO Bank</t>
  </si>
  <si>
    <t xml:space="preserve">Mizoram</t>
  </si>
  <si>
    <t xml:space="preserve">Bank of Maharashtra</t>
  </si>
  <si>
    <t xml:space="preserve">Nagaland</t>
  </si>
  <si>
    <t xml:space="preserve">Punjab And Sind Bank</t>
  </si>
  <si>
    <t xml:space="preserve">Odisha</t>
  </si>
  <si>
    <t xml:space="preserve">Indian Overseas Bank</t>
  </si>
  <si>
    <t xml:space="preserve">Punjab</t>
  </si>
  <si>
    <t xml:space="preserve">Federal Bank</t>
  </si>
  <si>
    <t xml:space="preserve">Rajasthan</t>
  </si>
  <si>
    <t xml:space="preserve">AU Small Finance Bank</t>
  </si>
  <si>
    <t xml:space="preserve">Sikkim</t>
  </si>
  <si>
    <t xml:space="preserve">India Post Payments Bank</t>
  </si>
  <si>
    <t xml:space="preserve">Tamil Nadu</t>
  </si>
  <si>
    <t xml:space="preserve">Co-operative Bank</t>
  </si>
  <si>
    <t xml:space="preserve">Telangana</t>
  </si>
  <si>
    <t xml:space="preserve">Gramin Bank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</si>
  <si>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</si>
  <si>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</si>
  <si>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</si>
  <si>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</si>
  <si>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Delhi</t>
  </si>
  <si>
    <t xml:space="preserve">Jammu and Kashmir</t>
  </si>
  <si>
    <t xml:space="preserve">Ladakh</t>
  </si>
  <si>
    <t xml:space="preserve">Chandigarh</t>
  </si>
  <si>
    <t xml:space="preserve">Puducherry</t>
  </si>
  <si>
    <t xml:space="preserve">Andaman and Nicobar Islands</t>
  </si>
  <si>
    <t xml:space="preserve">Dadra and Nagar Haveli and Daman and Diu</t>
  </si>
  <si>
    <t xml:space="preserve">Lakshadweep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</si>
</sst>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#,##0"/>
    <numFmt numFmtId="168" formatCode="0.0%"/>
    <numFmt numFmtId="169" formatCode="General"/>
    <numFmt numFmtId="170" formatCode="dd\-mmm\-yyyy"/>
    <numFmt numFmtId="171" formatCode="@"/>
    <numFmt numFmtId="172" formatCode="0.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1"/>
      <color rgb="FF59595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2F2F2"/>
        <bgColor rgb="FFF7FBFF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7E6E6"/>
      </patternFill>
    </fill>
    <fill>
      <patternFill patternType="solid">
        <fgColor rgb="FFF8CBAD"/>
        <bgColor rgb="FFFFE699"/>
      </patternFill>
    </fill>
    <fill>
      <patternFill patternType="solid">
        <fgColor rgb="FFE7E6E6"/>
        <bgColor rgb="FFDDEBF7"/>
      </patternFill>
    </fill>
    <fill>
      <patternFill patternType="solid">
        <fgColor rgb="FFF7FBFF"/>
        <bgColor rgb="FFFFFFFF"/>
      </patternFill>
    </fill>
    <fill>
      <patternFill patternType="solid">
        <fgColor rgb="FF1F3864"/>
        <bgColor rgb="FF2F5597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BF9000"/>
        <bgColor rgb="FFC55A11"/>
      </patternFill>
    </fill>
    <fill>
      <patternFill patternType="solid">
        <fgColor rgb="FF595959"/>
        <bgColor rgb="FF37562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i val="1"/>
        <color rgb="FF7F7F7F"/>
      </font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  <dxf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7C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F7FB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C3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" t="s">
        <v>0</v>
      </c>
      <c r="C1" s="1"/>
    </row>
    <row r="2" customFormat="false" ht="15" hidden="false" customHeight="false" outlineLevel="0" collapsed="false">
      <c r="B2" s="2" t="s">
        <v>1</v>
      </c>
      <c r="C2" s="2"/>
    </row>
    <row r="4" customFormat="false" ht="15" hidden="false" customHeight="false" outlineLevel="0" collapsed="false">
      <c r="B4" s="3" t="s">
        <v>2</v>
      </c>
      <c r="C4" s="3"/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15" hidden="false" customHeight="true" outlineLevel="0" collapsed="false">
      <c r="B7" s="4" t="s">
        <v>7</v>
      </c>
      <c r="C7" s="5" t="s">
        <v>8</v>
      </c>
    </row>
    <row r="8" customFormat="false" ht="15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1" customFormat="false" ht="15" hidden="false" customHeight="false" outlineLevel="0" collapsed="false">
      <c r="B11" s="3" t="s">
        <v>13</v>
      </c>
      <c r="C11" s="3"/>
    </row>
    <row r="12" customFormat="false" ht="15" hidden="false" customHeight="true" outlineLevel="0" collapsed="false">
      <c r="B12" s="4" t="s">
        <v>14</v>
      </c>
      <c r="C12" s="5" t="s">
        <v>15</v>
      </c>
    </row>
    <row r="13" customFormat="false" ht="15" hidden="false" customHeight="true" outlineLevel="0" collapsed="false">
      <c r="B13" s="4" t="s">
        <v>16</v>
      </c>
      <c r="C13" s="5" t="s">
        <v>17</v>
      </c>
    </row>
    <row r="14" customFormat="false" ht="30" hidden="false" customHeight="true" outlineLevel="0" collapsed="false">
      <c r="B14" s="4" t="s">
        <v>18</v>
      </c>
      <c r="C14" s="5" t="s">
        <v>19</v>
      </c>
    </row>
    <row r="15" customFormat="false" ht="30" hidden="false" customHeight="true" outlineLevel="0" collapsed="false">
      <c r="B15" s="4" t="s">
        <v>20</v>
      </c>
      <c r="C15" s="5" t="s">
        <v>21</v>
      </c>
    </row>
    <row r="16" customFormat="false" ht="15" hidden="false" customHeight="true" outlineLevel="0" collapsed="false">
      <c r="B16" s="4" t="s">
        <v>22</v>
      </c>
      <c r="C16" s="5" t="s">
        <v>23</v>
      </c>
    </row>
    <row r="17" customFormat="false" ht="30" hidden="false" customHeight="true" outlineLevel="0" collapsed="false">
      <c r="B17" s="4" t="s">
        <v>24</v>
      </c>
      <c r="C17" s="5" t="s">
        <v>25</v>
      </c>
    </row>
    <row r="18" customFormat="false" ht="30" hidden="false" customHeight="true" outlineLevel="0" collapsed="false">
      <c r="B18" s="4" t="s">
        <v>26</v>
      </c>
      <c r="C18" s="5" t="s">
        <v>27</v>
      </c>
    </row>
    <row r="20" customFormat="false" ht="15" hidden="false" customHeight="false" outlineLevel="0" collapsed="false">
      <c r="B20" s="3" t="s">
        <v>28</v>
      </c>
      <c r="C20" s="3"/>
    </row>
    <row r="21" customFormat="false" ht="15" hidden="false" customHeight="false" outlineLevel="0" collapsed="false">
      <c r="B21" s="6" t="s">
        <v>29</v>
      </c>
      <c r="C21" s="7" t="s">
        <v>30</v>
      </c>
    </row>
    <row r="22" customFormat="false" ht="15" hidden="false" customHeight="false" outlineLevel="0" collapsed="false">
      <c r="B22" s="8" t="s">
        <v>31</v>
      </c>
      <c r="C22" s="7" t="s">
        <v>32</v>
      </c>
    </row>
    <row r="23" customFormat="false" ht="15" hidden="false" customHeight="false" outlineLevel="0" collapsed="false">
      <c r="B23" s="9" t="s">
        <v>33</v>
      </c>
      <c r="C23" s="7" t="s">
        <v>34</v>
      </c>
    </row>
    <row r="24" customFormat="false" ht="15" hidden="false" customHeight="false" outlineLevel="0" collapsed="false">
      <c r="B24" s="10" t="s">
        <v>35</v>
      </c>
      <c r="C24" s="7" t="s">
        <v>36</v>
      </c>
    </row>
    <row r="25" customFormat="false" ht="15" hidden="false" customHeight="false" outlineLevel="0" collapsed="false">
      <c r="B25" s="11" t="s">
        <v>37</v>
      </c>
      <c r="C25" s="7" t="s">
        <v>38</v>
      </c>
    </row>
    <row r="27" customFormat="false" ht="15" hidden="false" customHeight="false" outlineLevel="0" collapsed="false">
      <c r="B27" s="3" t="s">
        <v>39</v>
      </c>
      <c r="C27" s="3"/>
    </row>
    <row r="28" customFormat="false" ht="15" hidden="false" customHeight="true" outlineLevel="0" collapsed="false">
      <c r="B28" s="12" t="s">
        <v>40</v>
      </c>
      <c r="C28" s="5" t="s">
        <v>41</v>
      </c>
    </row>
    <row r="29" customFormat="false" ht="15" hidden="false" customHeight="true" outlineLevel="0" collapsed="false">
      <c r="B29" s="12" t="s">
        <v>42</v>
      </c>
      <c r="C29" s="5" t="s">
        <v>43</v>
      </c>
    </row>
    <row r="30" customFormat="false" ht="15" hidden="false" customHeight="true" outlineLevel="0" collapsed="false">
      <c r="B30" s="12" t="s">
        <v>44</v>
      </c>
      <c r="C30" s="5" t="s">
        <v>45</v>
      </c>
    </row>
    <row r="31" customFormat="false" ht="15" hidden="false" customHeight="true" outlineLevel="0" collapsed="false">
      <c r="B31" s="12" t="s">
        <v>46</v>
      </c>
      <c r="C31" s="5" t="s">
        <v>47</v>
      </c>
    </row>
    <row r="33" customFormat="false" ht="15" hidden="false" customHeight="false" outlineLevel="0" collapsed="false">
      <c r="B33" s="3" t="s">
        <v>48</v>
      </c>
      <c r="C33" s="3"/>
    </row>
    <row r="34" customFormat="false" ht="15" hidden="false" customHeight="true" outlineLevel="0" collapsed="false">
      <c r="B34" s="12" t="s">
        <v>49</v>
      </c>
      <c r="C34" s="5" t="s">
        <v>50</v>
      </c>
    </row>
  </sheetData>
  <mergeCells count="7">
    <mergeCell ref="B1:C1"/>
    <mergeCell ref="B2:C2"/>
    <mergeCell ref="B4:C4"/>
    <mergeCell ref="B11:C11"/>
    <mergeCell ref="B20:C20"/>
    <mergeCell ref="B27:C27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O5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5" min="3" style="0" width="13"/>
  </cols>
  <sheetData>
    <row r="1" customFormat="false" ht="19.7" hidden="false" customHeight="false" outlineLevel="0" collapsed="false">
      <c r="B1" s="1" t="str">
        <f aca="false">"EMPLOYEE DASHBOARD - "&amp;Settings!$C$5</f>
        <v>EMPLOYEE DASHBOARD - Your Company Name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2" t="str">
        <f aca="false">"As of "&amp;TEXT(AsOf,"dd-mmm-yyyy")&amp;"   |   Financial year "&amp;CurFY&amp;"   |   All figures are live from the Employee Master sheet"</f>
        <v>As of 27-Oct-2026   |   Financial year 2026-27   |   All figures are live from the Employee Master sheet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5.5" hidden="false" customHeight="true" outlineLevel="0" collapsed="false">
      <c r="B4" s="13" t="s">
        <v>51</v>
      </c>
      <c r="C4" s="13"/>
      <c r="D4" s="13" t="s">
        <v>52</v>
      </c>
      <c r="E4" s="13"/>
      <c r="F4" s="13" t="s">
        <v>53</v>
      </c>
      <c r="G4" s="13"/>
      <c r="H4" s="13" t="s">
        <v>54</v>
      </c>
      <c r="I4" s="13"/>
      <c r="J4" s="13" t="s">
        <v>55</v>
      </c>
      <c r="K4" s="13"/>
      <c r="L4" s="13" t="s">
        <v>56</v>
      </c>
      <c r="M4" s="13"/>
      <c r="N4" s="13" t="s">
        <v>57</v>
      </c>
      <c r="O4" s="13"/>
    </row>
    <row r="5" customFormat="false" ht="31.5" hidden="false" customHeight="true" outlineLevel="0" collapsed="false">
      <c r="B5" s="14" t="n">
        <f aca="false">COUNTA(M_emp)</f>
        <v>0</v>
      </c>
      <c r="C5" s="14"/>
      <c r="D5" s="14" t="n">
        <f aca="false">COUNTIF(M_status,"Active")</f>
        <v>0</v>
      </c>
      <c r="E5" s="14"/>
      <c r="F5" s="14" t="n">
        <f aca="false">COUNTIF(M_status,"Exited")</f>
        <v>0</v>
      </c>
      <c r="G5" s="14"/>
      <c r="H5" s="15" t="n">
        <f aca="false">IFERROR(AVERAGEIFS(M_ten,M_status,"Active"),0)</f>
        <v>0</v>
      </c>
      <c r="I5" s="15"/>
      <c r="J5" s="15" t="n">
        <f aca="false">IFERROR(AVERAGEIFS(M_age,M_status,"Active"),0)</f>
        <v>0</v>
      </c>
      <c r="K5" s="15"/>
      <c r="L5" s="16" t="n">
        <f aca="false">SUMIFS(M_sal,M_status,"Active")</f>
        <v>0</v>
      </c>
      <c r="M5" s="16"/>
      <c r="N5" s="16" t="n">
        <f aca="false">IFERROR(SUMIFS(M_sal,M_status,"Active")/COUNTIF(M_status,"Active"),0)</f>
        <v>0</v>
      </c>
      <c r="O5" s="16"/>
    </row>
    <row r="7" customFormat="false" ht="25.5" hidden="false" customHeight="true" outlineLevel="0" collapsed="false">
      <c r="B7" s="13" t="s">
        <v>58</v>
      </c>
      <c r="C7" s="13"/>
      <c r="D7" s="13" t="s">
        <v>59</v>
      </c>
      <c r="E7" s="13"/>
      <c r="F7" s="13" t="s">
        <v>60</v>
      </c>
      <c r="G7" s="13"/>
      <c r="H7" s="13" t="s">
        <v>61</v>
      </c>
      <c r="I7" s="13"/>
      <c r="J7" s="13" t="s">
        <v>62</v>
      </c>
      <c r="K7" s="13"/>
      <c r="L7" s="13" t="s">
        <v>63</v>
      </c>
      <c r="M7" s="13"/>
      <c r="N7" s="13" t="s">
        <v>64</v>
      </c>
      <c r="O7" s="13"/>
    </row>
    <row r="8" customFormat="false" ht="31.5" hidden="false" customHeight="true" outlineLevel="0" collapsed="false">
      <c r="B8" s="17" t="n">
        <f aca="false">IFERROR(COUNTIFS(M_status,"Active",M_sex,"Female")/COUNTIF(M_status,"Active"),0)</f>
        <v>0</v>
      </c>
      <c r="C8" s="17"/>
      <c r="D8" s="14" t="n">
        <f aca="false">COUNTIF(M_fyin,CurFY)</f>
        <v>0</v>
      </c>
      <c r="E8" s="14"/>
      <c r="F8" s="14" t="n">
        <f aca="false">COUNTIF(M_fyout,CurFY)</f>
        <v>0</v>
      </c>
      <c r="G8" s="14"/>
      <c r="H8" s="17" t="n">
        <f aca="false">IFERROR(COUNTIF(M_fyout,CurFY)/(COUNTIF(M_status,"Active")+COUNTIF(M_fyout,CurFY)),0)</f>
        <v>0</v>
      </c>
      <c r="I8" s="17"/>
      <c r="J8" s="14" t="n">
        <f aca="false">COUNTIF(M_bd,"&lt;="&amp;Settings!$C$18)</f>
        <v>0</v>
      </c>
      <c r="K8" s="14"/>
      <c r="L8" s="14" t="n">
        <f aca="false">COUNTIF(M_an,"&lt;="&amp;Settings!$C$18)</f>
        <v>0</v>
      </c>
      <c r="M8" s="14"/>
      <c r="N8" s="14" t="n">
        <f aca="false">COUNTIFS(M_status,"Active",M_issues,"&gt;0")</f>
        <v>0</v>
      </c>
      <c r="O8" s="14"/>
    </row>
    <row r="10" customFormat="false" ht="15" hidden="false" customHeight="false" outlineLevel="0" collapsed="false">
      <c r="B10" s="3" t="s">
        <v>65</v>
      </c>
      <c r="C10" s="3"/>
      <c r="D10" s="3"/>
      <c r="E10" s="3"/>
      <c r="F10" s="3"/>
      <c r="G10" s="3"/>
      <c r="I10" s="3" t="s">
        <v>66</v>
      </c>
      <c r="J10" s="3"/>
      <c r="K10" s="3"/>
      <c r="L10" s="3"/>
    </row>
    <row r="11" customFormat="false" ht="39.75" hidden="false" customHeight="true" outlineLevel="0" collapsed="false">
      <c r="B11" s="18" t="s">
        <v>67</v>
      </c>
      <c r="C11" s="18" t="s">
        <v>68</v>
      </c>
      <c r="D11" s="18" t="s">
        <v>69</v>
      </c>
      <c r="E11" s="18" t="s">
        <v>70</v>
      </c>
      <c r="F11" s="18" t="s">
        <v>71</v>
      </c>
      <c r="G11" s="18" t="s">
        <v>72</v>
      </c>
      <c r="I11" s="18" t="s">
        <v>73</v>
      </c>
      <c r="J11" s="18" t="s">
        <v>68</v>
      </c>
      <c r="K11" s="18" t="s">
        <v>72</v>
      </c>
      <c r="L11" s="18" t="s">
        <v>70</v>
      </c>
    </row>
    <row r="12" customFormat="false" ht="15" hidden="false" customHeight="false" outlineLevel="0" collapsed="false">
      <c r="B12" s="7" t="str">
        <f aca="false">IF(Lists!A5="","",Lists!A5)</f>
        <v>Admin</v>
      </c>
      <c r="C12" s="19" t="n">
        <f aca="false">IF($B12="","",COUNTIFS(M_dept,$B12,M_status,"Active"))</f>
        <v>0</v>
      </c>
      <c r="D12" s="20" t="n">
        <f aca="false">IF($B12="","",IFERROR(C12/C$24,0))</f>
        <v>0</v>
      </c>
      <c r="E12" s="21" t="n">
        <f aca="false">IF($B12="","",SUMIFS(M_sal,M_dept,$B12,M_status,"Active"))</f>
        <v>0</v>
      </c>
      <c r="F12" s="21" t="n">
        <f aca="false">IF($B12="","",IFERROR(E12/C12,0))</f>
        <v>0</v>
      </c>
      <c r="G12" s="19" t="n">
        <f aca="false">IF($B12="","",COUNTIFS(M_dept,$B12,M_status,"Exited"))</f>
        <v>0</v>
      </c>
      <c r="I12" s="7" t="str">
        <f aca="false">IF(Lists!B5="","",Lists!B5)</f>
        <v>Location 1</v>
      </c>
      <c r="J12" s="19" t="n">
        <f aca="false">IF($I12="","",COUNTIFS(M_loc,$I12,M_status,"Active"))</f>
        <v>0</v>
      </c>
      <c r="K12" s="19" t="n">
        <f aca="false">IF($I12="","",COUNTIFS(M_loc,$I12,M_status,"Exited"))</f>
        <v>0</v>
      </c>
      <c r="L12" s="21" t="n">
        <f aca="false">IF($I12="","",SUMIFS(M_sal,M_loc,$I12,M_status,"Active"))</f>
        <v>0</v>
      </c>
    </row>
    <row r="13" customFormat="false" ht="15" hidden="false" customHeight="false" outlineLevel="0" collapsed="false">
      <c r="B13" s="7" t="str">
        <f aca="false">IF(Lists!A6="","",Lists!A6)</f>
        <v>Accounts</v>
      </c>
      <c r="C13" s="19" t="n">
        <f aca="false">IF($B13="","",COUNTIFS(M_dept,$B13,M_status,"Active"))</f>
        <v>0</v>
      </c>
      <c r="D13" s="20" t="n">
        <f aca="false">IF($B13="","",IFERROR(C13/C$24,0))</f>
        <v>0</v>
      </c>
      <c r="E13" s="21" t="n">
        <f aca="false">IF($B13="","",SUMIFS(M_sal,M_dept,$B13,M_status,"Active"))</f>
        <v>0</v>
      </c>
      <c r="F13" s="21" t="n">
        <f aca="false">IF($B13="","",IFERROR(E13/C13,0))</f>
        <v>0</v>
      </c>
      <c r="G13" s="19" t="n">
        <f aca="false">IF($B13="","",COUNTIFS(M_dept,$B13,M_status,"Exited"))</f>
        <v>0</v>
      </c>
      <c r="I13" s="7" t="str">
        <f aca="false">IF(Lists!B6="","",Lists!B6)</f>
        <v>Location 2</v>
      </c>
      <c r="J13" s="19" t="n">
        <f aca="false">IF($I13="","",COUNTIFS(M_loc,$I13,M_status,"Active"))</f>
        <v>0</v>
      </c>
      <c r="K13" s="19" t="n">
        <f aca="false">IF($I13="","",COUNTIFS(M_loc,$I13,M_status,"Exited"))</f>
        <v>0</v>
      </c>
      <c r="L13" s="21" t="n">
        <f aca="false">IF($I13="","",SUMIFS(M_sal,M_loc,$I13,M_status,"Active"))</f>
        <v>0</v>
      </c>
    </row>
    <row r="14" customFormat="false" ht="15" hidden="false" customHeight="false" outlineLevel="0" collapsed="false">
      <c r="B14" s="7" t="str">
        <f aca="false">IF(Lists!A7="","",Lists!A7)</f>
        <v>HR</v>
      </c>
      <c r="C14" s="19" t="n">
        <f aca="false">IF($B14="","",COUNTIFS(M_dept,$B14,M_status,"Active"))</f>
        <v>0</v>
      </c>
      <c r="D14" s="20" t="n">
        <f aca="false">IF($B14="","",IFERROR(C14/C$24,0))</f>
        <v>0</v>
      </c>
      <c r="E14" s="21" t="n">
        <f aca="false">IF($B14="","",SUMIFS(M_sal,M_dept,$B14,M_status,"Active"))</f>
        <v>0</v>
      </c>
      <c r="F14" s="21" t="n">
        <f aca="false">IF($B14="","",IFERROR(E14/C14,0))</f>
        <v>0</v>
      </c>
      <c r="G14" s="19" t="n">
        <f aca="false">IF($B14="","",COUNTIFS(M_dept,$B14,M_status,"Exited"))</f>
        <v>0</v>
      </c>
      <c r="I14" s="7" t="str">
        <f aca="false">IF(Lists!B7="","",Lists!B7)</f>
        <v/>
      </c>
      <c r="J14" s="19" t="str">
        <f aca="false">IF($I14="","",COUNTIFS(M_loc,$I14,M_status,"Active"))</f>
        <v/>
      </c>
      <c r="K14" s="19" t="str">
        <f aca="false">IF($I14="","",COUNTIFS(M_loc,$I14,M_status,"Exited"))</f>
        <v/>
      </c>
      <c r="L14" s="21" t="str">
        <f aca="false">IF($I14="","",SUMIFS(M_sal,M_loc,$I14,M_status,"Active"))</f>
        <v/>
      </c>
    </row>
    <row r="15" customFormat="false" ht="15" hidden="false" customHeight="false" outlineLevel="0" collapsed="false">
      <c r="B15" s="7" t="str">
        <f aca="false">IF(Lists!A8="","",Lists!A8)</f>
        <v>IT</v>
      </c>
      <c r="C15" s="19" t="n">
        <f aca="false">IF($B15="","",COUNTIFS(M_dept,$B15,M_status,"Active"))</f>
        <v>0</v>
      </c>
      <c r="D15" s="20" t="n">
        <f aca="false">IF($B15="","",IFERROR(C15/C$24,0))</f>
        <v>0</v>
      </c>
      <c r="E15" s="21" t="n">
        <f aca="false">IF($B15="","",SUMIFS(M_sal,M_dept,$B15,M_status,"Active"))</f>
        <v>0</v>
      </c>
      <c r="F15" s="21" t="n">
        <f aca="false">IF($B15="","",IFERROR(E15/C15,0))</f>
        <v>0</v>
      </c>
      <c r="G15" s="19" t="n">
        <f aca="false">IF($B15="","",COUNTIFS(M_dept,$B15,M_status,"Exited"))</f>
        <v>0</v>
      </c>
      <c r="I15" s="7" t="str">
        <f aca="false">IF(Lists!B8="","",Lists!B8)</f>
        <v/>
      </c>
      <c r="J15" s="19" t="str">
        <f aca="false">IF($I15="","",COUNTIFS(M_loc,$I15,M_status,"Active"))</f>
        <v/>
      </c>
      <c r="K15" s="19" t="str">
        <f aca="false">IF($I15="","",COUNTIFS(M_loc,$I15,M_status,"Exited"))</f>
        <v/>
      </c>
      <c r="L15" s="21" t="str">
        <f aca="false">IF($I15="","",SUMIFS(M_sal,M_loc,$I15,M_status,"Active"))</f>
        <v/>
      </c>
    </row>
    <row r="16" customFormat="false" ht="15" hidden="false" customHeight="false" outlineLevel="0" collapsed="false">
      <c r="B16" s="7" t="str">
        <f aca="false">IF(Lists!A9="","",Lists!A9)</f>
        <v>Operations</v>
      </c>
      <c r="C16" s="19" t="n">
        <f aca="false">IF($B16="","",COUNTIFS(M_dept,$B16,M_status,"Active"))</f>
        <v>0</v>
      </c>
      <c r="D16" s="20" t="n">
        <f aca="false">IF($B16="","",IFERROR(C16/C$24,0))</f>
        <v>0</v>
      </c>
      <c r="E16" s="21" t="n">
        <f aca="false">IF($B16="","",SUMIFS(M_sal,M_dept,$B16,M_status,"Active"))</f>
        <v>0</v>
      </c>
      <c r="F16" s="21" t="n">
        <f aca="false">IF($B16="","",IFERROR(E16/C16,0))</f>
        <v>0</v>
      </c>
      <c r="G16" s="19" t="n">
        <f aca="false">IF($B16="","",COUNTIFS(M_dept,$B16,M_status,"Exited"))</f>
        <v>0</v>
      </c>
      <c r="I16" s="7" t="str">
        <f aca="false">IF(Lists!B9="","",Lists!B9)</f>
        <v/>
      </c>
      <c r="J16" s="19" t="str">
        <f aca="false">IF($I16="","",COUNTIFS(M_loc,$I16,M_status,"Active"))</f>
        <v/>
      </c>
      <c r="K16" s="19" t="str">
        <f aca="false">IF($I16="","",COUNTIFS(M_loc,$I16,M_status,"Exited"))</f>
        <v/>
      </c>
      <c r="L16" s="21" t="str">
        <f aca="false">IF($I16="","",SUMIFS(M_sal,M_loc,$I16,M_status,"Active"))</f>
        <v/>
      </c>
    </row>
    <row r="17" customFormat="false" ht="15" hidden="false" customHeight="false" outlineLevel="0" collapsed="false">
      <c r="B17" s="7" t="str">
        <f aca="false">IF(Lists!A10="","",Lists!A10)</f>
        <v>Production</v>
      </c>
      <c r="C17" s="19" t="n">
        <f aca="false">IF($B17="","",COUNTIFS(M_dept,$B17,M_status,"Active"))</f>
        <v>0</v>
      </c>
      <c r="D17" s="20" t="n">
        <f aca="false">IF($B17="","",IFERROR(C17/C$24,0))</f>
        <v>0</v>
      </c>
      <c r="E17" s="21" t="n">
        <f aca="false">IF($B17="","",SUMIFS(M_sal,M_dept,$B17,M_status,"Active"))</f>
        <v>0</v>
      </c>
      <c r="F17" s="21" t="n">
        <f aca="false">IF($B17="","",IFERROR(E17/C17,0))</f>
        <v>0</v>
      </c>
      <c r="G17" s="19" t="n">
        <f aca="false">IF($B17="","",COUNTIFS(M_dept,$B17,M_status,"Exited"))</f>
        <v>0</v>
      </c>
      <c r="I17" s="7" t="str">
        <f aca="false">IF(Lists!B10="","",Lists!B10)</f>
        <v/>
      </c>
      <c r="J17" s="19" t="str">
        <f aca="false">IF($I17="","",COUNTIFS(M_loc,$I17,M_status,"Active"))</f>
        <v/>
      </c>
      <c r="K17" s="19" t="str">
        <f aca="false">IF($I17="","",COUNTIFS(M_loc,$I17,M_status,"Exited"))</f>
        <v/>
      </c>
      <c r="L17" s="21" t="str">
        <f aca="false">IF($I17="","",SUMIFS(M_sal,M_loc,$I17,M_status,"Active"))</f>
        <v/>
      </c>
    </row>
    <row r="18" customFormat="false" ht="15" hidden="false" customHeight="false" outlineLevel="0" collapsed="false">
      <c r="B18" s="7" t="str">
        <f aca="false">IF(Lists!A11="","",Lists!A11)</f>
        <v>Sales</v>
      </c>
      <c r="C18" s="19" t="n">
        <f aca="false">IF($B18="","",COUNTIFS(M_dept,$B18,M_status,"Active"))</f>
        <v>0</v>
      </c>
      <c r="D18" s="20" t="n">
        <f aca="false">IF($B18="","",IFERROR(C18/C$24,0))</f>
        <v>0</v>
      </c>
      <c r="E18" s="21" t="n">
        <f aca="false">IF($B18="","",SUMIFS(M_sal,M_dept,$B18,M_status,"Active"))</f>
        <v>0</v>
      </c>
      <c r="F18" s="21" t="n">
        <f aca="false">IF($B18="","",IFERROR(E18/C18,0))</f>
        <v>0</v>
      </c>
      <c r="G18" s="19" t="n">
        <f aca="false">IF($B18="","",COUNTIFS(M_dept,$B18,M_status,"Exited"))</f>
        <v>0</v>
      </c>
      <c r="I18" s="7" t="str">
        <f aca="false">IF(Lists!B11="","",Lists!B11)</f>
        <v/>
      </c>
      <c r="J18" s="19" t="str">
        <f aca="false">IF($I18="","",COUNTIFS(M_loc,$I18,M_status,"Active"))</f>
        <v/>
      </c>
      <c r="K18" s="19" t="str">
        <f aca="false">IF($I18="","",COUNTIFS(M_loc,$I18,M_status,"Exited"))</f>
        <v/>
      </c>
      <c r="L18" s="21" t="str">
        <f aca="false">IF($I18="","",SUMIFS(M_sal,M_loc,$I18,M_status,"Active"))</f>
        <v/>
      </c>
    </row>
    <row r="19" customFormat="false" ht="15" hidden="false" customHeight="false" outlineLevel="0" collapsed="false">
      <c r="B19" s="7" t="str">
        <f aca="false">IF(Lists!A12="","",Lists!A12)</f>
        <v>Stores</v>
      </c>
      <c r="C19" s="19" t="n">
        <f aca="false">IF($B19="","",COUNTIFS(M_dept,$B19,M_status,"Active"))</f>
        <v>0</v>
      </c>
      <c r="D19" s="20" t="n">
        <f aca="false">IF($B19="","",IFERROR(C19/C$24,0))</f>
        <v>0</v>
      </c>
      <c r="E19" s="21" t="n">
        <f aca="false">IF($B19="","",SUMIFS(M_sal,M_dept,$B19,M_status,"Active"))</f>
        <v>0</v>
      </c>
      <c r="F19" s="21" t="n">
        <f aca="false">IF($B19="","",IFERROR(E19/C19,0))</f>
        <v>0</v>
      </c>
      <c r="G19" s="19" t="n">
        <f aca="false">IF($B19="","",COUNTIFS(M_dept,$B19,M_status,"Exited"))</f>
        <v>0</v>
      </c>
      <c r="I19" s="7" t="str">
        <f aca="false">IF(Lists!B12="","",Lists!B12)</f>
        <v/>
      </c>
      <c r="J19" s="19" t="str">
        <f aca="false">IF($I19="","",COUNTIFS(M_loc,$I19,M_status,"Active"))</f>
        <v/>
      </c>
      <c r="K19" s="19" t="str">
        <f aca="false">IF($I19="","",COUNTIFS(M_loc,$I19,M_status,"Exited"))</f>
        <v/>
      </c>
      <c r="L19" s="21" t="str">
        <f aca="false">IF($I19="","",SUMIFS(M_sal,M_loc,$I19,M_status,"Active"))</f>
        <v/>
      </c>
    </row>
    <row r="20" customFormat="false" ht="15" hidden="false" customHeight="false" outlineLevel="0" collapsed="false">
      <c r="B20" s="7" t="str">
        <f aca="false">IF(Lists!A13="","",Lists!A13)</f>
        <v/>
      </c>
      <c r="C20" s="19" t="str">
        <f aca="false">IF($B20="","",COUNTIFS(M_dept,$B20,M_status,"Active"))</f>
        <v/>
      </c>
      <c r="D20" s="20" t="str">
        <f aca="false">IF($B20="","",IFERROR(C20/C$24,0))</f>
        <v/>
      </c>
      <c r="E20" s="21" t="str">
        <f aca="false">IF($B20="","",SUMIFS(M_sal,M_dept,$B20,M_status,"Active"))</f>
        <v/>
      </c>
      <c r="F20" s="21" t="str">
        <f aca="false">IF($B20="","",IFERROR(E20/C20,0))</f>
        <v/>
      </c>
      <c r="G20" s="19" t="str">
        <f aca="false">IF($B20="","",COUNTIFS(M_dept,$B20,M_status,"Exited"))</f>
        <v/>
      </c>
      <c r="I20" s="7" t="str">
        <f aca="false">IF(Lists!B13="","",Lists!B13)</f>
        <v/>
      </c>
      <c r="J20" s="19" t="str">
        <f aca="false">IF($I20="","",COUNTIFS(M_loc,$I20,M_status,"Active"))</f>
        <v/>
      </c>
      <c r="K20" s="19" t="str">
        <f aca="false">IF($I20="","",COUNTIFS(M_loc,$I20,M_status,"Exited"))</f>
        <v/>
      </c>
      <c r="L20" s="21" t="str">
        <f aca="false">IF($I20="","",SUMIFS(M_sal,M_loc,$I20,M_status,"Active"))</f>
        <v/>
      </c>
    </row>
    <row r="21" customFormat="false" ht="15" hidden="false" customHeight="false" outlineLevel="0" collapsed="false">
      <c r="B21" s="7" t="str">
        <f aca="false">IF(Lists!A14="","",Lists!A14)</f>
        <v/>
      </c>
      <c r="C21" s="19" t="str">
        <f aca="false">IF($B21="","",COUNTIFS(M_dept,$B21,M_status,"Active"))</f>
        <v/>
      </c>
      <c r="D21" s="20" t="str">
        <f aca="false">IF($B21="","",IFERROR(C21/C$24,0))</f>
        <v/>
      </c>
      <c r="E21" s="21" t="str">
        <f aca="false">IF($B21="","",SUMIFS(M_sal,M_dept,$B21,M_status,"Active"))</f>
        <v/>
      </c>
      <c r="F21" s="21" t="str">
        <f aca="false">IF($B21="","",IFERROR(E21/C21,0))</f>
        <v/>
      </c>
      <c r="G21" s="19" t="str">
        <f aca="false">IF($B21="","",COUNTIFS(M_dept,$B21,M_status,"Exited"))</f>
        <v/>
      </c>
      <c r="I21" s="7" t="str">
        <f aca="false">IF(Lists!B14="","",Lists!B14)</f>
        <v/>
      </c>
      <c r="J21" s="19" t="str">
        <f aca="false">IF($I21="","",COUNTIFS(M_loc,$I21,M_status,"Active"))</f>
        <v/>
      </c>
      <c r="K21" s="19" t="str">
        <f aca="false">IF($I21="","",COUNTIFS(M_loc,$I21,M_status,"Exited"))</f>
        <v/>
      </c>
      <c r="L21" s="21" t="str">
        <f aca="false">IF($I21="","",SUMIFS(M_sal,M_loc,$I21,M_status,"Active"))</f>
        <v/>
      </c>
    </row>
    <row r="22" customFormat="false" ht="15" hidden="false" customHeight="false" outlineLevel="0" collapsed="false">
      <c r="B22" s="7" t="str">
        <f aca="false">IF(Lists!A15="","",Lists!A15)</f>
        <v/>
      </c>
      <c r="C22" s="19" t="str">
        <f aca="false">IF($B22="","",COUNTIFS(M_dept,$B22,M_status,"Active"))</f>
        <v/>
      </c>
      <c r="D22" s="20" t="str">
        <f aca="false">IF($B22="","",IFERROR(C22/C$24,0))</f>
        <v/>
      </c>
      <c r="E22" s="21" t="str">
        <f aca="false">IF($B22="","",SUMIFS(M_sal,M_dept,$B22,M_status,"Active"))</f>
        <v/>
      </c>
      <c r="F22" s="21" t="str">
        <f aca="false">IF($B22="","",IFERROR(E22/C22,0))</f>
        <v/>
      </c>
      <c r="G22" s="19" t="str">
        <f aca="false">IF($B22="","",COUNTIFS(M_dept,$B22,M_status,"Exited"))</f>
        <v/>
      </c>
      <c r="I22" s="22" t="s">
        <v>74</v>
      </c>
      <c r="J22" s="23" t="n">
        <f aca="false">SUM(J12:J21)</f>
        <v>0</v>
      </c>
      <c r="K22" s="23" t="n">
        <f aca="false">SUM(K12:K21)</f>
        <v>0</v>
      </c>
      <c r="L22" s="24" t="n">
        <f aca="false">SUM(L12:L21)</f>
        <v>0</v>
      </c>
    </row>
    <row r="23" customFormat="false" ht="15" hidden="false" customHeight="false" outlineLevel="0" collapsed="false">
      <c r="B23" s="7" t="str">
        <f aca="false">IF(Lists!A16="","",Lists!A16)</f>
        <v/>
      </c>
      <c r="C23" s="19" t="str">
        <f aca="false">IF($B23="","",COUNTIFS(M_dept,$B23,M_status,"Active"))</f>
        <v/>
      </c>
      <c r="D23" s="20" t="str">
        <f aca="false">IF($B23="","",IFERROR(C23/C$24,0))</f>
        <v/>
      </c>
      <c r="E23" s="21" t="str">
        <f aca="false">IF($B23="","",SUMIFS(M_sal,M_dept,$B23,M_status,"Active"))</f>
        <v/>
      </c>
      <c r="F23" s="21" t="str">
        <f aca="false">IF($B23="","",IFERROR(E23/C23,0))</f>
        <v/>
      </c>
      <c r="G23" s="19" t="str">
        <f aca="false">IF($B23="","",COUNTIFS(M_dept,$B23,M_status,"Exited"))</f>
        <v/>
      </c>
      <c r="I23" s="25" t="str">
        <f aca="false">"Active employees with no / unlisted location: "&amp;(D5-J22)</f>
        <v>Active employees with no / unlisted location: 0</v>
      </c>
    </row>
    <row r="24" customFormat="false" ht="15" hidden="false" customHeight="false" outlineLevel="0" collapsed="false">
      <c r="B24" s="22" t="s">
        <v>74</v>
      </c>
      <c r="C24" s="23" t="n">
        <f aca="false">SUM(C12:C23)</f>
        <v>0</v>
      </c>
      <c r="D24" s="26" t="n">
        <f aca="false">SUM(D12:D23)</f>
        <v>0</v>
      </c>
      <c r="E24" s="24" t="n">
        <f aca="false">SUM(E12:E23)</f>
        <v>0</v>
      </c>
      <c r="F24" s="27" t="n">
        <f aca="false">IFERROR(E24/C24,0)</f>
        <v>0</v>
      </c>
      <c r="G24" s="23" t="n">
        <f aca="false">SUM(G12:G23)</f>
        <v>0</v>
      </c>
    </row>
    <row r="25" customFormat="false" ht="15" hidden="false" customHeight="false" outlineLevel="0" collapsed="false">
      <c r="B25" s="25" t="str">
        <f aca="false">"Active employees with no / unlisted department: "&amp;(D5-C24)</f>
        <v>Active employees with no / unlisted department: 0</v>
      </c>
    </row>
    <row r="27" customFormat="false" ht="15" hidden="false" customHeight="false" outlineLevel="0" collapsed="false">
      <c r="B27" s="3" t="s">
        <v>75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39.75" hidden="false" customHeight="true" outlineLevel="0" collapsed="false">
      <c r="B28" s="18" t="s">
        <v>76</v>
      </c>
      <c r="C28" s="18" t="s">
        <v>77</v>
      </c>
      <c r="E28" s="18" t="s">
        <v>20</v>
      </c>
      <c r="F28" s="18" t="s">
        <v>77</v>
      </c>
      <c r="H28" s="18" t="s">
        <v>78</v>
      </c>
      <c r="I28" s="18" t="s">
        <v>77</v>
      </c>
      <c r="K28" s="18" t="s">
        <v>79</v>
      </c>
      <c r="L28" s="18" t="s">
        <v>77</v>
      </c>
    </row>
    <row r="29" customFormat="false" ht="15" hidden="false" customHeight="false" outlineLevel="0" collapsed="false">
      <c r="B29" s="7" t="str">
        <f aca="false">IF(Lists!D5="","",Lists!D5)</f>
        <v>Male</v>
      </c>
      <c r="C29" s="19" t="n">
        <f aca="false">IF(B29="","",COUNTIFS(M_sex,B29,M_status,"Active"))</f>
        <v>0</v>
      </c>
      <c r="E29" s="7" t="str">
        <f aca="false">IF(Lists!G5="","",Lists!G5)</f>
        <v>Permanent</v>
      </c>
      <c r="F29" s="19" t="n">
        <f aca="false">IF(E29="","",COUNTIFS(M_type,E29,M_status,"Active"))</f>
        <v>0</v>
      </c>
      <c r="H29" s="7" t="s">
        <v>80</v>
      </c>
      <c r="I29" s="19" t="n">
        <f aca="false">COUNTIFS(M_status,"Active",M_age,"&lt;25")</f>
        <v>0</v>
      </c>
      <c r="K29" s="7" t="s">
        <v>81</v>
      </c>
      <c r="L29" s="19" t="n">
        <f aca="false">COUNTIFS(M_status,"Active",M_ten,"&lt;1")</f>
        <v>0</v>
      </c>
    </row>
    <row r="30" customFormat="false" ht="15" hidden="false" customHeight="false" outlineLevel="0" collapsed="false">
      <c r="B30" s="7" t="str">
        <f aca="false">IF(Lists!D6="","",Lists!D6)</f>
        <v>Female</v>
      </c>
      <c r="C30" s="19" t="n">
        <f aca="false">IF(B30="","",COUNTIFS(M_sex,B30,M_status,"Active"))</f>
        <v>0</v>
      </c>
      <c r="E30" s="7" t="str">
        <f aca="false">IF(Lists!G6="","",Lists!G6)</f>
        <v>Probation</v>
      </c>
      <c r="F30" s="19" t="n">
        <f aca="false">IF(E30="","",COUNTIFS(M_type,E30,M_status,"Active"))</f>
        <v>0</v>
      </c>
      <c r="H30" s="7" t="s">
        <v>82</v>
      </c>
      <c r="I30" s="19" t="n">
        <f aca="false">COUNTIFS(M_status,"Active",M_age,"&gt;=25",M_age,"&lt;=34")</f>
        <v>0</v>
      </c>
      <c r="K30" s="7" t="s">
        <v>83</v>
      </c>
      <c r="L30" s="19" t="n">
        <f aca="false">COUNTIFS(M_status,"Active",M_ten,"&gt;=1",M_ten,"&lt;3")</f>
        <v>0</v>
      </c>
    </row>
    <row r="31" customFormat="false" ht="15" hidden="false" customHeight="false" outlineLevel="0" collapsed="false">
      <c r="B31" s="7" t="str">
        <f aca="false">IF(Lists!D7="","",Lists!D7)</f>
        <v>Other</v>
      </c>
      <c r="C31" s="19" t="n">
        <f aca="false">IF(B31="","",COUNTIFS(M_sex,B31,M_status,"Active"))</f>
        <v>0</v>
      </c>
      <c r="E31" s="7" t="str">
        <f aca="false">IF(Lists!G7="","",Lists!G7)</f>
        <v/>
      </c>
      <c r="F31" s="19" t="str">
        <f aca="false">IF(E31="","",COUNTIFS(M_type,E31,M_status,"Active"))</f>
        <v/>
      </c>
      <c r="H31" s="7" t="s">
        <v>84</v>
      </c>
      <c r="I31" s="19" t="n">
        <f aca="false">COUNTIFS(M_status,"Active",M_age,"&gt;=35",M_age,"&lt;=44")</f>
        <v>0</v>
      </c>
      <c r="K31" s="7" t="s">
        <v>85</v>
      </c>
      <c r="L31" s="19" t="n">
        <f aca="false">COUNTIFS(M_status,"Active",M_ten,"&gt;=3",M_ten,"&lt;5")</f>
        <v>0</v>
      </c>
    </row>
    <row r="32" customFormat="false" ht="15" hidden="false" customHeight="false" outlineLevel="0" collapsed="false">
      <c r="E32" s="7" t="str">
        <f aca="false">IF(Lists!G8="","",Lists!G8)</f>
        <v/>
      </c>
      <c r="F32" s="19" t="str">
        <f aca="false">IF(E32="","",COUNTIFS(M_type,E32,M_status,"Active"))</f>
        <v/>
      </c>
      <c r="H32" s="7" t="s">
        <v>86</v>
      </c>
      <c r="I32" s="19" t="n">
        <f aca="false">COUNTIFS(M_status,"Active",M_age,"&gt;=45",M_age,"&lt;=54")</f>
        <v>0</v>
      </c>
      <c r="K32" s="7" t="s">
        <v>87</v>
      </c>
      <c r="L32" s="19" t="n">
        <f aca="false">COUNTIFS(M_status,"Active",M_ten,"&gt;=5",M_ten,"&lt;10")</f>
        <v>0</v>
      </c>
    </row>
    <row r="33" customFormat="false" ht="15" hidden="false" customHeight="false" outlineLevel="0" collapsed="false">
      <c r="E33" s="7" t="str">
        <f aca="false">IF(Lists!G9="","",Lists!G9)</f>
        <v/>
      </c>
      <c r="F33" s="19" t="str">
        <f aca="false">IF(E33="","",COUNTIFS(M_type,E33,M_status,"Active"))</f>
        <v/>
      </c>
      <c r="H33" s="7" t="s">
        <v>88</v>
      </c>
      <c r="I33" s="19" t="n">
        <f aca="false">COUNTIFS(M_status,"Active",M_age,"&gt;=55")</f>
        <v>0</v>
      </c>
      <c r="K33" s="7" t="s">
        <v>89</v>
      </c>
      <c r="L33" s="19" t="n">
        <f aca="false">COUNTIFS(M_status,"Active",M_ten,"&gt;=10")</f>
        <v>0</v>
      </c>
    </row>
    <row r="34" customFormat="false" ht="15" hidden="false" customHeight="false" outlineLevel="0" collapsed="false">
      <c r="E34" s="7" t="str">
        <f aca="false">IF(Lists!G10="","",Lists!G10)</f>
        <v/>
      </c>
      <c r="F34" s="19" t="str">
        <f aca="false">IF(E34="","",COUNTIFS(M_type,E34,M_status,"Active"))</f>
        <v/>
      </c>
    </row>
    <row r="37" customFormat="false" ht="15" hidden="false" customHeight="false" outlineLevel="0" collapsed="false">
      <c r="B37" s="3" t="s">
        <v>90</v>
      </c>
      <c r="C37" s="3"/>
      <c r="D37" s="3"/>
      <c r="E37" s="3"/>
      <c r="H37" s="3" t="s">
        <v>91</v>
      </c>
      <c r="I37" s="3"/>
      <c r="J37" s="3"/>
      <c r="K37" s="3"/>
      <c r="L37" s="3"/>
      <c r="M37" s="3"/>
    </row>
    <row r="38" customFormat="false" ht="39.75" hidden="false" customHeight="true" outlineLevel="0" collapsed="false">
      <c r="B38" s="18" t="s">
        <v>92</v>
      </c>
      <c r="C38" s="18" t="s">
        <v>67</v>
      </c>
      <c r="D38" s="18" t="s">
        <v>93</v>
      </c>
      <c r="E38" s="18" t="s">
        <v>94</v>
      </c>
      <c r="H38" s="18" t="s">
        <v>92</v>
      </c>
      <c r="I38" s="18"/>
      <c r="J38" s="18" t="s">
        <v>67</v>
      </c>
      <c r="K38" s="18" t="s">
        <v>93</v>
      </c>
      <c r="L38" s="18" t="s">
        <v>95</v>
      </c>
      <c r="M38" s="18" t="s">
        <v>94</v>
      </c>
    </row>
    <row r="39" customFormat="false" ht="15" hidden="false" customHeight="false" outlineLevel="0" collapsed="false">
      <c r="B39" s="7" t="str">
        <f aca="false">IFERROR(INDEX(M_name,MATCH(SMALL(M_bdrank,ROWS(B$39:B39)),M_bdrank,0)),"")</f>
        <v/>
      </c>
      <c r="C39" s="7" t="str">
        <f aca="false">IFERROR(INDEX(M_dept,MATCH(SMALL(M_bdrank,ROWS(B$39:B39)),M_bdrank,0)),"")</f>
        <v/>
      </c>
      <c r="D39" s="28" t="str">
        <f aca="false">IFERROR(AsOf+INDEX(M_bd,MATCH(SMALL(M_bdrank,ROWS(B$39:B39)),M_bdrank,0)),"")</f>
        <v/>
      </c>
      <c r="E39" s="19" t="str">
        <f aca="false">IFERROR(INDEX(M_bd,MATCH(SMALL(M_bdrank,ROWS(B$39:B39)),M_bdrank,0)),"")</f>
        <v/>
      </c>
      <c r="H39" s="7" t="str">
        <f aca="false">IFERROR(INDEX(M_name,MATCH(SMALL(M_anrank,ROWS(H$39:H39)),M_anrank,0)),"")</f>
        <v/>
      </c>
      <c r="I39" s="7"/>
      <c r="J39" s="7" t="str">
        <f aca="false">IFERROR(INDEX(M_dept,MATCH(SMALL(M_anrank,ROWS(H$39:H39)),M_anrank,0)),"")</f>
        <v/>
      </c>
      <c r="K39" s="28" t="str">
        <f aca="false">IFERROR(AsOf+INDEX(M_an,MATCH(SMALL(M_anrank,ROWS(H$39:H39)),M_anrank,0)),"")</f>
        <v/>
      </c>
      <c r="L39" s="19" t="str">
        <f aca="false">IFERROR(YEAR(K39)-YEAR(INDEX(M_doj,MATCH(SMALL(M_anrank,ROWS(H$39:H39)),M_anrank,0))),"")</f>
        <v/>
      </c>
      <c r="M39" s="19" t="str">
        <f aca="false">IFERROR(INDEX(M_an,MATCH(SMALL(M_anrank,ROWS(H$39:H39)),M_anrank,0)),"")</f>
        <v/>
      </c>
    </row>
    <row r="40" customFormat="false" ht="15" hidden="false" customHeight="false" outlineLevel="0" collapsed="false">
      <c r="B40" s="7" t="str">
        <f aca="false">IFERROR(INDEX(M_name,MATCH(SMALL(M_bdrank,ROWS(B$39:B40)),M_bdrank,0)),"")</f>
        <v/>
      </c>
      <c r="C40" s="7" t="str">
        <f aca="false">IFERROR(INDEX(M_dept,MATCH(SMALL(M_bdrank,ROWS(B$39:B40)),M_bdrank,0)),"")</f>
        <v/>
      </c>
      <c r="D40" s="28" t="str">
        <f aca="false">IFERROR(AsOf+INDEX(M_bd,MATCH(SMALL(M_bdrank,ROWS(B$39:B40)),M_bdrank,0)),"")</f>
        <v/>
      </c>
      <c r="E40" s="19" t="str">
        <f aca="false">IFERROR(INDEX(M_bd,MATCH(SMALL(M_bdrank,ROWS(B$39:B40)),M_bdrank,0)),"")</f>
        <v/>
      </c>
      <c r="H40" s="7" t="str">
        <f aca="false">IFERROR(INDEX(M_name,MATCH(SMALL(M_anrank,ROWS(H$39:H40)),M_anrank,0)),"")</f>
        <v/>
      </c>
      <c r="I40" s="7"/>
      <c r="J40" s="7" t="str">
        <f aca="false">IFERROR(INDEX(M_dept,MATCH(SMALL(M_anrank,ROWS(H$39:H40)),M_anrank,0)),"")</f>
        <v/>
      </c>
      <c r="K40" s="28" t="str">
        <f aca="false">IFERROR(AsOf+INDEX(M_an,MATCH(SMALL(M_anrank,ROWS(H$39:H40)),M_anrank,0)),"")</f>
        <v/>
      </c>
      <c r="L40" s="19" t="str">
        <f aca="false">IFERROR(YEAR(K40)-YEAR(INDEX(M_doj,MATCH(SMALL(M_anrank,ROWS(H$39:H40)),M_anrank,0))),"")</f>
        <v/>
      </c>
      <c r="M40" s="19" t="str">
        <f aca="false">IFERROR(INDEX(M_an,MATCH(SMALL(M_anrank,ROWS(H$39:H40)),M_anrank,0)),"")</f>
        <v/>
      </c>
    </row>
    <row r="41" customFormat="false" ht="15" hidden="false" customHeight="false" outlineLevel="0" collapsed="false">
      <c r="B41" s="7" t="str">
        <f aca="false">IFERROR(INDEX(M_name,MATCH(SMALL(M_bdrank,ROWS(B$39:B41)),M_bdrank,0)),"")</f>
        <v/>
      </c>
      <c r="C41" s="7" t="str">
        <f aca="false">IFERROR(INDEX(M_dept,MATCH(SMALL(M_bdrank,ROWS(B$39:B41)),M_bdrank,0)),"")</f>
        <v/>
      </c>
      <c r="D41" s="28" t="str">
        <f aca="false">IFERROR(AsOf+INDEX(M_bd,MATCH(SMALL(M_bdrank,ROWS(B$39:B41)),M_bdrank,0)),"")</f>
        <v/>
      </c>
      <c r="E41" s="19" t="str">
        <f aca="false">IFERROR(INDEX(M_bd,MATCH(SMALL(M_bdrank,ROWS(B$39:B41)),M_bdrank,0)),"")</f>
        <v/>
      </c>
      <c r="H41" s="7" t="str">
        <f aca="false">IFERROR(INDEX(M_name,MATCH(SMALL(M_anrank,ROWS(H$39:H41)),M_anrank,0)),"")</f>
        <v/>
      </c>
      <c r="I41" s="7"/>
      <c r="J41" s="7" t="str">
        <f aca="false">IFERROR(INDEX(M_dept,MATCH(SMALL(M_anrank,ROWS(H$39:H41)),M_anrank,0)),"")</f>
        <v/>
      </c>
      <c r="K41" s="28" t="str">
        <f aca="false">IFERROR(AsOf+INDEX(M_an,MATCH(SMALL(M_anrank,ROWS(H$39:H41)),M_anrank,0)),"")</f>
        <v/>
      </c>
      <c r="L41" s="19" t="str">
        <f aca="false">IFERROR(YEAR(K41)-YEAR(INDEX(M_doj,MATCH(SMALL(M_anrank,ROWS(H$39:H41)),M_anrank,0))),"")</f>
        <v/>
      </c>
      <c r="M41" s="19" t="str">
        <f aca="false">IFERROR(INDEX(M_an,MATCH(SMALL(M_anrank,ROWS(H$39:H41)),M_anrank,0)),"")</f>
        <v/>
      </c>
    </row>
    <row r="42" customFormat="false" ht="15" hidden="false" customHeight="false" outlineLevel="0" collapsed="false">
      <c r="B42" s="7" t="str">
        <f aca="false">IFERROR(INDEX(M_name,MATCH(SMALL(M_bdrank,ROWS(B$39:B42)),M_bdrank,0)),"")</f>
        <v/>
      </c>
      <c r="C42" s="7" t="str">
        <f aca="false">IFERROR(INDEX(M_dept,MATCH(SMALL(M_bdrank,ROWS(B$39:B42)),M_bdrank,0)),"")</f>
        <v/>
      </c>
      <c r="D42" s="28" t="str">
        <f aca="false">IFERROR(AsOf+INDEX(M_bd,MATCH(SMALL(M_bdrank,ROWS(B$39:B42)),M_bdrank,0)),"")</f>
        <v/>
      </c>
      <c r="E42" s="19" t="str">
        <f aca="false">IFERROR(INDEX(M_bd,MATCH(SMALL(M_bdrank,ROWS(B$39:B42)),M_bdrank,0)),"")</f>
        <v/>
      </c>
      <c r="H42" s="7" t="str">
        <f aca="false">IFERROR(INDEX(M_name,MATCH(SMALL(M_anrank,ROWS(H$39:H42)),M_anrank,0)),"")</f>
        <v/>
      </c>
      <c r="I42" s="7"/>
      <c r="J42" s="7" t="str">
        <f aca="false">IFERROR(INDEX(M_dept,MATCH(SMALL(M_anrank,ROWS(H$39:H42)),M_anrank,0)),"")</f>
        <v/>
      </c>
      <c r="K42" s="28" t="str">
        <f aca="false">IFERROR(AsOf+INDEX(M_an,MATCH(SMALL(M_anrank,ROWS(H$39:H42)),M_anrank,0)),"")</f>
        <v/>
      </c>
      <c r="L42" s="19" t="str">
        <f aca="false">IFERROR(YEAR(K42)-YEAR(INDEX(M_doj,MATCH(SMALL(M_anrank,ROWS(H$39:H42)),M_anrank,0))),"")</f>
        <v/>
      </c>
      <c r="M42" s="19" t="str">
        <f aca="false">IFERROR(INDEX(M_an,MATCH(SMALL(M_anrank,ROWS(H$39:H42)),M_anrank,0)),"")</f>
        <v/>
      </c>
    </row>
    <row r="43" customFormat="false" ht="15" hidden="false" customHeight="false" outlineLevel="0" collapsed="false">
      <c r="B43" s="7" t="str">
        <f aca="false">IFERROR(INDEX(M_name,MATCH(SMALL(M_bdrank,ROWS(B$39:B43)),M_bdrank,0)),"")</f>
        <v/>
      </c>
      <c r="C43" s="7" t="str">
        <f aca="false">IFERROR(INDEX(M_dept,MATCH(SMALL(M_bdrank,ROWS(B$39:B43)),M_bdrank,0)),"")</f>
        <v/>
      </c>
      <c r="D43" s="28" t="str">
        <f aca="false">IFERROR(AsOf+INDEX(M_bd,MATCH(SMALL(M_bdrank,ROWS(B$39:B43)),M_bdrank,0)),"")</f>
        <v/>
      </c>
      <c r="E43" s="19" t="str">
        <f aca="false">IFERROR(INDEX(M_bd,MATCH(SMALL(M_bdrank,ROWS(B$39:B43)),M_bdrank,0)),"")</f>
        <v/>
      </c>
      <c r="H43" s="7" t="str">
        <f aca="false">IFERROR(INDEX(M_name,MATCH(SMALL(M_anrank,ROWS(H$39:H43)),M_anrank,0)),"")</f>
        <v/>
      </c>
      <c r="I43" s="7"/>
      <c r="J43" s="7" t="str">
        <f aca="false">IFERROR(INDEX(M_dept,MATCH(SMALL(M_anrank,ROWS(H$39:H43)),M_anrank,0)),"")</f>
        <v/>
      </c>
      <c r="K43" s="28" t="str">
        <f aca="false">IFERROR(AsOf+INDEX(M_an,MATCH(SMALL(M_anrank,ROWS(H$39:H43)),M_anrank,0)),"")</f>
        <v/>
      </c>
      <c r="L43" s="19" t="str">
        <f aca="false">IFERROR(YEAR(K43)-YEAR(INDEX(M_doj,MATCH(SMALL(M_anrank,ROWS(H$39:H43)),M_anrank,0))),"")</f>
        <v/>
      </c>
      <c r="M43" s="19" t="str">
        <f aca="false">IFERROR(INDEX(M_an,MATCH(SMALL(M_anrank,ROWS(H$39:H43)),M_anrank,0)),"")</f>
        <v/>
      </c>
    </row>
    <row r="46" customFormat="false" ht="15" hidden="false" customHeight="false" outlineLevel="0" collapsed="false">
      <c r="B46" s="3" t="s">
        <v>96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25.5" hidden="false" customHeight="true" outlineLevel="0" collapsed="false">
      <c r="B47" s="13" t="s">
        <v>97</v>
      </c>
      <c r="C47" s="13"/>
      <c r="D47" s="13" t="s">
        <v>98</v>
      </c>
      <c r="E47" s="13"/>
      <c r="F47" s="13" t="s">
        <v>99</v>
      </c>
      <c r="G47" s="13"/>
      <c r="H47" s="13" t="s">
        <v>100</v>
      </c>
      <c r="I47" s="13"/>
      <c r="J47" s="13" t="s">
        <v>101</v>
      </c>
      <c r="K47" s="13"/>
      <c r="L47" s="13" t="s">
        <v>102</v>
      </c>
      <c r="M47" s="13"/>
      <c r="N47" s="13" t="s">
        <v>103</v>
      </c>
      <c r="O47" s="13"/>
    </row>
    <row r="48" customFormat="false" ht="31.5" hidden="false" customHeight="true" outlineLevel="0" collapsed="false">
      <c r="B48" s="14" t="n">
        <f aca="false">COUNTIFS(M_status,"Active",M_aadhaar,"")</f>
        <v>0</v>
      </c>
      <c r="C48" s="14"/>
      <c r="D48" s="14" t="n">
        <f aca="false">COUNTIFS(M_status,"Active",M_pan,"")</f>
        <v>0</v>
      </c>
      <c r="E48" s="14"/>
      <c r="F48" s="14" t="n">
        <f aca="false">COUNTIFS(M_status,"Active",M_mobile,"")</f>
        <v>0</v>
      </c>
      <c r="G48" s="14"/>
      <c r="H48" s="14" t="n">
        <f aca="false">COUNTIFS(M_status,"Active",M_acct,"")</f>
        <v>0</v>
      </c>
      <c r="I48" s="14"/>
      <c r="J48" s="14" t="n">
        <f aca="false">COUNTIFS(M_status,"Active",M_ifsc,"")</f>
        <v>0</v>
      </c>
      <c r="K48" s="14"/>
      <c r="L48" s="14" t="n">
        <f aca="false">COUNTIFS(M_status,"Active",M_dob,"")</f>
        <v>0</v>
      </c>
      <c r="M48" s="14"/>
      <c r="N48" s="14" t="n">
        <f aca="false">COUNTIFS(M_status,"Active",M_doj,"")</f>
        <v>0</v>
      </c>
      <c r="O48" s="14"/>
    </row>
    <row r="50" customFormat="false" ht="15" hidden="false" customHeight="false" outlineLevel="0" collapsed="false">
      <c r="B50" s="25" t="s">
        <v>104</v>
      </c>
    </row>
  </sheetData>
  <mergeCells count="56">
    <mergeCell ref="B1:O1"/>
    <mergeCell ref="B2:O2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10:G10"/>
    <mergeCell ref="I10:L10"/>
    <mergeCell ref="B27:O27"/>
    <mergeCell ref="B37:E37"/>
    <mergeCell ref="H37:M37"/>
    <mergeCell ref="H38:I38"/>
    <mergeCell ref="H39:I39"/>
    <mergeCell ref="H40:I40"/>
    <mergeCell ref="H41:I41"/>
    <mergeCell ref="H42:I42"/>
    <mergeCell ref="H43:I43"/>
    <mergeCell ref="B46:O46"/>
    <mergeCell ref="B47:C47"/>
    <mergeCell ref="D47:E47"/>
    <mergeCell ref="F47:G47"/>
    <mergeCell ref="H47:I47"/>
    <mergeCell ref="J47:K47"/>
    <mergeCell ref="L47:M47"/>
    <mergeCell ref="N47:O47"/>
    <mergeCell ref="B48:C48"/>
    <mergeCell ref="D48:E48"/>
    <mergeCell ref="F48:G48"/>
    <mergeCell ref="H48:I48"/>
    <mergeCell ref="J48:K48"/>
    <mergeCell ref="L48:M48"/>
    <mergeCell ref="N48:O48"/>
  </mergeCells>
  <conditionalFormatting sqref="C12:C23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{D0177FC6-C2F0-4E48-9DFF-2FDDC014851A}</x14:id>
        </ext>
      </extLst>
    </cfRule>
  </conditionalFormatting>
  <conditionalFormatting sqref="J12:J21">
    <cfRule type="dataBar" priority="3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{A28AFD77-8074-4289-85E0-B7BD6328196F}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177FC6-C2F0-4E48-9DFF-2FDDC014851A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C12:C23</xm:sqref>
        </x14:conditionalFormatting>
        <x14:conditionalFormatting xmlns:xm="http://schemas.microsoft.com/office/excel/2006/main">
          <x14:cfRule type="dataBar" id="{A28AFD77-8074-4289-85E0-B7BD6328196F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J12:J21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X5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6"/>
    <col collapsed="false" customWidth="true" hidden="false" outlineLevel="0" max="19" min="19" style="0" width="8"/>
    <col collapsed="false" customWidth="true" hidden="false" outlineLevel="0" max="20" min="20" style="0" width="15"/>
    <col collapsed="false" customWidth="true" hidden="false" outlineLevel="0" max="21" min="21" style="0" width="12"/>
    <col collapsed="false" customWidth="true" hidden="false" outlineLevel="0" max="23" min="22" style="0" width="13"/>
    <col collapsed="false" customWidth="true" hidden="false" outlineLevel="0" max="25" min="24" style="0" width="24"/>
    <col collapsed="false" customWidth="true" hidden="false" outlineLevel="0" max="26" min="26" style="0" width="12"/>
    <col collapsed="false" customWidth="true" hidden="false" outlineLevel="0" max="28" min="27" style="0" width="22"/>
    <col collapsed="false" customWidth="true" hidden="false" outlineLevel="0" max="29" min="29" style="0" width="14"/>
    <col collapsed="false" customWidth="true" hidden="false" outlineLevel="0" max="30" min="30" style="0" width="16"/>
    <col collapsed="false" customWidth="true" hidden="false" outlineLevel="0" max="31" min="31" style="0" width="9"/>
    <col collapsed="false" customWidth="true" hidden="false" outlineLevel="0" max="32" min="32" style="0" width="22"/>
    <col collapsed="false" customWidth="true" hidden="false" outlineLevel="0" max="33" min="33" style="0" width="18"/>
    <col collapsed="false" customWidth="true" hidden="false" outlineLevel="0" max="34" min="34" style="0" width="13"/>
    <col collapsed="false" customWidth="true" hidden="false" outlineLevel="0" max="35" min="35" style="0" width="16"/>
    <col collapsed="false" customWidth="true" hidden="false" outlineLevel="0" max="37" min="36" style="0" width="15"/>
    <col collapsed="false" customWidth="true" hidden="false" outlineLevel="0" max="38" min="38" style="0" width="18"/>
    <col collapsed="false" customWidth="true" hidden="false" outlineLevel="0" max="41" min="39" style="0" width="13"/>
    <col collapsed="false" customWidth="true" hidden="false" outlineLevel="0" max="42" min="42" style="0" width="8"/>
    <col collapsed="false" customWidth="true" hidden="false" outlineLevel="0" max="44" min="43" style="0" width="9"/>
    <col collapsed="false" customWidth="true" hidden="false" outlineLevel="0" max="45" min="45" style="0" width="10"/>
    <col collapsed="false" customWidth="true" hidden="false" outlineLevel="0" max="46" min="46" style="0" width="11"/>
    <col collapsed="false" customWidth="true" hidden="false" outlineLevel="0" max="47" min="47" style="0" width="9"/>
    <col collapsed="false" customWidth="true" hidden="false" outlineLevel="0" max="48" min="48" style="0" width="48"/>
    <col collapsed="false" customWidth="true" hidden="false" outlineLevel="0" max="50" min="49" style="0" width="8"/>
  </cols>
  <sheetData>
    <row r="1" customFormat="false" ht="19.7" hidden="false" customHeight="false" outlineLevel="0" collapsed="false">
      <c r="A1" s="29" t="str">
        <f aca="false">"EMPLOYEE MASTER - "&amp;Settings!$C$5</f>
        <v>EMPLOYEE MASTER - Your Company Name</v>
      </c>
    </row>
    <row r="2" customFormat="false" ht="15" hidden="false" customHeight="false" outlineLevel="0" collapsed="false">
      <c r="A2" s="25" t="s">
        <v>105</v>
      </c>
    </row>
    <row r="3" customFormat="false" ht="15" hidden="false" customHeight="false" outlineLevel="0" collapsed="false">
      <c r="B3" s="30" t="s">
        <v>68</v>
      </c>
      <c r="C3" s="31" t="n">
        <f aca="false">COUNTIF(M_status,"Active")</f>
        <v>0</v>
      </c>
      <c r="D3" s="30" t="s">
        <v>72</v>
      </c>
      <c r="E3" s="31" t="n">
        <f aca="false">COUNTIF(M_status,"Exited")</f>
        <v>0</v>
      </c>
      <c r="F3" s="30" t="s">
        <v>106</v>
      </c>
      <c r="G3" s="31" t="n">
        <f aca="false">COUNTA(M_emp)</f>
        <v>0</v>
      </c>
      <c r="H3" s="30" t="s">
        <v>107</v>
      </c>
      <c r="I3" s="31" t="n">
        <f aca="false">COUNTIFS(M_status,"Active",M_issues,"&gt;0")</f>
        <v>0</v>
      </c>
    </row>
    <row r="4" customFormat="false" ht="15" hidden="false" customHeight="true" outlineLevel="0" collapsed="false">
      <c r="A4" s="32" t="s">
        <v>108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3" t="s">
        <v>109</v>
      </c>
      <c r="O4" s="33"/>
      <c r="P4" s="33"/>
      <c r="Q4" s="33"/>
      <c r="R4" s="33"/>
      <c r="S4" s="33"/>
      <c r="T4" s="33"/>
      <c r="U4" s="33"/>
      <c r="V4" s="34" t="s">
        <v>110</v>
      </c>
      <c r="W4" s="34"/>
      <c r="X4" s="34"/>
      <c r="Y4" s="34"/>
      <c r="Z4" s="35" t="s">
        <v>111</v>
      </c>
      <c r="AA4" s="35"/>
      <c r="AB4" s="35"/>
      <c r="AC4" s="35"/>
      <c r="AD4" s="35"/>
      <c r="AE4" s="35"/>
      <c r="AF4" s="36" t="s">
        <v>112</v>
      </c>
      <c r="AG4" s="36"/>
      <c r="AH4" s="36"/>
      <c r="AI4" s="36"/>
      <c r="AJ4" s="36"/>
      <c r="AK4" s="36"/>
      <c r="AL4" s="36"/>
      <c r="AM4" s="37" t="s">
        <v>113</v>
      </c>
      <c r="AN4" s="37"/>
      <c r="AO4" s="37"/>
      <c r="AP4" s="37"/>
      <c r="AQ4" s="38" t="s">
        <v>114</v>
      </c>
      <c r="AR4" s="38"/>
      <c r="AS4" s="38"/>
      <c r="AT4" s="38"/>
      <c r="AU4" s="38"/>
      <c r="AV4" s="38"/>
      <c r="AW4" s="39" t="s">
        <v>115</v>
      </c>
      <c r="AX4" s="39"/>
    </row>
    <row r="5" customFormat="false" ht="31.5" hidden="false" customHeight="true" outlineLevel="0" collapsed="false">
      <c r="A5" s="18" t="s">
        <v>116</v>
      </c>
      <c r="B5" s="18" t="s">
        <v>117</v>
      </c>
      <c r="C5" s="18" t="s">
        <v>118</v>
      </c>
      <c r="D5" s="18" t="s">
        <v>119</v>
      </c>
      <c r="E5" s="18" t="s">
        <v>120</v>
      </c>
      <c r="F5" s="18" t="s">
        <v>67</v>
      </c>
      <c r="G5" s="18" t="s">
        <v>73</v>
      </c>
      <c r="H5" s="18" t="s">
        <v>121</v>
      </c>
      <c r="I5" s="18" t="s">
        <v>122</v>
      </c>
      <c r="J5" s="18" t="s">
        <v>123</v>
      </c>
      <c r="K5" s="18" t="s">
        <v>124</v>
      </c>
      <c r="L5" s="18" t="s">
        <v>125</v>
      </c>
      <c r="M5" s="18" t="s">
        <v>126</v>
      </c>
      <c r="N5" s="18" t="s">
        <v>127</v>
      </c>
      <c r="O5" s="18" t="s">
        <v>76</v>
      </c>
      <c r="P5" s="18" t="s">
        <v>128</v>
      </c>
      <c r="Q5" s="18" t="s">
        <v>129</v>
      </c>
      <c r="R5" s="18" t="s">
        <v>130</v>
      </c>
      <c r="S5" s="18" t="s">
        <v>131</v>
      </c>
      <c r="T5" s="18" t="s">
        <v>132</v>
      </c>
      <c r="U5" s="18" t="s">
        <v>133</v>
      </c>
      <c r="V5" s="18" t="s">
        <v>134</v>
      </c>
      <c r="W5" s="18" t="s">
        <v>135</v>
      </c>
      <c r="X5" s="18" t="s">
        <v>136</v>
      </c>
      <c r="Y5" s="18" t="s">
        <v>137</v>
      </c>
      <c r="Z5" s="18" t="s">
        <v>138</v>
      </c>
      <c r="AA5" s="18" t="s">
        <v>139</v>
      </c>
      <c r="AB5" s="18" t="s">
        <v>140</v>
      </c>
      <c r="AC5" s="18" t="s">
        <v>141</v>
      </c>
      <c r="AD5" s="18" t="s">
        <v>142</v>
      </c>
      <c r="AE5" s="18" t="s">
        <v>143</v>
      </c>
      <c r="AF5" s="18" t="s">
        <v>144</v>
      </c>
      <c r="AG5" s="18" t="s">
        <v>145</v>
      </c>
      <c r="AH5" s="18" t="s">
        <v>146</v>
      </c>
      <c r="AI5" s="18" t="s">
        <v>147</v>
      </c>
      <c r="AJ5" s="18" t="s">
        <v>148</v>
      </c>
      <c r="AK5" s="18" t="s">
        <v>149</v>
      </c>
      <c r="AL5" s="18" t="s">
        <v>150</v>
      </c>
      <c r="AM5" s="18" t="s">
        <v>151</v>
      </c>
      <c r="AN5" s="18" t="s">
        <v>152</v>
      </c>
      <c r="AO5" s="18" t="s">
        <v>153</v>
      </c>
      <c r="AP5" s="18" t="s">
        <v>154</v>
      </c>
      <c r="AQ5" s="18" t="s">
        <v>155</v>
      </c>
      <c r="AR5" s="18" t="s">
        <v>156</v>
      </c>
      <c r="AS5" s="18" t="s">
        <v>157</v>
      </c>
      <c r="AT5" s="18" t="s">
        <v>158</v>
      </c>
      <c r="AU5" s="18" t="s">
        <v>159</v>
      </c>
      <c r="AV5" s="18" t="s">
        <v>160</v>
      </c>
      <c r="AW5" s="18" t="s">
        <v>161</v>
      </c>
      <c r="AX5" s="18" t="s">
        <v>162</v>
      </c>
    </row>
    <row r="6" customFormat="false" ht="15" hidden="false" customHeight="false" outlineLevel="0" collapsed="false">
      <c r="A6" s="9" t="str">
        <f aca="false">IF(B6="","",ROW()-5)</f>
        <v/>
      </c>
      <c r="B6" s="40"/>
      <c r="C6" s="8"/>
      <c r="D6" s="9" t="str">
        <f aca="false">IF(B6="","",IF(J6="","Active","Exited"))</f>
        <v/>
      </c>
      <c r="E6" s="8"/>
      <c r="F6" s="8"/>
      <c r="G6" s="8"/>
      <c r="H6" s="9" t="str">
        <f aca="false">IF(OR(B6="",I6=""),"",IF(IF(J6="",AsOf,J6)-I6&gt;=Settings!$C$13,"Permanent","Probation"))</f>
        <v/>
      </c>
      <c r="I6" s="41"/>
      <c r="J6" s="41"/>
      <c r="K6" s="8"/>
      <c r="L6" s="42" t="str">
        <f aca="false">IF(OR(B6="",I6=""),"",ROUND((IF(J6="",AsOf,J6)-I6)/365.25,1))</f>
        <v/>
      </c>
      <c r="M6" s="8"/>
      <c r="N6" s="8"/>
      <c r="O6" s="8"/>
      <c r="P6" s="8"/>
      <c r="Q6" s="41"/>
      <c r="R6" s="43" t="str">
        <f aca="false">IF(OR(B6="",Q6=""),"",INT((AsOf-Q6)/365.25))</f>
        <v/>
      </c>
      <c r="S6" s="8"/>
      <c r="T6" s="40"/>
      <c r="U6" s="40"/>
      <c r="V6" s="40"/>
      <c r="W6" s="40"/>
      <c r="X6" s="8"/>
      <c r="Y6" s="8"/>
      <c r="Z6" s="8"/>
      <c r="AA6" s="8"/>
      <c r="AB6" s="8"/>
      <c r="AC6" s="8"/>
      <c r="AD6" s="8"/>
      <c r="AE6" s="40"/>
      <c r="AF6" s="8"/>
      <c r="AG6" s="40"/>
      <c r="AH6" s="40"/>
      <c r="AI6" s="8"/>
      <c r="AJ6" s="40"/>
      <c r="AK6" s="40"/>
      <c r="AL6" s="40"/>
      <c r="AM6" s="44"/>
      <c r="AN6" s="44"/>
      <c r="AO6" s="41"/>
      <c r="AP6" s="45" t="str">
        <f aca="false">IF(B6="","",IF(AND(ISNUMBER(AM6),ISNUMBER(AN6),AM6&gt;0,AN6&gt;0),AN6/AM6-1,""))</f>
        <v/>
      </c>
      <c r="AQ6" s="9" t="str">
        <f aca="false">IF(I6="","",(YEAR(I6)-IF(MONTH(I6)&lt;4,1,0))&amp;"-"&amp;RIGHT((YEAR(I6)-IF(MONTH(I6)&lt;4,1,0))+1,2))</f>
        <v/>
      </c>
      <c r="AR6" s="9" t="str">
        <f aca="false">IF(J6="","",(YEAR(J6)-IF(MONTH(J6)&lt;4,1,0))&amp;"-"&amp;RIGHT((YEAR(J6)-IF(MONTH(J6)&lt;4,1,0))+1,2))</f>
        <v/>
      </c>
      <c r="AS6" s="43" t="str">
        <f aca="false">IF(OR(B6="",Q6="",D6&lt;&gt;"Active"),"",DATE(YEAR(AsOf)+IF(DATE(YEAR(AsOf),MONTH(Q6),DAY(Q6))&lt;AsOf,1,0),MONTH(Q6),DAY(Q6))-AsOf)</f>
        <v/>
      </c>
      <c r="AT6" s="43" t="str">
        <f aca="false">IF(OR(B6="",I6="",D6&lt;&gt;"Active"),"",IF(YEAR(DATE(YEAR(AsOf)+IF(DATE(YEAR(AsOf),MONTH(I6),DAY(I6))&lt;AsOf,1,0),MONTH(I6),DAY(I6)))-YEAR(I6)&lt;1,"",DATE(YEAR(AsOf)+IF(DATE(YEAR(AsOf),MONTH(I6),DAY(I6))&lt;AsOf,1,0),MONTH(I6),DAY(I6))-AsOf))</f>
        <v/>
      </c>
      <c r="AU6" s="43" t="str">
        <f aca="false">IF(B6="","",IF(AV6="",0,LEN(AV6)-LEN(SUBSTITUTE(AV6,";",""))))</f>
        <v/>
      </c>
      <c r="AV6" s="9" t="str">
        <f aca="false">IF(B6="","",IF(COUNTIF($B$6:$B$505,B6)&gt;1,"Duplicate Emp Code; ","")&amp;IF(C6="","Name missing; ","")&amp;IF(I6="","DOJ missing; ","")&amp;IF(AND(J6&lt;&gt;"",I6&lt;&gt;"",J6&lt;I6),"Exit before DOJ; ","")&amp;IF(Q6="","DOB missing; ","")&amp;IF(T6="","Aadhaar missing; ",IF(LEN(T6)&lt;&gt;12,"Aadhaar not 12 digits; ",IF(COUNTIF($T$6:$T$505,T6)&gt;1,"Duplicate Aadhaar; ","")))&amp;IF(U6="","PAN missing; ",IF(LEN(U6)&lt;&gt;10,"PAN not 10 chars; ",""))&amp;IF(V6="","Mobile missing; ",IF(LEN(V6)&lt;&gt;10,"Mobile not 10 digits; ",""))&amp;IF(AG6="","Bank A/c missing; ","")&amp;IF(AH6="","IFSC missing; ",IF(LEN(AH6)&lt;&gt;11,"IFSC not 11 chars; ","")))</f>
        <v/>
      </c>
      <c r="AW6" s="46" t="str">
        <f aca="false">IF(AS6="","",AS6+ROW()/100000)</f>
        <v/>
      </c>
      <c r="AX6" s="46" t="str">
        <f aca="false">IF(AT6="","",AT6+ROW()/100000)</f>
        <v/>
      </c>
    </row>
    <row r="7" customFormat="false" ht="15" hidden="false" customHeight="false" outlineLevel="0" collapsed="false">
      <c r="A7" s="9" t="str">
        <f aca="false">IF(B7="","",ROW()-5)</f>
        <v/>
      </c>
      <c r="B7" s="40"/>
      <c r="C7" s="8"/>
      <c r="D7" s="9" t="str">
        <f aca="false">IF(B7="","",IF(J7="","Active","Exited"))</f>
        <v/>
      </c>
      <c r="E7" s="8"/>
      <c r="F7" s="8"/>
      <c r="G7" s="8"/>
      <c r="H7" s="9" t="str">
        <f aca="false">IF(OR(B7="",I7=""),"",IF(IF(J7="",AsOf,J7)-I7&gt;=Settings!$C$13,"Permanent","Probation"))</f>
        <v/>
      </c>
      <c r="I7" s="41"/>
      <c r="J7" s="41"/>
      <c r="K7" s="8"/>
      <c r="L7" s="42" t="str">
        <f aca="false">IF(OR(B7="",I7=""),"",ROUND((IF(J7="",AsOf,J7)-I7)/365.25,1))</f>
        <v/>
      </c>
      <c r="M7" s="8"/>
      <c r="N7" s="8"/>
      <c r="O7" s="8"/>
      <c r="P7" s="8"/>
      <c r="Q7" s="41"/>
      <c r="R7" s="43" t="str">
        <f aca="false">IF(OR(B7="",Q7=""),"",INT((AsOf-Q7)/365.25))</f>
        <v/>
      </c>
      <c r="S7" s="8"/>
      <c r="T7" s="40"/>
      <c r="U7" s="40"/>
      <c r="V7" s="40"/>
      <c r="W7" s="40"/>
      <c r="X7" s="8"/>
      <c r="Y7" s="8"/>
      <c r="Z7" s="8"/>
      <c r="AA7" s="8"/>
      <c r="AB7" s="8"/>
      <c r="AC7" s="8"/>
      <c r="AD7" s="8"/>
      <c r="AE7" s="40"/>
      <c r="AF7" s="8"/>
      <c r="AG7" s="40"/>
      <c r="AH7" s="40"/>
      <c r="AI7" s="8"/>
      <c r="AJ7" s="40"/>
      <c r="AK7" s="40"/>
      <c r="AL7" s="40"/>
      <c r="AM7" s="44"/>
      <c r="AN7" s="44"/>
      <c r="AO7" s="41"/>
      <c r="AP7" s="45" t="str">
        <f aca="false">IF(B7="","",IF(AND(ISNUMBER(AM7),ISNUMBER(AN7),AM7&gt;0,AN7&gt;0),AN7/AM7-1,""))</f>
        <v/>
      </c>
      <c r="AQ7" s="9" t="str">
        <f aca="false">IF(I7="","",(YEAR(I7)-IF(MONTH(I7)&lt;4,1,0))&amp;"-"&amp;RIGHT((YEAR(I7)-IF(MONTH(I7)&lt;4,1,0))+1,2))</f>
        <v/>
      </c>
      <c r="AR7" s="9" t="str">
        <f aca="false">IF(J7="","",(YEAR(J7)-IF(MONTH(J7)&lt;4,1,0))&amp;"-"&amp;RIGHT((YEAR(J7)-IF(MONTH(J7)&lt;4,1,0))+1,2))</f>
        <v/>
      </c>
      <c r="AS7" s="43" t="str">
        <f aca="false">IF(OR(B7="",Q7="",D7&lt;&gt;"Active"),"",DATE(YEAR(AsOf)+IF(DATE(YEAR(AsOf),MONTH(Q7),DAY(Q7))&lt;AsOf,1,0),MONTH(Q7),DAY(Q7))-AsOf)</f>
        <v/>
      </c>
      <c r="AT7" s="43" t="str">
        <f aca="false">IF(OR(B7="",I7="",D7&lt;&gt;"Active"),"",IF(YEAR(DATE(YEAR(AsOf)+IF(DATE(YEAR(AsOf),MONTH(I7),DAY(I7))&lt;AsOf,1,0),MONTH(I7),DAY(I7)))-YEAR(I7)&lt;1,"",DATE(YEAR(AsOf)+IF(DATE(YEAR(AsOf),MONTH(I7),DAY(I7))&lt;AsOf,1,0),MONTH(I7),DAY(I7))-AsOf))</f>
        <v/>
      </c>
      <c r="AU7" s="43" t="str">
        <f aca="false">IF(B7="","",IF(AV7="",0,LEN(AV7)-LEN(SUBSTITUTE(AV7,";",""))))</f>
        <v/>
      </c>
      <c r="AV7" s="9" t="str">
        <f aca="false">IF(B7="","",IF(COUNTIF($B$6:$B$505,B7)&gt;1,"Duplicate Emp Code; ","")&amp;IF(C7="","Name missing; ","")&amp;IF(I7="","DOJ missing; ","")&amp;IF(AND(J7&lt;&gt;"",I7&lt;&gt;"",J7&lt;I7),"Exit before DOJ; ","")&amp;IF(Q7="","DOB missing; ","")&amp;IF(T7="","Aadhaar missing; ",IF(LEN(T7)&lt;&gt;12,"Aadhaar not 12 digits; ",IF(COUNTIF($T$6:$T$505,T7)&gt;1,"Duplicate Aadhaar; ","")))&amp;IF(U7="","PAN missing; ",IF(LEN(U7)&lt;&gt;10,"PAN not 10 chars; ",""))&amp;IF(V7="","Mobile missing; ",IF(LEN(V7)&lt;&gt;10,"Mobile not 10 digits; ",""))&amp;IF(AG7="","Bank A/c missing; ","")&amp;IF(AH7="","IFSC missing; ",IF(LEN(AH7)&lt;&gt;11,"IFSC not 11 chars; ","")))</f>
        <v/>
      </c>
      <c r="AW7" s="46" t="str">
        <f aca="false">IF(AS7="","",AS7+ROW()/100000)</f>
        <v/>
      </c>
      <c r="AX7" s="46" t="str">
        <f aca="false">IF(AT7="","",AT7+ROW()/100000)</f>
        <v/>
      </c>
    </row>
    <row r="8" customFormat="false" ht="15" hidden="false" customHeight="false" outlineLevel="0" collapsed="false">
      <c r="A8" s="9" t="str">
        <f aca="false">IF(B8="","",ROW()-5)</f>
        <v/>
      </c>
      <c r="B8" s="40"/>
      <c r="C8" s="8"/>
      <c r="D8" s="9" t="str">
        <f aca="false">IF(B8="","",IF(J8="","Active","Exited"))</f>
        <v/>
      </c>
      <c r="E8" s="8"/>
      <c r="F8" s="8"/>
      <c r="G8" s="8"/>
      <c r="H8" s="9" t="str">
        <f aca="false">IF(OR(B8="",I8=""),"",IF(IF(J8="",AsOf,J8)-I8&gt;=Settings!$C$13,"Permanent","Probation"))</f>
        <v/>
      </c>
      <c r="I8" s="41"/>
      <c r="J8" s="41"/>
      <c r="K8" s="8"/>
      <c r="L8" s="42" t="str">
        <f aca="false">IF(OR(B8="",I8=""),"",ROUND((IF(J8="",AsOf,J8)-I8)/365.25,1))</f>
        <v/>
      </c>
      <c r="M8" s="8"/>
      <c r="N8" s="8"/>
      <c r="O8" s="8"/>
      <c r="P8" s="8"/>
      <c r="Q8" s="41"/>
      <c r="R8" s="43" t="str">
        <f aca="false">IF(OR(B8="",Q8=""),"",INT((AsOf-Q8)/365.25))</f>
        <v/>
      </c>
      <c r="S8" s="8"/>
      <c r="T8" s="40"/>
      <c r="U8" s="40"/>
      <c r="V8" s="40"/>
      <c r="W8" s="40"/>
      <c r="X8" s="8"/>
      <c r="Y8" s="8"/>
      <c r="Z8" s="8"/>
      <c r="AA8" s="8"/>
      <c r="AB8" s="8"/>
      <c r="AC8" s="8"/>
      <c r="AD8" s="8"/>
      <c r="AE8" s="40"/>
      <c r="AF8" s="8"/>
      <c r="AG8" s="40"/>
      <c r="AH8" s="40"/>
      <c r="AI8" s="8"/>
      <c r="AJ8" s="40"/>
      <c r="AK8" s="40"/>
      <c r="AL8" s="40"/>
      <c r="AM8" s="44"/>
      <c r="AN8" s="44"/>
      <c r="AO8" s="41"/>
      <c r="AP8" s="45" t="str">
        <f aca="false">IF(B8="","",IF(AND(ISNUMBER(AM8),ISNUMBER(AN8),AM8&gt;0,AN8&gt;0),AN8/AM8-1,""))</f>
        <v/>
      </c>
      <c r="AQ8" s="9" t="str">
        <f aca="false">IF(I8="","",(YEAR(I8)-IF(MONTH(I8)&lt;4,1,0))&amp;"-"&amp;RIGHT((YEAR(I8)-IF(MONTH(I8)&lt;4,1,0))+1,2))</f>
        <v/>
      </c>
      <c r="AR8" s="9" t="str">
        <f aca="false">IF(J8="","",(YEAR(J8)-IF(MONTH(J8)&lt;4,1,0))&amp;"-"&amp;RIGHT((YEAR(J8)-IF(MONTH(J8)&lt;4,1,0))+1,2))</f>
        <v/>
      </c>
      <c r="AS8" s="43" t="str">
        <f aca="false">IF(OR(B8="",Q8="",D8&lt;&gt;"Active"),"",DATE(YEAR(AsOf)+IF(DATE(YEAR(AsOf),MONTH(Q8),DAY(Q8))&lt;AsOf,1,0),MONTH(Q8),DAY(Q8))-AsOf)</f>
        <v/>
      </c>
      <c r="AT8" s="43" t="str">
        <f aca="false">IF(OR(B8="",I8="",D8&lt;&gt;"Active"),"",IF(YEAR(DATE(YEAR(AsOf)+IF(DATE(YEAR(AsOf),MONTH(I8),DAY(I8))&lt;AsOf,1,0),MONTH(I8),DAY(I8)))-YEAR(I8)&lt;1,"",DATE(YEAR(AsOf)+IF(DATE(YEAR(AsOf),MONTH(I8),DAY(I8))&lt;AsOf,1,0),MONTH(I8),DAY(I8))-AsOf))</f>
        <v/>
      </c>
      <c r="AU8" s="43" t="str">
        <f aca="false">IF(B8="","",IF(AV8="",0,LEN(AV8)-LEN(SUBSTITUTE(AV8,";",""))))</f>
        <v/>
      </c>
      <c r="AV8" s="9" t="str">
        <f aca="false">IF(B8="","",IF(COUNTIF($B$6:$B$505,B8)&gt;1,"Duplicate Emp Code; ","")&amp;IF(C8="","Name missing; ","")&amp;IF(I8="","DOJ missing; ","")&amp;IF(AND(J8&lt;&gt;"",I8&lt;&gt;"",J8&lt;I8),"Exit before DOJ; ","")&amp;IF(Q8="","DOB missing; ","")&amp;IF(T8="","Aadhaar missing; ",IF(LEN(T8)&lt;&gt;12,"Aadhaar not 12 digits; ",IF(COUNTIF($T$6:$T$505,T8)&gt;1,"Duplicate Aadhaar; ","")))&amp;IF(U8="","PAN missing; ",IF(LEN(U8)&lt;&gt;10,"PAN not 10 chars; ",""))&amp;IF(V8="","Mobile missing; ",IF(LEN(V8)&lt;&gt;10,"Mobile not 10 digits; ",""))&amp;IF(AG8="","Bank A/c missing; ","")&amp;IF(AH8="","IFSC missing; ",IF(LEN(AH8)&lt;&gt;11,"IFSC not 11 chars; ","")))</f>
        <v/>
      </c>
      <c r="AW8" s="46" t="str">
        <f aca="false">IF(AS8="","",AS8+ROW()/100000)</f>
        <v/>
      </c>
      <c r="AX8" s="46" t="str">
        <f aca="false">IF(AT8="","",AT8+ROW()/100000)</f>
        <v/>
      </c>
    </row>
    <row r="9" customFormat="false" ht="15" hidden="false" customHeight="false" outlineLevel="0" collapsed="false">
      <c r="A9" s="9" t="str">
        <f aca="false">IF(B9="","",ROW()-5)</f>
        <v/>
      </c>
      <c r="B9" s="40"/>
      <c r="C9" s="8"/>
      <c r="D9" s="9" t="str">
        <f aca="false">IF(B9="","",IF(J9="","Active","Exited"))</f>
        <v/>
      </c>
      <c r="E9" s="8"/>
      <c r="F9" s="8"/>
      <c r="G9" s="8"/>
      <c r="H9" s="9" t="str">
        <f aca="false">IF(OR(B9="",I9=""),"",IF(IF(J9="",AsOf,J9)-I9&gt;=Settings!$C$13,"Permanent","Probation"))</f>
        <v/>
      </c>
      <c r="I9" s="41"/>
      <c r="J9" s="41"/>
      <c r="K9" s="8"/>
      <c r="L9" s="42" t="str">
        <f aca="false">IF(OR(B9="",I9=""),"",ROUND((IF(J9="",AsOf,J9)-I9)/365.25,1))</f>
        <v/>
      </c>
      <c r="M9" s="8"/>
      <c r="N9" s="8"/>
      <c r="O9" s="8"/>
      <c r="P9" s="8"/>
      <c r="Q9" s="41"/>
      <c r="R9" s="43" t="str">
        <f aca="false">IF(OR(B9="",Q9=""),"",INT((AsOf-Q9)/365.25))</f>
        <v/>
      </c>
      <c r="S9" s="8"/>
      <c r="T9" s="40"/>
      <c r="U9" s="40"/>
      <c r="V9" s="40"/>
      <c r="W9" s="40"/>
      <c r="X9" s="8"/>
      <c r="Y9" s="8"/>
      <c r="Z9" s="8"/>
      <c r="AA9" s="8"/>
      <c r="AB9" s="8"/>
      <c r="AC9" s="8"/>
      <c r="AD9" s="8"/>
      <c r="AE9" s="40"/>
      <c r="AF9" s="8"/>
      <c r="AG9" s="40"/>
      <c r="AH9" s="40"/>
      <c r="AI9" s="8"/>
      <c r="AJ9" s="40"/>
      <c r="AK9" s="40"/>
      <c r="AL9" s="40"/>
      <c r="AM9" s="44"/>
      <c r="AN9" s="44"/>
      <c r="AO9" s="41"/>
      <c r="AP9" s="45" t="str">
        <f aca="false">IF(B9="","",IF(AND(ISNUMBER(AM9),ISNUMBER(AN9),AM9&gt;0,AN9&gt;0),AN9/AM9-1,""))</f>
        <v/>
      </c>
      <c r="AQ9" s="9" t="str">
        <f aca="false">IF(I9="","",(YEAR(I9)-IF(MONTH(I9)&lt;4,1,0))&amp;"-"&amp;RIGHT((YEAR(I9)-IF(MONTH(I9)&lt;4,1,0))+1,2))</f>
        <v/>
      </c>
      <c r="AR9" s="9" t="str">
        <f aca="false">IF(J9="","",(YEAR(J9)-IF(MONTH(J9)&lt;4,1,0))&amp;"-"&amp;RIGHT((YEAR(J9)-IF(MONTH(J9)&lt;4,1,0))+1,2))</f>
        <v/>
      </c>
      <c r="AS9" s="43" t="str">
        <f aca="false">IF(OR(B9="",Q9="",D9&lt;&gt;"Active"),"",DATE(YEAR(AsOf)+IF(DATE(YEAR(AsOf),MONTH(Q9),DAY(Q9))&lt;AsOf,1,0),MONTH(Q9),DAY(Q9))-AsOf)</f>
        <v/>
      </c>
      <c r="AT9" s="43" t="str">
        <f aca="false">IF(OR(B9="",I9="",D9&lt;&gt;"Active"),"",IF(YEAR(DATE(YEAR(AsOf)+IF(DATE(YEAR(AsOf),MONTH(I9),DAY(I9))&lt;AsOf,1,0),MONTH(I9),DAY(I9)))-YEAR(I9)&lt;1,"",DATE(YEAR(AsOf)+IF(DATE(YEAR(AsOf),MONTH(I9),DAY(I9))&lt;AsOf,1,0),MONTH(I9),DAY(I9))-AsOf))</f>
        <v/>
      </c>
      <c r="AU9" s="43" t="str">
        <f aca="false">IF(B9="","",IF(AV9="",0,LEN(AV9)-LEN(SUBSTITUTE(AV9,";",""))))</f>
        <v/>
      </c>
      <c r="AV9" s="9" t="str">
        <f aca="false">IF(B9="","",IF(COUNTIF($B$6:$B$505,B9)&gt;1,"Duplicate Emp Code; ","")&amp;IF(C9="","Name missing; ","")&amp;IF(I9="","DOJ missing; ","")&amp;IF(AND(J9&lt;&gt;"",I9&lt;&gt;"",J9&lt;I9),"Exit before DOJ; ","")&amp;IF(Q9="","DOB missing; ","")&amp;IF(T9="","Aadhaar missing; ",IF(LEN(T9)&lt;&gt;12,"Aadhaar not 12 digits; ",IF(COUNTIF($T$6:$T$505,T9)&gt;1,"Duplicate Aadhaar; ","")))&amp;IF(U9="","PAN missing; ",IF(LEN(U9)&lt;&gt;10,"PAN not 10 chars; ",""))&amp;IF(V9="","Mobile missing; ",IF(LEN(V9)&lt;&gt;10,"Mobile not 10 digits; ",""))&amp;IF(AG9="","Bank A/c missing; ","")&amp;IF(AH9="","IFSC missing; ",IF(LEN(AH9)&lt;&gt;11,"IFSC not 11 chars; ","")))</f>
        <v/>
      </c>
      <c r="AW9" s="46" t="str">
        <f aca="false">IF(AS9="","",AS9+ROW()/100000)</f>
        <v/>
      </c>
      <c r="AX9" s="46" t="str">
        <f aca="false">IF(AT9="","",AT9+ROW()/100000)</f>
        <v/>
      </c>
    </row>
    <row r="10" customFormat="false" ht="15" hidden="false" customHeight="false" outlineLevel="0" collapsed="false">
      <c r="A10" s="9" t="str">
        <f aca="false">IF(B10="","",ROW()-5)</f>
        <v/>
      </c>
      <c r="B10" s="40"/>
      <c r="C10" s="8"/>
      <c r="D10" s="9" t="str">
        <f aca="false">IF(B10="","",IF(J10="","Active","Exited"))</f>
        <v/>
      </c>
      <c r="E10" s="8"/>
      <c r="F10" s="8"/>
      <c r="G10" s="8"/>
      <c r="H10" s="9" t="str">
        <f aca="false">IF(OR(B10="",I10=""),"",IF(IF(J10="",AsOf,J10)-I10&gt;=Settings!$C$13,"Permanent","Probation"))</f>
        <v/>
      </c>
      <c r="I10" s="41"/>
      <c r="J10" s="41"/>
      <c r="K10" s="8"/>
      <c r="L10" s="42" t="str">
        <f aca="false">IF(OR(B10="",I10=""),"",ROUND((IF(J10="",AsOf,J10)-I10)/365.25,1))</f>
        <v/>
      </c>
      <c r="M10" s="8"/>
      <c r="N10" s="8"/>
      <c r="O10" s="8"/>
      <c r="P10" s="8"/>
      <c r="Q10" s="41"/>
      <c r="R10" s="43" t="str">
        <f aca="false">IF(OR(B10="",Q10=""),"",INT((AsOf-Q10)/365.25))</f>
        <v/>
      </c>
      <c r="S10" s="8"/>
      <c r="T10" s="40"/>
      <c r="U10" s="40"/>
      <c r="V10" s="40"/>
      <c r="W10" s="40"/>
      <c r="X10" s="8"/>
      <c r="Y10" s="8"/>
      <c r="Z10" s="8"/>
      <c r="AA10" s="8"/>
      <c r="AB10" s="8"/>
      <c r="AC10" s="8"/>
      <c r="AD10" s="8"/>
      <c r="AE10" s="40"/>
      <c r="AF10" s="8"/>
      <c r="AG10" s="40"/>
      <c r="AH10" s="40"/>
      <c r="AI10" s="8"/>
      <c r="AJ10" s="40"/>
      <c r="AK10" s="40"/>
      <c r="AL10" s="40"/>
      <c r="AM10" s="44"/>
      <c r="AN10" s="44"/>
      <c r="AO10" s="41"/>
      <c r="AP10" s="45" t="str">
        <f aca="false">IF(B10="","",IF(AND(ISNUMBER(AM10),ISNUMBER(AN10),AM10&gt;0,AN10&gt;0),AN10/AM10-1,""))</f>
        <v/>
      </c>
      <c r="AQ10" s="9" t="str">
        <f aca="false">IF(I10="","",(YEAR(I10)-IF(MONTH(I10)&lt;4,1,0))&amp;"-"&amp;RIGHT((YEAR(I10)-IF(MONTH(I10)&lt;4,1,0))+1,2))</f>
        <v/>
      </c>
      <c r="AR10" s="9" t="str">
        <f aca="false">IF(J10="","",(YEAR(J10)-IF(MONTH(J10)&lt;4,1,0))&amp;"-"&amp;RIGHT((YEAR(J10)-IF(MONTH(J10)&lt;4,1,0))+1,2))</f>
        <v/>
      </c>
      <c r="AS10" s="43" t="str">
        <f aca="false">IF(OR(B10="",Q10="",D10&lt;&gt;"Active"),"",DATE(YEAR(AsOf)+IF(DATE(YEAR(AsOf),MONTH(Q10),DAY(Q10))&lt;AsOf,1,0),MONTH(Q10),DAY(Q10))-AsOf)</f>
        <v/>
      </c>
      <c r="AT10" s="43" t="str">
        <f aca="false">IF(OR(B10="",I10="",D10&lt;&gt;"Active"),"",IF(YEAR(DATE(YEAR(AsOf)+IF(DATE(YEAR(AsOf),MONTH(I10),DAY(I10))&lt;AsOf,1,0),MONTH(I10),DAY(I10)))-YEAR(I10)&lt;1,"",DATE(YEAR(AsOf)+IF(DATE(YEAR(AsOf),MONTH(I10),DAY(I10))&lt;AsOf,1,0),MONTH(I10),DAY(I10))-AsOf))</f>
        <v/>
      </c>
      <c r="AU10" s="43" t="str">
        <f aca="false">IF(B10="","",IF(AV10="",0,LEN(AV10)-LEN(SUBSTITUTE(AV10,";",""))))</f>
        <v/>
      </c>
      <c r="AV10" s="9" t="str">
        <f aca="false">IF(B10="","",IF(COUNTIF($B$6:$B$505,B10)&gt;1,"Duplicate Emp Code; ","")&amp;IF(C10="","Name missing; ","")&amp;IF(I10="","DOJ missing; ","")&amp;IF(AND(J10&lt;&gt;"",I10&lt;&gt;"",J10&lt;I10),"Exit before DOJ; ","")&amp;IF(Q10="","DOB missing; ","")&amp;IF(T10="","Aadhaar missing; ",IF(LEN(T10)&lt;&gt;12,"Aadhaar not 12 digits; ",IF(COUNTIF($T$6:$T$505,T10)&gt;1,"Duplicate Aadhaar; ","")))&amp;IF(U10="","PAN missing; ",IF(LEN(U10)&lt;&gt;10,"PAN not 10 chars; ",""))&amp;IF(V10="","Mobile missing; ",IF(LEN(V10)&lt;&gt;10,"Mobile not 10 digits; ",""))&amp;IF(AG10="","Bank A/c missing; ","")&amp;IF(AH10="","IFSC missing; ",IF(LEN(AH10)&lt;&gt;11,"IFSC not 11 chars; ","")))</f>
        <v/>
      </c>
      <c r="AW10" s="46" t="str">
        <f aca="false">IF(AS10="","",AS10+ROW()/100000)</f>
        <v/>
      </c>
      <c r="AX10" s="46" t="str">
        <f aca="false">IF(AT10="","",AT10+ROW()/100000)</f>
        <v/>
      </c>
    </row>
    <row r="11" customFormat="false" ht="15" hidden="false" customHeight="false" outlineLevel="0" collapsed="false">
      <c r="A11" s="9" t="str">
        <f aca="false">IF(B11="","",ROW()-5)</f>
        <v/>
      </c>
      <c r="B11" s="40"/>
      <c r="C11" s="8"/>
      <c r="D11" s="9" t="str">
        <f aca="false">IF(B11="","",IF(J11="","Active","Exited"))</f>
        <v/>
      </c>
      <c r="E11" s="8"/>
      <c r="F11" s="8"/>
      <c r="G11" s="8"/>
      <c r="H11" s="9" t="str">
        <f aca="false">IF(OR(B11="",I11=""),"",IF(IF(J11="",AsOf,J11)-I11&gt;=Settings!$C$13,"Permanent","Probation"))</f>
        <v/>
      </c>
      <c r="I11" s="41"/>
      <c r="J11" s="41"/>
      <c r="K11" s="8"/>
      <c r="L11" s="42" t="str">
        <f aca="false">IF(OR(B11="",I11=""),"",ROUND((IF(J11="",AsOf,J11)-I11)/365.25,1))</f>
        <v/>
      </c>
      <c r="M11" s="8"/>
      <c r="N11" s="8"/>
      <c r="O11" s="8"/>
      <c r="P11" s="8"/>
      <c r="Q11" s="41"/>
      <c r="R11" s="43" t="str">
        <f aca="false">IF(OR(B11="",Q11=""),"",INT((AsOf-Q11)/365.25))</f>
        <v/>
      </c>
      <c r="S11" s="8"/>
      <c r="T11" s="40"/>
      <c r="U11" s="40"/>
      <c r="V11" s="40"/>
      <c r="W11" s="40"/>
      <c r="X11" s="8"/>
      <c r="Y11" s="8"/>
      <c r="Z11" s="8"/>
      <c r="AA11" s="8"/>
      <c r="AB11" s="8"/>
      <c r="AC11" s="8"/>
      <c r="AD11" s="8"/>
      <c r="AE11" s="40"/>
      <c r="AF11" s="8"/>
      <c r="AG11" s="40"/>
      <c r="AH11" s="40"/>
      <c r="AI11" s="8"/>
      <c r="AJ11" s="40"/>
      <c r="AK11" s="40"/>
      <c r="AL11" s="40"/>
      <c r="AM11" s="44"/>
      <c r="AN11" s="44"/>
      <c r="AO11" s="41"/>
      <c r="AP11" s="45" t="str">
        <f aca="false">IF(B11="","",IF(AND(ISNUMBER(AM11),ISNUMBER(AN11),AM11&gt;0,AN11&gt;0),AN11/AM11-1,""))</f>
        <v/>
      </c>
      <c r="AQ11" s="9" t="str">
        <f aca="false">IF(I11="","",(YEAR(I11)-IF(MONTH(I11)&lt;4,1,0))&amp;"-"&amp;RIGHT((YEAR(I11)-IF(MONTH(I11)&lt;4,1,0))+1,2))</f>
        <v/>
      </c>
      <c r="AR11" s="9" t="str">
        <f aca="false">IF(J11="","",(YEAR(J11)-IF(MONTH(J11)&lt;4,1,0))&amp;"-"&amp;RIGHT((YEAR(J11)-IF(MONTH(J11)&lt;4,1,0))+1,2))</f>
        <v/>
      </c>
      <c r="AS11" s="43" t="str">
        <f aca="false">IF(OR(B11="",Q11="",D11&lt;&gt;"Active"),"",DATE(YEAR(AsOf)+IF(DATE(YEAR(AsOf),MONTH(Q11),DAY(Q11))&lt;AsOf,1,0),MONTH(Q11),DAY(Q11))-AsOf)</f>
        <v/>
      </c>
      <c r="AT11" s="43" t="str">
        <f aca="false">IF(OR(B11="",I11="",D11&lt;&gt;"Active"),"",IF(YEAR(DATE(YEAR(AsOf)+IF(DATE(YEAR(AsOf),MONTH(I11),DAY(I11))&lt;AsOf,1,0),MONTH(I11),DAY(I11)))-YEAR(I11)&lt;1,"",DATE(YEAR(AsOf)+IF(DATE(YEAR(AsOf),MONTH(I11),DAY(I11))&lt;AsOf,1,0),MONTH(I11),DAY(I11))-AsOf))</f>
        <v/>
      </c>
      <c r="AU11" s="43" t="str">
        <f aca="false">IF(B11="","",IF(AV11="",0,LEN(AV11)-LEN(SUBSTITUTE(AV11,";",""))))</f>
        <v/>
      </c>
      <c r="AV11" s="9" t="str">
        <f aca="false">IF(B11="","",IF(COUNTIF($B$6:$B$505,B11)&gt;1,"Duplicate Emp Code; ","")&amp;IF(C11="","Name missing; ","")&amp;IF(I11="","DOJ missing; ","")&amp;IF(AND(J11&lt;&gt;"",I11&lt;&gt;"",J11&lt;I11),"Exit before DOJ; ","")&amp;IF(Q11="","DOB missing; ","")&amp;IF(T11="","Aadhaar missing; ",IF(LEN(T11)&lt;&gt;12,"Aadhaar not 12 digits; ",IF(COUNTIF($T$6:$T$505,T11)&gt;1,"Duplicate Aadhaar; ","")))&amp;IF(U11="","PAN missing; ",IF(LEN(U11)&lt;&gt;10,"PAN not 10 chars; ",""))&amp;IF(V11="","Mobile missing; ",IF(LEN(V11)&lt;&gt;10,"Mobile not 10 digits; ",""))&amp;IF(AG11="","Bank A/c missing; ","")&amp;IF(AH11="","IFSC missing; ",IF(LEN(AH11)&lt;&gt;11,"IFSC not 11 chars; ","")))</f>
        <v/>
      </c>
      <c r="AW11" s="46" t="str">
        <f aca="false">IF(AS11="","",AS11+ROW()/100000)</f>
        <v/>
      </c>
      <c r="AX11" s="46" t="str">
        <f aca="false">IF(AT11="","",AT11+ROW()/100000)</f>
        <v/>
      </c>
    </row>
    <row r="12" customFormat="false" ht="15" hidden="false" customHeight="false" outlineLevel="0" collapsed="false">
      <c r="A12" s="9" t="str">
        <f aca="false">IF(B12="","",ROW()-5)</f>
        <v/>
      </c>
      <c r="B12" s="40"/>
      <c r="C12" s="8"/>
      <c r="D12" s="9" t="str">
        <f aca="false">IF(B12="","",IF(J12="","Active","Exited"))</f>
        <v/>
      </c>
      <c r="E12" s="8"/>
      <c r="F12" s="8"/>
      <c r="G12" s="8"/>
      <c r="H12" s="9" t="str">
        <f aca="false">IF(OR(B12="",I12=""),"",IF(IF(J12="",AsOf,J12)-I12&gt;=Settings!$C$13,"Permanent","Probation"))</f>
        <v/>
      </c>
      <c r="I12" s="41"/>
      <c r="J12" s="41"/>
      <c r="K12" s="8"/>
      <c r="L12" s="42" t="str">
        <f aca="false">IF(OR(B12="",I12=""),"",ROUND((IF(J12="",AsOf,J12)-I12)/365.25,1))</f>
        <v/>
      </c>
      <c r="M12" s="8"/>
      <c r="N12" s="8"/>
      <c r="O12" s="8"/>
      <c r="P12" s="8"/>
      <c r="Q12" s="41"/>
      <c r="R12" s="43" t="str">
        <f aca="false">IF(OR(B12="",Q12=""),"",INT((AsOf-Q12)/365.25))</f>
        <v/>
      </c>
      <c r="S12" s="8"/>
      <c r="T12" s="40"/>
      <c r="U12" s="40"/>
      <c r="V12" s="40"/>
      <c r="W12" s="40"/>
      <c r="X12" s="8"/>
      <c r="Y12" s="8"/>
      <c r="Z12" s="8"/>
      <c r="AA12" s="8"/>
      <c r="AB12" s="8"/>
      <c r="AC12" s="8"/>
      <c r="AD12" s="8"/>
      <c r="AE12" s="40"/>
      <c r="AF12" s="8"/>
      <c r="AG12" s="40"/>
      <c r="AH12" s="40"/>
      <c r="AI12" s="8"/>
      <c r="AJ12" s="40"/>
      <c r="AK12" s="40"/>
      <c r="AL12" s="40"/>
      <c r="AM12" s="44"/>
      <c r="AN12" s="44"/>
      <c r="AO12" s="41"/>
      <c r="AP12" s="45" t="str">
        <f aca="false">IF(B12="","",IF(AND(ISNUMBER(AM12),ISNUMBER(AN12),AM12&gt;0,AN12&gt;0),AN12/AM12-1,""))</f>
        <v/>
      </c>
      <c r="AQ12" s="9" t="str">
        <f aca="false">IF(I12="","",(YEAR(I12)-IF(MONTH(I12)&lt;4,1,0))&amp;"-"&amp;RIGHT((YEAR(I12)-IF(MONTH(I12)&lt;4,1,0))+1,2))</f>
        <v/>
      </c>
      <c r="AR12" s="9" t="str">
        <f aca="false">IF(J12="","",(YEAR(J12)-IF(MONTH(J12)&lt;4,1,0))&amp;"-"&amp;RIGHT((YEAR(J12)-IF(MONTH(J12)&lt;4,1,0))+1,2))</f>
        <v/>
      </c>
      <c r="AS12" s="43" t="str">
        <f aca="false">IF(OR(B12="",Q12="",D12&lt;&gt;"Active"),"",DATE(YEAR(AsOf)+IF(DATE(YEAR(AsOf),MONTH(Q12),DAY(Q12))&lt;AsOf,1,0),MONTH(Q12),DAY(Q12))-AsOf)</f>
        <v/>
      </c>
      <c r="AT12" s="43" t="str">
        <f aca="false">IF(OR(B12="",I12="",D12&lt;&gt;"Active"),"",IF(YEAR(DATE(YEAR(AsOf)+IF(DATE(YEAR(AsOf),MONTH(I12),DAY(I12))&lt;AsOf,1,0),MONTH(I12),DAY(I12)))-YEAR(I12)&lt;1,"",DATE(YEAR(AsOf)+IF(DATE(YEAR(AsOf),MONTH(I12),DAY(I12))&lt;AsOf,1,0),MONTH(I12),DAY(I12))-AsOf))</f>
        <v/>
      </c>
      <c r="AU12" s="43" t="str">
        <f aca="false">IF(B12="","",IF(AV12="",0,LEN(AV12)-LEN(SUBSTITUTE(AV12,";",""))))</f>
        <v/>
      </c>
      <c r="AV12" s="9" t="str">
        <f aca="false">IF(B12="","",IF(COUNTIF($B$6:$B$505,B12)&gt;1,"Duplicate Emp Code; ","")&amp;IF(C12="","Name missing; ","")&amp;IF(I12="","DOJ missing; ","")&amp;IF(AND(J12&lt;&gt;"",I12&lt;&gt;"",J12&lt;I12),"Exit before DOJ; ","")&amp;IF(Q12="","DOB missing; ","")&amp;IF(T12="","Aadhaar missing; ",IF(LEN(T12)&lt;&gt;12,"Aadhaar not 12 digits; ",IF(COUNTIF($T$6:$T$505,T12)&gt;1,"Duplicate Aadhaar; ","")))&amp;IF(U12="","PAN missing; ",IF(LEN(U12)&lt;&gt;10,"PAN not 10 chars; ",""))&amp;IF(V12="","Mobile missing; ",IF(LEN(V12)&lt;&gt;10,"Mobile not 10 digits; ",""))&amp;IF(AG12="","Bank A/c missing; ","")&amp;IF(AH12="","IFSC missing; ",IF(LEN(AH12)&lt;&gt;11,"IFSC not 11 chars; ","")))</f>
        <v/>
      </c>
      <c r="AW12" s="46" t="str">
        <f aca="false">IF(AS12="","",AS12+ROW()/100000)</f>
        <v/>
      </c>
      <c r="AX12" s="46" t="str">
        <f aca="false">IF(AT12="","",AT12+ROW()/100000)</f>
        <v/>
      </c>
    </row>
    <row r="13" customFormat="false" ht="15" hidden="false" customHeight="false" outlineLevel="0" collapsed="false">
      <c r="A13" s="9" t="str">
        <f aca="false">IF(B13="","",ROW()-5)</f>
        <v/>
      </c>
      <c r="B13" s="40"/>
      <c r="C13" s="8"/>
      <c r="D13" s="9" t="str">
        <f aca="false">IF(B13="","",IF(J13="","Active","Exited"))</f>
        <v/>
      </c>
      <c r="E13" s="8"/>
      <c r="F13" s="8"/>
      <c r="G13" s="8"/>
      <c r="H13" s="9" t="str">
        <f aca="false">IF(OR(B13="",I13=""),"",IF(IF(J13="",AsOf,J13)-I13&gt;=Settings!$C$13,"Permanent","Probation"))</f>
        <v/>
      </c>
      <c r="I13" s="41"/>
      <c r="J13" s="41"/>
      <c r="K13" s="8"/>
      <c r="L13" s="42" t="str">
        <f aca="false">IF(OR(B13="",I13=""),"",ROUND((IF(J13="",AsOf,J13)-I13)/365.25,1))</f>
        <v/>
      </c>
      <c r="M13" s="8"/>
      <c r="N13" s="8"/>
      <c r="O13" s="8"/>
      <c r="P13" s="8"/>
      <c r="Q13" s="41"/>
      <c r="R13" s="43" t="str">
        <f aca="false">IF(OR(B13="",Q13=""),"",INT((AsOf-Q13)/365.25))</f>
        <v/>
      </c>
      <c r="S13" s="8"/>
      <c r="T13" s="40"/>
      <c r="U13" s="40"/>
      <c r="V13" s="40"/>
      <c r="W13" s="40"/>
      <c r="X13" s="8"/>
      <c r="Y13" s="8"/>
      <c r="Z13" s="8"/>
      <c r="AA13" s="8"/>
      <c r="AB13" s="8"/>
      <c r="AC13" s="8"/>
      <c r="AD13" s="8"/>
      <c r="AE13" s="40"/>
      <c r="AF13" s="8"/>
      <c r="AG13" s="40"/>
      <c r="AH13" s="40"/>
      <c r="AI13" s="8"/>
      <c r="AJ13" s="40"/>
      <c r="AK13" s="40"/>
      <c r="AL13" s="40"/>
      <c r="AM13" s="44"/>
      <c r="AN13" s="44"/>
      <c r="AO13" s="41"/>
      <c r="AP13" s="45" t="str">
        <f aca="false">IF(B13="","",IF(AND(ISNUMBER(AM13),ISNUMBER(AN13),AM13&gt;0,AN13&gt;0),AN13/AM13-1,""))</f>
        <v/>
      </c>
      <c r="AQ13" s="9" t="str">
        <f aca="false">IF(I13="","",(YEAR(I13)-IF(MONTH(I13)&lt;4,1,0))&amp;"-"&amp;RIGHT((YEAR(I13)-IF(MONTH(I13)&lt;4,1,0))+1,2))</f>
        <v/>
      </c>
      <c r="AR13" s="9" t="str">
        <f aca="false">IF(J13="","",(YEAR(J13)-IF(MONTH(J13)&lt;4,1,0))&amp;"-"&amp;RIGHT((YEAR(J13)-IF(MONTH(J13)&lt;4,1,0))+1,2))</f>
        <v/>
      </c>
      <c r="AS13" s="43" t="str">
        <f aca="false">IF(OR(B13="",Q13="",D13&lt;&gt;"Active"),"",DATE(YEAR(AsOf)+IF(DATE(YEAR(AsOf),MONTH(Q13),DAY(Q13))&lt;AsOf,1,0),MONTH(Q13),DAY(Q13))-AsOf)</f>
        <v/>
      </c>
      <c r="AT13" s="43" t="str">
        <f aca="false">IF(OR(B13="",I13="",D13&lt;&gt;"Active"),"",IF(YEAR(DATE(YEAR(AsOf)+IF(DATE(YEAR(AsOf),MONTH(I13),DAY(I13))&lt;AsOf,1,0),MONTH(I13),DAY(I13)))-YEAR(I13)&lt;1,"",DATE(YEAR(AsOf)+IF(DATE(YEAR(AsOf),MONTH(I13),DAY(I13))&lt;AsOf,1,0),MONTH(I13),DAY(I13))-AsOf))</f>
        <v/>
      </c>
      <c r="AU13" s="43" t="str">
        <f aca="false">IF(B13="","",IF(AV13="",0,LEN(AV13)-LEN(SUBSTITUTE(AV13,";",""))))</f>
        <v/>
      </c>
      <c r="AV13" s="9" t="str">
        <f aca="false">IF(B13="","",IF(COUNTIF($B$6:$B$505,B13)&gt;1,"Duplicate Emp Code; ","")&amp;IF(C13="","Name missing; ","")&amp;IF(I13="","DOJ missing; ","")&amp;IF(AND(J13&lt;&gt;"",I13&lt;&gt;"",J13&lt;I13),"Exit before DOJ; ","")&amp;IF(Q13="","DOB missing; ","")&amp;IF(T13="","Aadhaar missing; ",IF(LEN(T13)&lt;&gt;12,"Aadhaar not 12 digits; ",IF(COUNTIF($T$6:$T$505,T13)&gt;1,"Duplicate Aadhaar; ","")))&amp;IF(U13="","PAN missing; ",IF(LEN(U13)&lt;&gt;10,"PAN not 10 chars; ",""))&amp;IF(V13="","Mobile missing; ",IF(LEN(V13)&lt;&gt;10,"Mobile not 10 digits; ",""))&amp;IF(AG13="","Bank A/c missing; ","")&amp;IF(AH13="","IFSC missing; ",IF(LEN(AH13)&lt;&gt;11,"IFSC not 11 chars; ","")))</f>
        <v/>
      </c>
      <c r="AW13" s="46" t="str">
        <f aca="false">IF(AS13="","",AS13+ROW()/100000)</f>
        <v/>
      </c>
      <c r="AX13" s="46" t="str">
        <f aca="false">IF(AT13="","",AT13+ROW()/100000)</f>
        <v/>
      </c>
    </row>
    <row r="14" customFormat="false" ht="15" hidden="false" customHeight="false" outlineLevel="0" collapsed="false">
      <c r="A14" s="9" t="str">
        <f aca="false">IF(B14="","",ROW()-5)</f>
        <v/>
      </c>
      <c r="B14" s="40"/>
      <c r="C14" s="8"/>
      <c r="D14" s="9" t="str">
        <f aca="false">IF(B14="","",IF(J14="","Active","Exited"))</f>
        <v/>
      </c>
      <c r="E14" s="8"/>
      <c r="F14" s="8"/>
      <c r="G14" s="8"/>
      <c r="H14" s="9" t="str">
        <f aca="false">IF(OR(B14="",I14=""),"",IF(IF(J14="",AsOf,J14)-I14&gt;=Settings!$C$13,"Permanent","Probation"))</f>
        <v/>
      </c>
      <c r="I14" s="41"/>
      <c r="J14" s="41"/>
      <c r="K14" s="8"/>
      <c r="L14" s="42" t="str">
        <f aca="false">IF(OR(B14="",I14=""),"",ROUND((IF(J14="",AsOf,J14)-I14)/365.25,1))</f>
        <v/>
      </c>
      <c r="M14" s="8"/>
      <c r="N14" s="8"/>
      <c r="O14" s="8"/>
      <c r="P14" s="8"/>
      <c r="Q14" s="41"/>
      <c r="R14" s="43" t="str">
        <f aca="false">IF(OR(B14="",Q14=""),"",INT((AsOf-Q14)/365.25))</f>
        <v/>
      </c>
      <c r="S14" s="8"/>
      <c r="T14" s="40"/>
      <c r="U14" s="40"/>
      <c r="V14" s="40"/>
      <c r="W14" s="40"/>
      <c r="X14" s="8"/>
      <c r="Y14" s="8"/>
      <c r="Z14" s="8"/>
      <c r="AA14" s="8"/>
      <c r="AB14" s="8"/>
      <c r="AC14" s="8"/>
      <c r="AD14" s="8"/>
      <c r="AE14" s="40"/>
      <c r="AF14" s="8"/>
      <c r="AG14" s="40"/>
      <c r="AH14" s="40"/>
      <c r="AI14" s="8"/>
      <c r="AJ14" s="40"/>
      <c r="AK14" s="40"/>
      <c r="AL14" s="40"/>
      <c r="AM14" s="44"/>
      <c r="AN14" s="44"/>
      <c r="AO14" s="41"/>
      <c r="AP14" s="45" t="str">
        <f aca="false">IF(B14="","",IF(AND(ISNUMBER(AM14),ISNUMBER(AN14),AM14&gt;0,AN14&gt;0),AN14/AM14-1,""))</f>
        <v/>
      </c>
      <c r="AQ14" s="9" t="str">
        <f aca="false">IF(I14="","",(YEAR(I14)-IF(MONTH(I14)&lt;4,1,0))&amp;"-"&amp;RIGHT((YEAR(I14)-IF(MONTH(I14)&lt;4,1,0))+1,2))</f>
        <v/>
      </c>
      <c r="AR14" s="9" t="str">
        <f aca="false">IF(J14="","",(YEAR(J14)-IF(MONTH(J14)&lt;4,1,0))&amp;"-"&amp;RIGHT((YEAR(J14)-IF(MONTH(J14)&lt;4,1,0))+1,2))</f>
        <v/>
      </c>
      <c r="AS14" s="43" t="str">
        <f aca="false">IF(OR(B14="",Q14="",D14&lt;&gt;"Active"),"",DATE(YEAR(AsOf)+IF(DATE(YEAR(AsOf),MONTH(Q14),DAY(Q14))&lt;AsOf,1,0),MONTH(Q14),DAY(Q14))-AsOf)</f>
        <v/>
      </c>
      <c r="AT14" s="43" t="str">
        <f aca="false">IF(OR(B14="",I14="",D14&lt;&gt;"Active"),"",IF(YEAR(DATE(YEAR(AsOf)+IF(DATE(YEAR(AsOf),MONTH(I14),DAY(I14))&lt;AsOf,1,0),MONTH(I14),DAY(I14)))-YEAR(I14)&lt;1,"",DATE(YEAR(AsOf)+IF(DATE(YEAR(AsOf),MONTH(I14),DAY(I14))&lt;AsOf,1,0),MONTH(I14),DAY(I14))-AsOf))</f>
        <v/>
      </c>
      <c r="AU14" s="43" t="str">
        <f aca="false">IF(B14="","",IF(AV14="",0,LEN(AV14)-LEN(SUBSTITUTE(AV14,";",""))))</f>
        <v/>
      </c>
      <c r="AV14" s="9" t="str">
        <f aca="false">IF(B14="","",IF(COUNTIF($B$6:$B$505,B14)&gt;1,"Duplicate Emp Code; ","")&amp;IF(C14="","Name missing; ","")&amp;IF(I14="","DOJ missing; ","")&amp;IF(AND(J14&lt;&gt;"",I14&lt;&gt;"",J14&lt;I14),"Exit before DOJ; ","")&amp;IF(Q14="","DOB missing; ","")&amp;IF(T14="","Aadhaar missing; ",IF(LEN(T14)&lt;&gt;12,"Aadhaar not 12 digits; ",IF(COUNTIF($T$6:$T$505,T14)&gt;1,"Duplicate Aadhaar; ","")))&amp;IF(U14="","PAN missing; ",IF(LEN(U14)&lt;&gt;10,"PAN not 10 chars; ",""))&amp;IF(V14="","Mobile missing; ",IF(LEN(V14)&lt;&gt;10,"Mobile not 10 digits; ",""))&amp;IF(AG14="","Bank A/c missing; ","")&amp;IF(AH14="","IFSC missing; ",IF(LEN(AH14)&lt;&gt;11,"IFSC not 11 chars; ","")))</f>
        <v/>
      </c>
      <c r="AW14" s="46" t="str">
        <f aca="false">IF(AS14="","",AS14+ROW()/100000)</f>
        <v/>
      </c>
      <c r="AX14" s="46" t="str">
        <f aca="false">IF(AT14="","",AT14+ROW()/100000)</f>
        <v/>
      </c>
    </row>
    <row r="15" customFormat="false" ht="15" hidden="false" customHeight="false" outlineLevel="0" collapsed="false">
      <c r="A15" s="9" t="str">
        <f aca="false">IF(B15="","",ROW()-5)</f>
        <v/>
      </c>
      <c r="B15" s="40"/>
      <c r="C15" s="8"/>
      <c r="D15" s="9" t="str">
        <f aca="false">IF(B15="","",IF(J15="","Active","Exited"))</f>
        <v/>
      </c>
      <c r="E15" s="8"/>
      <c r="F15" s="8"/>
      <c r="G15" s="8"/>
      <c r="H15" s="9" t="str">
        <f aca="false">IF(OR(B15="",I15=""),"",IF(IF(J15="",AsOf,J15)-I15&gt;=Settings!$C$13,"Permanent","Probation"))</f>
        <v/>
      </c>
      <c r="I15" s="41"/>
      <c r="J15" s="41"/>
      <c r="K15" s="8"/>
      <c r="L15" s="42" t="str">
        <f aca="false">IF(OR(B15="",I15=""),"",ROUND((IF(J15="",AsOf,J15)-I15)/365.25,1))</f>
        <v/>
      </c>
      <c r="M15" s="8"/>
      <c r="N15" s="8"/>
      <c r="O15" s="8"/>
      <c r="P15" s="8"/>
      <c r="Q15" s="41"/>
      <c r="R15" s="43" t="str">
        <f aca="false">IF(OR(B15="",Q15=""),"",INT((AsOf-Q15)/365.25))</f>
        <v/>
      </c>
      <c r="S15" s="8"/>
      <c r="T15" s="40"/>
      <c r="U15" s="40"/>
      <c r="V15" s="40"/>
      <c r="W15" s="40"/>
      <c r="X15" s="8"/>
      <c r="Y15" s="8"/>
      <c r="Z15" s="8"/>
      <c r="AA15" s="8"/>
      <c r="AB15" s="8"/>
      <c r="AC15" s="8"/>
      <c r="AD15" s="8"/>
      <c r="AE15" s="40"/>
      <c r="AF15" s="8"/>
      <c r="AG15" s="40"/>
      <c r="AH15" s="40"/>
      <c r="AI15" s="8"/>
      <c r="AJ15" s="40"/>
      <c r="AK15" s="40"/>
      <c r="AL15" s="40"/>
      <c r="AM15" s="44"/>
      <c r="AN15" s="44"/>
      <c r="AO15" s="41"/>
      <c r="AP15" s="45" t="str">
        <f aca="false">IF(B15="","",IF(AND(ISNUMBER(AM15),ISNUMBER(AN15),AM15&gt;0,AN15&gt;0),AN15/AM15-1,""))</f>
        <v/>
      </c>
      <c r="AQ15" s="9" t="str">
        <f aca="false">IF(I15="","",(YEAR(I15)-IF(MONTH(I15)&lt;4,1,0))&amp;"-"&amp;RIGHT((YEAR(I15)-IF(MONTH(I15)&lt;4,1,0))+1,2))</f>
        <v/>
      </c>
      <c r="AR15" s="9" t="str">
        <f aca="false">IF(J15="","",(YEAR(J15)-IF(MONTH(J15)&lt;4,1,0))&amp;"-"&amp;RIGHT((YEAR(J15)-IF(MONTH(J15)&lt;4,1,0))+1,2))</f>
        <v/>
      </c>
      <c r="AS15" s="43" t="str">
        <f aca="false">IF(OR(B15="",Q15="",D15&lt;&gt;"Active"),"",DATE(YEAR(AsOf)+IF(DATE(YEAR(AsOf),MONTH(Q15),DAY(Q15))&lt;AsOf,1,0),MONTH(Q15),DAY(Q15))-AsOf)</f>
        <v/>
      </c>
      <c r="AT15" s="43" t="str">
        <f aca="false">IF(OR(B15="",I15="",D15&lt;&gt;"Active"),"",IF(YEAR(DATE(YEAR(AsOf)+IF(DATE(YEAR(AsOf),MONTH(I15),DAY(I15))&lt;AsOf,1,0),MONTH(I15),DAY(I15)))-YEAR(I15)&lt;1,"",DATE(YEAR(AsOf)+IF(DATE(YEAR(AsOf),MONTH(I15),DAY(I15))&lt;AsOf,1,0),MONTH(I15),DAY(I15))-AsOf))</f>
        <v/>
      </c>
      <c r="AU15" s="43" t="str">
        <f aca="false">IF(B15="","",IF(AV15="",0,LEN(AV15)-LEN(SUBSTITUTE(AV15,";",""))))</f>
        <v/>
      </c>
      <c r="AV15" s="9" t="str">
        <f aca="false">IF(B15="","",IF(COUNTIF($B$6:$B$505,B15)&gt;1,"Duplicate Emp Code; ","")&amp;IF(C15="","Name missing; ","")&amp;IF(I15="","DOJ missing; ","")&amp;IF(AND(J15&lt;&gt;"",I15&lt;&gt;"",J15&lt;I15),"Exit before DOJ; ","")&amp;IF(Q15="","DOB missing; ","")&amp;IF(T15="","Aadhaar missing; ",IF(LEN(T15)&lt;&gt;12,"Aadhaar not 12 digits; ",IF(COUNTIF($T$6:$T$505,T15)&gt;1,"Duplicate Aadhaar; ","")))&amp;IF(U15="","PAN missing; ",IF(LEN(U15)&lt;&gt;10,"PAN not 10 chars; ",""))&amp;IF(V15="","Mobile missing; ",IF(LEN(V15)&lt;&gt;10,"Mobile not 10 digits; ",""))&amp;IF(AG15="","Bank A/c missing; ","")&amp;IF(AH15="","IFSC missing; ",IF(LEN(AH15)&lt;&gt;11,"IFSC not 11 chars; ","")))</f>
        <v/>
      </c>
      <c r="AW15" s="46" t="str">
        <f aca="false">IF(AS15="","",AS15+ROW()/100000)</f>
        <v/>
      </c>
      <c r="AX15" s="46" t="str">
        <f aca="false">IF(AT15="","",AT15+ROW()/100000)</f>
        <v/>
      </c>
    </row>
    <row r="16" customFormat="false" ht="15" hidden="false" customHeight="false" outlineLevel="0" collapsed="false">
      <c r="A16" s="9" t="str">
        <f aca="false">IF(B16="","",ROW()-5)</f>
        <v/>
      </c>
      <c r="B16" s="40"/>
      <c r="C16" s="8"/>
      <c r="D16" s="9" t="str">
        <f aca="false">IF(B16="","",IF(J16="","Active","Exited"))</f>
        <v/>
      </c>
      <c r="E16" s="8"/>
      <c r="F16" s="8"/>
      <c r="G16" s="8"/>
      <c r="H16" s="9" t="str">
        <f aca="false">IF(OR(B16="",I16=""),"",IF(IF(J16="",AsOf,J16)-I16&gt;=Settings!$C$13,"Permanent","Probation"))</f>
        <v/>
      </c>
      <c r="I16" s="41"/>
      <c r="J16" s="41"/>
      <c r="K16" s="8"/>
      <c r="L16" s="42" t="str">
        <f aca="false">IF(OR(B16="",I16=""),"",ROUND((IF(J16="",AsOf,J16)-I16)/365.25,1))</f>
        <v/>
      </c>
      <c r="M16" s="8"/>
      <c r="N16" s="8"/>
      <c r="O16" s="8"/>
      <c r="P16" s="8"/>
      <c r="Q16" s="41"/>
      <c r="R16" s="43" t="str">
        <f aca="false">IF(OR(B16="",Q16=""),"",INT((AsOf-Q16)/365.25))</f>
        <v/>
      </c>
      <c r="S16" s="8"/>
      <c r="T16" s="40"/>
      <c r="U16" s="40"/>
      <c r="V16" s="40"/>
      <c r="W16" s="40"/>
      <c r="X16" s="8"/>
      <c r="Y16" s="8"/>
      <c r="Z16" s="8"/>
      <c r="AA16" s="8"/>
      <c r="AB16" s="8"/>
      <c r="AC16" s="8"/>
      <c r="AD16" s="8"/>
      <c r="AE16" s="40"/>
      <c r="AF16" s="8"/>
      <c r="AG16" s="40"/>
      <c r="AH16" s="40"/>
      <c r="AI16" s="8"/>
      <c r="AJ16" s="40"/>
      <c r="AK16" s="40"/>
      <c r="AL16" s="40"/>
      <c r="AM16" s="44"/>
      <c r="AN16" s="44"/>
      <c r="AO16" s="41"/>
      <c r="AP16" s="45" t="str">
        <f aca="false">IF(B16="","",IF(AND(ISNUMBER(AM16),ISNUMBER(AN16),AM16&gt;0,AN16&gt;0),AN16/AM16-1,""))</f>
        <v/>
      </c>
      <c r="AQ16" s="9" t="str">
        <f aca="false">IF(I16="","",(YEAR(I16)-IF(MONTH(I16)&lt;4,1,0))&amp;"-"&amp;RIGHT((YEAR(I16)-IF(MONTH(I16)&lt;4,1,0))+1,2))</f>
        <v/>
      </c>
      <c r="AR16" s="9" t="str">
        <f aca="false">IF(J16="","",(YEAR(J16)-IF(MONTH(J16)&lt;4,1,0))&amp;"-"&amp;RIGHT((YEAR(J16)-IF(MONTH(J16)&lt;4,1,0))+1,2))</f>
        <v/>
      </c>
      <c r="AS16" s="43" t="str">
        <f aca="false">IF(OR(B16="",Q16="",D16&lt;&gt;"Active"),"",DATE(YEAR(AsOf)+IF(DATE(YEAR(AsOf),MONTH(Q16),DAY(Q16))&lt;AsOf,1,0),MONTH(Q16),DAY(Q16))-AsOf)</f>
        <v/>
      </c>
      <c r="AT16" s="43" t="str">
        <f aca="false">IF(OR(B16="",I16="",D16&lt;&gt;"Active"),"",IF(YEAR(DATE(YEAR(AsOf)+IF(DATE(YEAR(AsOf),MONTH(I16),DAY(I16))&lt;AsOf,1,0),MONTH(I16),DAY(I16)))-YEAR(I16)&lt;1,"",DATE(YEAR(AsOf)+IF(DATE(YEAR(AsOf),MONTH(I16),DAY(I16))&lt;AsOf,1,0),MONTH(I16),DAY(I16))-AsOf))</f>
        <v/>
      </c>
      <c r="AU16" s="43" t="str">
        <f aca="false">IF(B16="","",IF(AV16="",0,LEN(AV16)-LEN(SUBSTITUTE(AV16,";",""))))</f>
        <v/>
      </c>
      <c r="AV16" s="9" t="str">
        <f aca="false">IF(B16="","",IF(COUNTIF($B$6:$B$505,B16)&gt;1,"Duplicate Emp Code; ","")&amp;IF(C16="","Name missing; ","")&amp;IF(I16="","DOJ missing; ","")&amp;IF(AND(J16&lt;&gt;"",I16&lt;&gt;"",J16&lt;I16),"Exit before DOJ; ","")&amp;IF(Q16="","DOB missing; ","")&amp;IF(T16="","Aadhaar missing; ",IF(LEN(T16)&lt;&gt;12,"Aadhaar not 12 digits; ",IF(COUNTIF($T$6:$T$505,T16)&gt;1,"Duplicate Aadhaar; ","")))&amp;IF(U16="","PAN missing; ",IF(LEN(U16)&lt;&gt;10,"PAN not 10 chars; ",""))&amp;IF(V16="","Mobile missing; ",IF(LEN(V16)&lt;&gt;10,"Mobile not 10 digits; ",""))&amp;IF(AG16="","Bank A/c missing; ","")&amp;IF(AH16="","IFSC missing; ",IF(LEN(AH16)&lt;&gt;11,"IFSC not 11 chars; ","")))</f>
        <v/>
      </c>
      <c r="AW16" s="46" t="str">
        <f aca="false">IF(AS16="","",AS16+ROW()/100000)</f>
        <v/>
      </c>
      <c r="AX16" s="46" t="str">
        <f aca="false">IF(AT16="","",AT16+ROW()/100000)</f>
        <v/>
      </c>
    </row>
    <row r="17" customFormat="false" ht="15" hidden="false" customHeight="false" outlineLevel="0" collapsed="false">
      <c r="A17" s="9" t="str">
        <f aca="false">IF(B17="","",ROW()-5)</f>
        <v/>
      </c>
      <c r="B17" s="40"/>
      <c r="C17" s="8"/>
      <c r="D17" s="9" t="str">
        <f aca="false">IF(B17="","",IF(J17="","Active","Exited"))</f>
        <v/>
      </c>
      <c r="E17" s="8"/>
      <c r="F17" s="8"/>
      <c r="G17" s="8"/>
      <c r="H17" s="9" t="str">
        <f aca="false">IF(OR(B17="",I17=""),"",IF(IF(J17="",AsOf,J17)-I17&gt;=Settings!$C$13,"Permanent","Probation"))</f>
        <v/>
      </c>
      <c r="I17" s="41"/>
      <c r="J17" s="41"/>
      <c r="K17" s="8"/>
      <c r="L17" s="42" t="str">
        <f aca="false">IF(OR(B17="",I17=""),"",ROUND((IF(J17="",AsOf,J17)-I17)/365.25,1))</f>
        <v/>
      </c>
      <c r="M17" s="8"/>
      <c r="N17" s="8"/>
      <c r="O17" s="8"/>
      <c r="P17" s="8"/>
      <c r="Q17" s="41"/>
      <c r="R17" s="43" t="str">
        <f aca="false">IF(OR(B17="",Q17=""),"",INT((AsOf-Q17)/365.25))</f>
        <v/>
      </c>
      <c r="S17" s="8"/>
      <c r="T17" s="40"/>
      <c r="U17" s="40"/>
      <c r="V17" s="40"/>
      <c r="W17" s="40"/>
      <c r="X17" s="8"/>
      <c r="Y17" s="8"/>
      <c r="Z17" s="8"/>
      <c r="AA17" s="8"/>
      <c r="AB17" s="8"/>
      <c r="AC17" s="8"/>
      <c r="AD17" s="8"/>
      <c r="AE17" s="40"/>
      <c r="AF17" s="8"/>
      <c r="AG17" s="40"/>
      <c r="AH17" s="40"/>
      <c r="AI17" s="8"/>
      <c r="AJ17" s="40"/>
      <c r="AK17" s="40"/>
      <c r="AL17" s="40"/>
      <c r="AM17" s="44"/>
      <c r="AN17" s="44"/>
      <c r="AO17" s="41"/>
      <c r="AP17" s="45" t="str">
        <f aca="false">IF(B17="","",IF(AND(ISNUMBER(AM17),ISNUMBER(AN17),AM17&gt;0,AN17&gt;0),AN17/AM17-1,""))</f>
        <v/>
      </c>
      <c r="AQ17" s="9" t="str">
        <f aca="false">IF(I17="","",(YEAR(I17)-IF(MONTH(I17)&lt;4,1,0))&amp;"-"&amp;RIGHT((YEAR(I17)-IF(MONTH(I17)&lt;4,1,0))+1,2))</f>
        <v/>
      </c>
      <c r="AR17" s="9" t="str">
        <f aca="false">IF(J17="","",(YEAR(J17)-IF(MONTH(J17)&lt;4,1,0))&amp;"-"&amp;RIGHT((YEAR(J17)-IF(MONTH(J17)&lt;4,1,0))+1,2))</f>
        <v/>
      </c>
      <c r="AS17" s="43" t="str">
        <f aca="false">IF(OR(B17="",Q17="",D17&lt;&gt;"Active"),"",DATE(YEAR(AsOf)+IF(DATE(YEAR(AsOf),MONTH(Q17),DAY(Q17))&lt;AsOf,1,0),MONTH(Q17),DAY(Q17))-AsOf)</f>
        <v/>
      </c>
      <c r="AT17" s="43" t="str">
        <f aca="false">IF(OR(B17="",I17="",D17&lt;&gt;"Active"),"",IF(YEAR(DATE(YEAR(AsOf)+IF(DATE(YEAR(AsOf),MONTH(I17),DAY(I17))&lt;AsOf,1,0),MONTH(I17),DAY(I17)))-YEAR(I17)&lt;1,"",DATE(YEAR(AsOf)+IF(DATE(YEAR(AsOf),MONTH(I17),DAY(I17))&lt;AsOf,1,0),MONTH(I17),DAY(I17))-AsOf))</f>
        <v/>
      </c>
      <c r="AU17" s="43" t="str">
        <f aca="false">IF(B17="","",IF(AV17="",0,LEN(AV17)-LEN(SUBSTITUTE(AV17,";",""))))</f>
        <v/>
      </c>
      <c r="AV17" s="9" t="str">
        <f aca="false">IF(B17="","",IF(COUNTIF($B$6:$B$505,B17)&gt;1,"Duplicate Emp Code; ","")&amp;IF(C17="","Name missing; ","")&amp;IF(I17="","DOJ missing; ","")&amp;IF(AND(J17&lt;&gt;"",I17&lt;&gt;"",J17&lt;I17),"Exit before DOJ; ","")&amp;IF(Q17="","DOB missing; ","")&amp;IF(T17="","Aadhaar missing; ",IF(LEN(T17)&lt;&gt;12,"Aadhaar not 12 digits; ",IF(COUNTIF($T$6:$T$505,T17)&gt;1,"Duplicate Aadhaar; ","")))&amp;IF(U17="","PAN missing; ",IF(LEN(U17)&lt;&gt;10,"PAN not 10 chars; ",""))&amp;IF(V17="","Mobile missing; ",IF(LEN(V17)&lt;&gt;10,"Mobile not 10 digits; ",""))&amp;IF(AG17="","Bank A/c missing; ","")&amp;IF(AH17="","IFSC missing; ",IF(LEN(AH17)&lt;&gt;11,"IFSC not 11 chars; ","")))</f>
        <v/>
      </c>
      <c r="AW17" s="46" t="str">
        <f aca="false">IF(AS17="","",AS17+ROW()/100000)</f>
        <v/>
      </c>
      <c r="AX17" s="46" t="str">
        <f aca="false">IF(AT17="","",AT17+ROW()/100000)</f>
        <v/>
      </c>
    </row>
    <row r="18" customFormat="false" ht="15" hidden="false" customHeight="false" outlineLevel="0" collapsed="false">
      <c r="A18" s="9" t="str">
        <f aca="false">IF(B18="","",ROW()-5)</f>
        <v/>
      </c>
      <c r="B18" s="40"/>
      <c r="C18" s="8"/>
      <c r="D18" s="9" t="str">
        <f aca="false">IF(B18="","",IF(J18="","Active","Exited"))</f>
        <v/>
      </c>
      <c r="E18" s="8"/>
      <c r="F18" s="8"/>
      <c r="G18" s="8"/>
      <c r="H18" s="9" t="str">
        <f aca="false">IF(OR(B18="",I18=""),"",IF(IF(J18="",AsOf,J18)-I18&gt;=Settings!$C$13,"Permanent","Probation"))</f>
        <v/>
      </c>
      <c r="I18" s="41"/>
      <c r="J18" s="41"/>
      <c r="K18" s="8"/>
      <c r="L18" s="42" t="str">
        <f aca="false">IF(OR(B18="",I18=""),"",ROUND((IF(J18="",AsOf,J18)-I18)/365.25,1))</f>
        <v/>
      </c>
      <c r="M18" s="8"/>
      <c r="N18" s="8"/>
      <c r="O18" s="8"/>
      <c r="P18" s="8"/>
      <c r="Q18" s="41"/>
      <c r="R18" s="43" t="str">
        <f aca="false">IF(OR(B18="",Q18=""),"",INT((AsOf-Q18)/365.25))</f>
        <v/>
      </c>
      <c r="S18" s="8"/>
      <c r="T18" s="40"/>
      <c r="U18" s="40"/>
      <c r="V18" s="40"/>
      <c r="W18" s="40"/>
      <c r="X18" s="8"/>
      <c r="Y18" s="8"/>
      <c r="Z18" s="8"/>
      <c r="AA18" s="8"/>
      <c r="AB18" s="8"/>
      <c r="AC18" s="8"/>
      <c r="AD18" s="8"/>
      <c r="AE18" s="40"/>
      <c r="AF18" s="8"/>
      <c r="AG18" s="40"/>
      <c r="AH18" s="40"/>
      <c r="AI18" s="8"/>
      <c r="AJ18" s="40"/>
      <c r="AK18" s="40"/>
      <c r="AL18" s="40"/>
      <c r="AM18" s="44"/>
      <c r="AN18" s="44"/>
      <c r="AO18" s="41"/>
      <c r="AP18" s="45" t="str">
        <f aca="false">IF(B18="","",IF(AND(ISNUMBER(AM18),ISNUMBER(AN18),AM18&gt;0,AN18&gt;0),AN18/AM18-1,""))</f>
        <v/>
      </c>
      <c r="AQ18" s="9" t="str">
        <f aca="false">IF(I18="","",(YEAR(I18)-IF(MONTH(I18)&lt;4,1,0))&amp;"-"&amp;RIGHT((YEAR(I18)-IF(MONTH(I18)&lt;4,1,0))+1,2))</f>
        <v/>
      </c>
      <c r="AR18" s="9" t="str">
        <f aca="false">IF(J18="","",(YEAR(J18)-IF(MONTH(J18)&lt;4,1,0))&amp;"-"&amp;RIGHT((YEAR(J18)-IF(MONTH(J18)&lt;4,1,0))+1,2))</f>
        <v/>
      </c>
      <c r="AS18" s="43" t="str">
        <f aca="false">IF(OR(B18="",Q18="",D18&lt;&gt;"Active"),"",DATE(YEAR(AsOf)+IF(DATE(YEAR(AsOf),MONTH(Q18),DAY(Q18))&lt;AsOf,1,0),MONTH(Q18),DAY(Q18))-AsOf)</f>
        <v/>
      </c>
      <c r="AT18" s="43" t="str">
        <f aca="false">IF(OR(B18="",I18="",D18&lt;&gt;"Active"),"",IF(YEAR(DATE(YEAR(AsOf)+IF(DATE(YEAR(AsOf),MONTH(I18),DAY(I18))&lt;AsOf,1,0),MONTH(I18),DAY(I18)))-YEAR(I18)&lt;1,"",DATE(YEAR(AsOf)+IF(DATE(YEAR(AsOf),MONTH(I18),DAY(I18))&lt;AsOf,1,0),MONTH(I18),DAY(I18))-AsOf))</f>
        <v/>
      </c>
      <c r="AU18" s="43" t="str">
        <f aca="false">IF(B18="","",IF(AV18="",0,LEN(AV18)-LEN(SUBSTITUTE(AV18,";",""))))</f>
        <v/>
      </c>
      <c r="AV18" s="9" t="str">
        <f aca="false">IF(B18="","",IF(COUNTIF($B$6:$B$505,B18)&gt;1,"Duplicate Emp Code; ","")&amp;IF(C18="","Name missing; ","")&amp;IF(I18="","DOJ missing; ","")&amp;IF(AND(J18&lt;&gt;"",I18&lt;&gt;"",J18&lt;I18),"Exit before DOJ; ","")&amp;IF(Q18="","DOB missing; ","")&amp;IF(T18="","Aadhaar missing; ",IF(LEN(T18)&lt;&gt;12,"Aadhaar not 12 digits; ",IF(COUNTIF($T$6:$T$505,T18)&gt;1,"Duplicate Aadhaar; ","")))&amp;IF(U18="","PAN missing; ",IF(LEN(U18)&lt;&gt;10,"PAN not 10 chars; ",""))&amp;IF(V18="","Mobile missing; ",IF(LEN(V18)&lt;&gt;10,"Mobile not 10 digits; ",""))&amp;IF(AG18="","Bank A/c missing; ","")&amp;IF(AH18="","IFSC missing; ",IF(LEN(AH18)&lt;&gt;11,"IFSC not 11 chars; ","")))</f>
        <v/>
      </c>
      <c r="AW18" s="46" t="str">
        <f aca="false">IF(AS18="","",AS18+ROW()/100000)</f>
        <v/>
      </c>
      <c r="AX18" s="46" t="str">
        <f aca="false">IF(AT18="","",AT18+ROW()/100000)</f>
        <v/>
      </c>
    </row>
    <row r="19" customFormat="false" ht="15" hidden="false" customHeight="false" outlineLevel="0" collapsed="false">
      <c r="A19" s="9" t="str">
        <f aca="false">IF(B19="","",ROW()-5)</f>
        <v/>
      </c>
      <c r="B19" s="40"/>
      <c r="C19" s="8"/>
      <c r="D19" s="9" t="str">
        <f aca="false">IF(B19="","",IF(J19="","Active","Exited"))</f>
        <v/>
      </c>
      <c r="E19" s="8"/>
      <c r="F19" s="8"/>
      <c r="G19" s="8"/>
      <c r="H19" s="9" t="str">
        <f aca="false">IF(OR(B19="",I19=""),"",IF(IF(J19="",AsOf,J19)-I19&gt;=Settings!$C$13,"Permanent","Probation"))</f>
        <v/>
      </c>
      <c r="I19" s="41"/>
      <c r="J19" s="41"/>
      <c r="K19" s="8"/>
      <c r="L19" s="42" t="str">
        <f aca="false">IF(OR(B19="",I19=""),"",ROUND((IF(J19="",AsOf,J19)-I19)/365.25,1))</f>
        <v/>
      </c>
      <c r="M19" s="8"/>
      <c r="N19" s="8"/>
      <c r="O19" s="8"/>
      <c r="P19" s="8"/>
      <c r="Q19" s="41"/>
      <c r="R19" s="43" t="str">
        <f aca="false">IF(OR(B19="",Q19=""),"",INT((AsOf-Q19)/365.25))</f>
        <v/>
      </c>
      <c r="S19" s="8"/>
      <c r="T19" s="40"/>
      <c r="U19" s="40"/>
      <c r="V19" s="40"/>
      <c r="W19" s="40"/>
      <c r="X19" s="8"/>
      <c r="Y19" s="8"/>
      <c r="Z19" s="8"/>
      <c r="AA19" s="8"/>
      <c r="AB19" s="8"/>
      <c r="AC19" s="8"/>
      <c r="AD19" s="8"/>
      <c r="AE19" s="40"/>
      <c r="AF19" s="8"/>
      <c r="AG19" s="40"/>
      <c r="AH19" s="40"/>
      <c r="AI19" s="8"/>
      <c r="AJ19" s="40"/>
      <c r="AK19" s="40"/>
      <c r="AL19" s="40"/>
      <c r="AM19" s="44"/>
      <c r="AN19" s="44"/>
      <c r="AO19" s="41"/>
      <c r="AP19" s="45" t="str">
        <f aca="false">IF(B19="","",IF(AND(ISNUMBER(AM19),ISNUMBER(AN19),AM19&gt;0,AN19&gt;0),AN19/AM19-1,""))</f>
        <v/>
      </c>
      <c r="AQ19" s="9" t="str">
        <f aca="false">IF(I19="","",(YEAR(I19)-IF(MONTH(I19)&lt;4,1,0))&amp;"-"&amp;RIGHT((YEAR(I19)-IF(MONTH(I19)&lt;4,1,0))+1,2))</f>
        <v/>
      </c>
      <c r="AR19" s="9" t="str">
        <f aca="false">IF(J19="","",(YEAR(J19)-IF(MONTH(J19)&lt;4,1,0))&amp;"-"&amp;RIGHT((YEAR(J19)-IF(MONTH(J19)&lt;4,1,0))+1,2))</f>
        <v/>
      </c>
      <c r="AS19" s="43" t="str">
        <f aca="false">IF(OR(B19="",Q19="",D19&lt;&gt;"Active"),"",DATE(YEAR(AsOf)+IF(DATE(YEAR(AsOf),MONTH(Q19),DAY(Q19))&lt;AsOf,1,0),MONTH(Q19),DAY(Q19))-AsOf)</f>
        <v/>
      </c>
      <c r="AT19" s="43" t="str">
        <f aca="false">IF(OR(B19="",I19="",D19&lt;&gt;"Active"),"",IF(YEAR(DATE(YEAR(AsOf)+IF(DATE(YEAR(AsOf),MONTH(I19),DAY(I19))&lt;AsOf,1,0),MONTH(I19),DAY(I19)))-YEAR(I19)&lt;1,"",DATE(YEAR(AsOf)+IF(DATE(YEAR(AsOf),MONTH(I19),DAY(I19))&lt;AsOf,1,0),MONTH(I19),DAY(I19))-AsOf))</f>
        <v/>
      </c>
      <c r="AU19" s="43" t="str">
        <f aca="false">IF(B19="","",IF(AV19="",0,LEN(AV19)-LEN(SUBSTITUTE(AV19,";",""))))</f>
        <v/>
      </c>
      <c r="AV19" s="9" t="str">
        <f aca="false">IF(B19="","",IF(COUNTIF($B$6:$B$505,B19)&gt;1,"Duplicate Emp Code; ","")&amp;IF(C19="","Name missing; ","")&amp;IF(I19="","DOJ missing; ","")&amp;IF(AND(J19&lt;&gt;"",I19&lt;&gt;"",J19&lt;I19),"Exit before DOJ; ","")&amp;IF(Q19="","DOB missing; ","")&amp;IF(T19="","Aadhaar missing; ",IF(LEN(T19)&lt;&gt;12,"Aadhaar not 12 digits; ",IF(COUNTIF($T$6:$T$505,T19)&gt;1,"Duplicate Aadhaar; ","")))&amp;IF(U19="","PAN missing; ",IF(LEN(U19)&lt;&gt;10,"PAN not 10 chars; ",""))&amp;IF(V19="","Mobile missing; ",IF(LEN(V19)&lt;&gt;10,"Mobile not 10 digits; ",""))&amp;IF(AG19="","Bank A/c missing; ","")&amp;IF(AH19="","IFSC missing; ",IF(LEN(AH19)&lt;&gt;11,"IFSC not 11 chars; ","")))</f>
        <v/>
      </c>
      <c r="AW19" s="46" t="str">
        <f aca="false">IF(AS19="","",AS19+ROW()/100000)</f>
        <v/>
      </c>
      <c r="AX19" s="46" t="str">
        <f aca="false">IF(AT19="","",AT19+ROW()/100000)</f>
        <v/>
      </c>
    </row>
    <row r="20" customFormat="false" ht="15" hidden="false" customHeight="false" outlineLevel="0" collapsed="false">
      <c r="A20" s="9" t="str">
        <f aca="false">IF(B20="","",ROW()-5)</f>
        <v/>
      </c>
      <c r="B20" s="40"/>
      <c r="C20" s="8"/>
      <c r="D20" s="9" t="str">
        <f aca="false">IF(B20="","",IF(J20="","Active","Exited"))</f>
        <v/>
      </c>
      <c r="E20" s="8"/>
      <c r="F20" s="8"/>
      <c r="G20" s="8"/>
      <c r="H20" s="9" t="str">
        <f aca="false">IF(OR(B20="",I20=""),"",IF(IF(J20="",AsOf,J20)-I20&gt;=Settings!$C$13,"Permanent","Probation"))</f>
        <v/>
      </c>
      <c r="I20" s="41"/>
      <c r="J20" s="41"/>
      <c r="K20" s="8"/>
      <c r="L20" s="42" t="str">
        <f aca="false">IF(OR(B20="",I20=""),"",ROUND((IF(J20="",AsOf,J20)-I20)/365.25,1))</f>
        <v/>
      </c>
      <c r="M20" s="8"/>
      <c r="N20" s="8"/>
      <c r="O20" s="8"/>
      <c r="P20" s="8"/>
      <c r="Q20" s="41"/>
      <c r="R20" s="43" t="str">
        <f aca="false">IF(OR(B20="",Q20=""),"",INT((AsOf-Q20)/365.25))</f>
        <v/>
      </c>
      <c r="S20" s="8"/>
      <c r="T20" s="40"/>
      <c r="U20" s="40"/>
      <c r="V20" s="40"/>
      <c r="W20" s="40"/>
      <c r="X20" s="8"/>
      <c r="Y20" s="8"/>
      <c r="Z20" s="8"/>
      <c r="AA20" s="8"/>
      <c r="AB20" s="8"/>
      <c r="AC20" s="8"/>
      <c r="AD20" s="8"/>
      <c r="AE20" s="40"/>
      <c r="AF20" s="8"/>
      <c r="AG20" s="40"/>
      <c r="AH20" s="40"/>
      <c r="AI20" s="8"/>
      <c r="AJ20" s="40"/>
      <c r="AK20" s="40"/>
      <c r="AL20" s="40"/>
      <c r="AM20" s="44"/>
      <c r="AN20" s="44"/>
      <c r="AO20" s="41"/>
      <c r="AP20" s="45" t="str">
        <f aca="false">IF(B20="","",IF(AND(ISNUMBER(AM20),ISNUMBER(AN20),AM20&gt;0,AN20&gt;0),AN20/AM20-1,""))</f>
        <v/>
      </c>
      <c r="AQ20" s="9" t="str">
        <f aca="false">IF(I20="","",(YEAR(I20)-IF(MONTH(I20)&lt;4,1,0))&amp;"-"&amp;RIGHT((YEAR(I20)-IF(MONTH(I20)&lt;4,1,0))+1,2))</f>
        <v/>
      </c>
      <c r="AR20" s="9" t="str">
        <f aca="false">IF(J20="","",(YEAR(J20)-IF(MONTH(J20)&lt;4,1,0))&amp;"-"&amp;RIGHT((YEAR(J20)-IF(MONTH(J20)&lt;4,1,0))+1,2))</f>
        <v/>
      </c>
      <c r="AS20" s="43" t="str">
        <f aca="false">IF(OR(B20="",Q20="",D20&lt;&gt;"Active"),"",DATE(YEAR(AsOf)+IF(DATE(YEAR(AsOf),MONTH(Q20),DAY(Q20))&lt;AsOf,1,0),MONTH(Q20),DAY(Q20))-AsOf)</f>
        <v/>
      </c>
      <c r="AT20" s="43" t="str">
        <f aca="false">IF(OR(B20="",I20="",D20&lt;&gt;"Active"),"",IF(YEAR(DATE(YEAR(AsOf)+IF(DATE(YEAR(AsOf),MONTH(I20),DAY(I20))&lt;AsOf,1,0),MONTH(I20),DAY(I20)))-YEAR(I20)&lt;1,"",DATE(YEAR(AsOf)+IF(DATE(YEAR(AsOf),MONTH(I20),DAY(I20))&lt;AsOf,1,0),MONTH(I20),DAY(I20))-AsOf))</f>
        <v/>
      </c>
      <c r="AU20" s="43" t="str">
        <f aca="false">IF(B20="","",IF(AV20="",0,LEN(AV20)-LEN(SUBSTITUTE(AV20,";",""))))</f>
        <v/>
      </c>
      <c r="AV20" s="9" t="str">
        <f aca="false">IF(B20="","",IF(COUNTIF($B$6:$B$505,B20)&gt;1,"Duplicate Emp Code; ","")&amp;IF(C20="","Name missing; ","")&amp;IF(I20="","DOJ missing; ","")&amp;IF(AND(J20&lt;&gt;"",I20&lt;&gt;"",J20&lt;I20),"Exit before DOJ; ","")&amp;IF(Q20="","DOB missing; ","")&amp;IF(T20="","Aadhaar missing; ",IF(LEN(T20)&lt;&gt;12,"Aadhaar not 12 digits; ",IF(COUNTIF($T$6:$T$505,T20)&gt;1,"Duplicate Aadhaar; ","")))&amp;IF(U20="","PAN missing; ",IF(LEN(U20)&lt;&gt;10,"PAN not 10 chars; ",""))&amp;IF(V20="","Mobile missing; ",IF(LEN(V20)&lt;&gt;10,"Mobile not 10 digits; ",""))&amp;IF(AG20="","Bank A/c missing; ","")&amp;IF(AH20="","IFSC missing; ",IF(LEN(AH20)&lt;&gt;11,"IFSC not 11 chars; ","")))</f>
        <v/>
      </c>
      <c r="AW20" s="46" t="str">
        <f aca="false">IF(AS20="","",AS20+ROW()/100000)</f>
        <v/>
      </c>
      <c r="AX20" s="46" t="str">
        <f aca="false">IF(AT20="","",AT20+ROW()/100000)</f>
        <v/>
      </c>
    </row>
    <row r="21" customFormat="false" ht="15" hidden="false" customHeight="false" outlineLevel="0" collapsed="false">
      <c r="A21" s="9" t="str">
        <f aca="false">IF(B21="","",ROW()-5)</f>
        <v/>
      </c>
      <c r="B21" s="40"/>
      <c r="C21" s="8"/>
      <c r="D21" s="9" t="str">
        <f aca="false">IF(B21="","",IF(J21="","Active","Exited"))</f>
        <v/>
      </c>
      <c r="E21" s="8"/>
      <c r="F21" s="8"/>
      <c r="G21" s="8"/>
      <c r="H21" s="9" t="str">
        <f aca="false">IF(OR(B21="",I21=""),"",IF(IF(J21="",AsOf,J21)-I21&gt;=Settings!$C$13,"Permanent","Probation"))</f>
        <v/>
      </c>
      <c r="I21" s="41"/>
      <c r="J21" s="41"/>
      <c r="K21" s="8"/>
      <c r="L21" s="42" t="str">
        <f aca="false">IF(OR(B21="",I21=""),"",ROUND((IF(J21="",AsOf,J21)-I21)/365.25,1))</f>
        <v/>
      </c>
      <c r="M21" s="8"/>
      <c r="N21" s="8"/>
      <c r="O21" s="8"/>
      <c r="P21" s="8"/>
      <c r="Q21" s="41"/>
      <c r="R21" s="43" t="str">
        <f aca="false">IF(OR(B21="",Q21=""),"",INT((AsOf-Q21)/365.25))</f>
        <v/>
      </c>
      <c r="S21" s="8"/>
      <c r="T21" s="40"/>
      <c r="U21" s="40"/>
      <c r="V21" s="40"/>
      <c r="W21" s="40"/>
      <c r="X21" s="8"/>
      <c r="Y21" s="8"/>
      <c r="Z21" s="8"/>
      <c r="AA21" s="8"/>
      <c r="AB21" s="8"/>
      <c r="AC21" s="8"/>
      <c r="AD21" s="8"/>
      <c r="AE21" s="40"/>
      <c r="AF21" s="8"/>
      <c r="AG21" s="40"/>
      <c r="AH21" s="40"/>
      <c r="AI21" s="8"/>
      <c r="AJ21" s="40"/>
      <c r="AK21" s="40"/>
      <c r="AL21" s="40"/>
      <c r="AM21" s="44"/>
      <c r="AN21" s="44"/>
      <c r="AO21" s="41"/>
      <c r="AP21" s="45" t="str">
        <f aca="false">IF(B21="","",IF(AND(ISNUMBER(AM21),ISNUMBER(AN21),AM21&gt;0,AN21&gt;0),AN21/AM21-1,""))</f>
        <v/>
      </c>
      <c r="AQ21" s="9" t="str">
        <f aca="false">IF(I21="","",(YEAR(I21)-IF(MONTH(I21)&lt;4,1,0))&amp;"-"&amp;RIGHT((YEAR(I21)-IF(MONTH(I21)&lt;4,1,0))+1,2))</f>
        <v/>
      </c>
      <c r="AR21" s="9" t="str">
        <f aca="false">IF(J21="","",(YEAR(J21)-IF(MONTH(J21)&lt;4,1,0))&amp;"-"&amp;RIGHT((YEAR(J21)-IF(MONTH(J21)&lt;4,1,0))+1,2))</f>
        <v/>
      </c>
      <c r="AS21" s="43" t="str">
        <f aca="false">IF(OR(B21="",Q21="",D21&lt;&gt;"Active"),"",DATE(YEAR(AsOf)+IF(DATE(YEAR(AsOf),MONTH(Q21),DAY(Q21))&lt;AsOf,1,0),MONTH(Q21),DAY(Q21))-AsOf)</f>
        <v/>
      </c>
      <c r="AT21" s="43" t="str">
        <f aca="false">IF(OR(B21="",I21="",D21&lt;&gt;"Active"),"",IF(YEAR(DATE(YEAR(AsOf)+IF(DATE(YEAR(AsOf),MONTH(I21),DAY(I21))&lt;AsOf,1,0),MONTH(I21),DAY(I21)))-YEAR(I21)&lt;1,"",DATE(YEAR(AsOf)+IF(DATE(YEAR(AsOf),MONTH(I21),DAY(I21))&lt;AsOf,1,0),MONTH(I21),DAY(I21))-AsOf))</f>
        <v/>
      </c>
      <c r="AU21" s="43" t="str">
        <f aca="false">IF(B21="","",IF(AV21="",0,LEN(AV21)-LEN(SUBSTITUTE(AV21,";",""))))</f>
        <v/>
      </c>
      <c r="AV21" s="9" t="str">
        <f aca="false">IF(B21="","",IF(COUNTIF($B$6:$B$505,B21)&gt;1,"Duplicate Emp Code; ","")&amp;IF(C21="","Name missing; ","")&amp;IF(I21="","DOJ missing; ","")&amp;IF(AND(J21&lt;&gt;"",I21&lt;&gt;"",J21&lt;I21),"Exit before DOJ; ","")&amp;IF(Q21="","DOB missing; ","")&amp;IF(T21="","Aadhaar missing; ",IF(LEN(T21)&lt;&gt;12,"Aadhaar not 12 digits; ",IF(COUNTIF($T$6:$T$505,T21)&gt;1,"Duplicate Aadhaar; ","")))&amp;IF(U21="","PAN missing; ",IF(LEN(U21)&lt;&gt;10,"PAN not 10 chars; ",""))&amp;IF(V21="","Mobile missing; ",IF(LEN(V21)&lt;&gt;10,"Mobile not 10 digits; ",""))&amp;IF(AG21="","Bank A/c missing; ","")&amp;IF(AH21="","IFSC missing; ",IF(LEN(AH21)&lt;&gt;11,"IFSC not 11 chars; ","")))</f>
        <v/>
      </c>
      <c r="AW21" s="46" t="str">
        <f aca="false">IF(AS21="","",AS21+ROW()/100000)</f>
        <v/>
      </c>
      <c r="AX21" s="46" t="str">
        <f aca="false">IF(AT21="","",AT21+ROW()/100000)</f>
        <v/>
      </c>
    </row>
    <row r="22" customFormat="false" ht="15" hidden="false" customHeight="false" outlineLevel="0" collapsed="false">
      <c r="A22" s="9" t="str">
        <f aca="false">IF(B22="","",ROW()-5)</f>
        <v/>
      </c>
      <c r="B22" s="40"/>
      <c r="C22" s="8"/>
      <c r="D22" s="9" t="str">
        <f aca="false">IF(B22="","",IF(J22="","Active","Exited"))</f>
        <v/>
      </c>
      <c r="E22" s="8"/>
      <c r="F22" s="8"/>
      <c r="G22" s="8"/>
      <c r="H22" s="9" t="str">
        <f aca="false">IF(OR(B22="",I22=""),"",IF(IF(J22="",AsOf,J22)-I22&gt;=Settings!$C$13,"Permanent","Probation"))</f>
        <v/>
      </c>
      <c r="I22" s="41"/>
      <c r="J22" s="41"/>
      <c r="K22" s="8"/>
      <c r="L22" s="42" t="str">
        <f aca="false">IF(OR(B22="",I22=""),"",ROUND((IF(J22="",AsOf,J22)-I22)/365.25,1))</f>
        <v/>
      </c>
      <c r="M22" s="8"/>
      <c r="N22" s="8"/>
      <c r="O22" s="8"/>
      <c r="P22" s="8"/>
      <c r="Q22" s="41"/>
      <c r="R22" s="43" t="str">
        <f aca="false">IF(OR(B22="",Q22=""),"",INT((AsOf-Q22)/365.25))</f>
        <v/>
      </c>
      <c r="S22" s="8"/>
      <c r="T22" s="40"/>
      <c r="U22" s="40"/>
      <c r="V22" s="40"/>
      <c r="W22" s="40"/>
      <c r="X22" s="8"/>
      <c r="Y22" s="8"/>
      <c r="Z22" s="8"/>
      <c r="AA22" s="8"/>
      <c r="AB22" s="8"/>
      <c r="AC22" s="8"/>
      <c r="AD22" s="8"/>
      <c r="AE22" s="40"/>
      <c r="AF22" s="8"/>
      <c r="AG22" s="40"/>
      <c r="AH22" s="40"/>
      <c r="AI22" s="8"/>
      <c r="AJ22" s="40"/>
      <c r="AK22" s="40"/>
      <c r="AL22" s="40"/>
      <c r="AM22" s="44"/>
      <c r="AN22" s="44"/>
      <c r="AO22" s="41"/>
      <c r="AP22" s="45" t="str">
        <f aca="false">IF(B22="","",IF(AND(ISNUMBER(AM22),ISNUMBER(AN22),AM22&gt;0,AN22&gt;0),AN22/AM22-1,""))</f>
        <v/>
      </c>
      <c r="AQ22" s="9" t="str">
        <f aca="false">IF(I22="","",(YEAR(I22)-IF(MONTH(I22)&lt;4,1,0))&amp;"-"&amp;RIGHT((YEAR(I22)-IF(MONTH(I22)&lt;4,1,0))+1,2))</f>
        <v/>
      </c>
      <c r="AR22" s="9" t="str">
        <f aca="false">IF(J22="","",(YEAR(J22)-IF(MONTH(J22)&lt;4,1,0))&amp;"-"&amp;RIGHT((YEAR(J22)-IF(MONTH(J22)&lt;4,1,0))+1,2))</f>
        <v/>
      </c>
      <c r="AS22" s="43" t="str">
        <f aca="false">IF(OR(B22="",Q22="",D22&lt;&gt;"Active"),"",DATE(YEAR(AsOf)+IF(DATE(YEAR(AsOf),MONTH(Q22),DAY(Q22))&lt;AsOf,1,0),MONTH(Q22),DAY(Q22))-AsOf)</f>
        <v/>
      </c>
      <c r="AT22" s="43" t="str">
        <f aca="false">IF(OR(B22="",I22="",D22&lt;&gt;"Active"),"",IF(YEAR(DATE(YEAR(AsOf)+IF(DATE(YEAR(AsOf),MONTH(I22),DAY(I22))&lt;AsOf,1,0),MONTH(I22),DAY(I22)))-YEAR(I22)&lt;1,"",DATE(YEAR(AsOf)+IF(DATE(YEAR(AsOf),MONTH(I22),DAY(I22))&lt;AsOf,1,0),MONTH(I22),DAY(I22))-AsOf))</f>
        <v/>
      </c>
      <c r="AU22" s="43" t="str">
        <f aca="false">IF(B22="","",IF(AV22="",0,LEN(AV22)-LEN(SUBSTITUTE(AV22,";",""))))</f>
        <v/>
      </c>
      <c r="AV22" s="9" t="str">
        <f aca="false">IF(B22="","",IF(COUNTIF($B$6:$B$505,B22)&gt;1,"Duplicate Emp Code; ","")&amp;IF(C22="","Name missing; ","")&amp;IF(I22="","DOJ missing; ","")&amp;IF(AND(J22&lt;&gt;"",I22&lt;&gt;"",J22&lt;I22),"Exit before DOJ; ","")&amp;IF(Q22="","DOB missing; ","")&amp;IF(T22="","Aadhaar missing; ",IF(LEN(T22)&lt;&gt;12,"Aadhaar not 12 digits; ",IF(COUNTIF($T$6:$T$505,T22)&gt;1,"Duplicate Aadhaar; ","")))&amp;IF(U22="","PAN missing; ",IF(LEN(U22)&lt;&gt;10,"PAN not 10 chars; ",""))&amp;IF(V22="","Mobile missing; ",IF(LEN(V22)&lt;&gt;10,"Mobile not 10 digits; ",""))&amp;IF(AG22="","Bank A/c missing; ","")&amp;IF(AH22="","IFSC missing; ",IF(LEN(AH22)&lt;&gt;11,"IFSC not 11 chars; ","")))</f>
        <v/>
      </c>
      <c r="AW22" s="46" t="str">
        <f aca="false">IF(AS22="","",AS22+ROW()/100000)</f>
        <v/>
      </c>
      <c r="AX22" s="46" t="str">
        <f aca="false">IF(AT22="","",AT22+ROW()/100000)</f>
        <v/>
      </c>
    </row>
    <row r="23" customFormat="false" ht="15" hidden="false" customHeight="false" outlineLevel="0" collapsed="false">
      <c r="A23" s="9" t="str">
        <f aca="false">IF(B23="","",ROW()-5)</f>
        <v/>
      </c>
      <c r="B23" s="40"/>
      <c r="C23" s="8"/>
      <c r="D23" s="9" t="str">
        <f aca="false">IF(B23="","",IF(J23="","Active","Exited"))</f>
        <v/>
      </c>
      <c r="E23" s="8"/>
      <c r="F23" s="8"/>
      <c r="G23" s="8"/>
      <c r="H23" s="9" t="str">
        <f aca="false">IF(OR(B23="",I23=""),"",IF(IF(J23="",AsOf,J23)-I23&gt;=Settings!$C$13,"Permanent","Probation"))</f>
        <v/>
      </c>
      <c r="I23" s="41"/>
      <c r="J23" s="41"/>
      <c r="K23" s="8"/>
      <c r="L23" s="42" t="str">
        <f aca="false">IF(OR(B23="",I23=""),"",ROUND((IF(J23="",AsOf,J23)-I23)/365.25,1))</f>
        <v/>
      </c>
      <c r="M23" s="8"/>
      <c r="N23" s="8"/>
      <c r="O23" s="8"/>
      <c r="P23" s="8"/>
      <c r="Q23" s="41"/>
      <c r="R23" s="43" t="str">
        <f aca="false">IF(OR(B23="",Q23=""),"",INT((AsOf-Q23)/365.25))</f>
        <v/>
      </c>
      <c r="S23" s="8"/>
      <c r="T23" s="40"/>
      <c r="U23" s="40"/>
      <c r="V23" s="40"/>
      <c r="W23" s="40"/>
      <c r="X23" s="8"/>
      <c r="Y23" s="8"/>
      <c r="Z23" s="8"/>
      <c r="AA23" s="8"/>
      <c r="AB23" s="8"/>
      <c r="AC23" s="8"/>
      <c r="AD23" s="8"/>
      <c r="AE23" s="40"/>
      <c r="AF23" s="8"/>
      <c r="AG23" s="40"/>
      <c r="AH23" s="40"/>
      <c r="AI23" s="8"/>
      <c r="AJ23" s="40"/>
      <c r="AK23" s="40"/>
      <c r="AL23" s="40"/>
      <c r="AM23" s="44"/>
      <c r="AN23" s="44"/>
      <c r="AO23" s="41"/>
      <c r="AP23" s="45" t="str">
        <f aca="false">IF(B23="","",IF(AND(ISNUMBER(AM23),ISNUMBER(AN23),AM23&gt;0,AN23&gt;0),AN23/AM23-1,""))</f>
        <v/>
      </c>
      <c r="AQ23" s="9" t="str">
        <f aca="false">IF(I23="","",(YEAR(I23)-IF(MONTH(I23)&lt;4,1,0))&amp;"-"&amp;RIGHT((YEAR(I23)-IF(MONTH(I23)&lt;4,1,0))+1,2))</f>
        <v/>
      </c>
      <c r="AR23" s="9" t="str">
        <f aca="false">IF(J23="","",(YEAR(J23)-IF(MONTH(J23)&lt;4,1,0))&amp;"-"&amp;RIGHT((YEAR(J23)-IF(MONTH(J23)&lt;4,1,0))+1,2))</f>
        <v/>
      </c>
      <c r="AS23" s="43" t="str">
        <f aca="false">IF(OR(B23="",Q23="",D23&lt;&gt;"Active"),"",DATE(YEAR(AsOf)+IF(DATE(YEAR(AsOf),MONTH(Q23),DAY(Q23))&lt;AsOf,1,0),MONTH(Q23),DAY(Q23))-AsOf)</f>
        <v/>
      </c>
      <c r="AT23" s="43" t="str">
        <f aca="false">IF(OR(B23="",I23="",D23&lt;&gt;"Active"),"",IF(YEAR(DATE(YEAR(AsOf)+IF(DATE(YEAR(AsOf),MONTH(I23),DAY(I23))&lt;AsOf,1,0),MONTH(I23),DAY(I23)))-YEAR(I23)&lt;1,"",DATE(YEAR(AsOf)+IF(DATE(YEAR(AsOf),MONTH(I23),DAY(I23))&lt;AsOf,1,0),MONTH(I23),DAY(I23))-AsOf))</f>
        <v/>
      </c>
      <c r="AU23" s="43" t="str">
        <f aca="false">IF(B23="","",IF(AV23="",0,LEN(AV23)-LEN(SUBSTITUTE(AV23,";",""))))</f>
        <v/>
      </c>
      <c r="AV23" s="9" t="str">
        <f aca="false">IF(B23="","",IF(COUNTIF($B$6:$B$505,B23)&gt;1,"Duplicate Emp Code; ","")&amp;IF(C23="","Name missing; ","")&amp;IF(I23="","DOJ missing; ","")&amp;IF(AND(J23&lt;&gt;"",I23&lt;&gt;"",J23&lt;I23),"Exit before DOJ; ","")&amp;IF(Q23="","DOB missing; ","")&amp;IF(T23="","Aadhaar missing; ",IF(LEN(T23)&lt;&gt;12,"Aadhaar not 12 digits; ",IF(COUNTIF($T$6:$T$505,T23)&gt;1,"Duplicate Aadhaar; ","")))&amp;IF(U23="","PAN missing; ",IF(LEN(U23)&lt;&gt;10,"PAN not 10 chars; ",""))&amp;IF(V23="","Mobile missing; ",IF(LEN(V23)&lt;&gt;10,"Mobile not 10 digits; ",""))&amp;IF(AG23="","Bank A/c missing; ","")&amp;IF(AH23="","IFSC missing; ",IF(LEN(AH23)&lt;&gt;11,"IFSC not 11 chars; ","")))</f>
        <v/>
      </c>
      <c r="AW23" s="46" t="str">
        <f aca="false">IF(AS23="","",AS23+ROW()/100000)</f>
        <v/>
      </c>
      <c r="AX23" s="46" t="str">
        <f aca="false">IF(AT23="","",AT23+ROW()/100000)</f>
        <v/>
      </c>
    </row>
    <row r="24" customFormat="false" ht="15" hidden="false" customHeight="false" outlineLevel="0" collapsed="false">
      <c r="A24" s="9" t="str">
        <f aca="false">IF(B24="","",ROW()-5)</f>
        <v/>
      </c>
      <c r="B24" s="40"/>
      <c r="C24" s="8"/>
      <c r="D24" s="9" t="str">
        <f aca="false">IF(B24="","",IF(J24="","Active","Exited"))</f>
        <v/>
      </c>
      <c r="E24" s="8"/>
      <c r="F24" s="8"/>
      <c r="G24" s="8"/>
      <c r="H24" s="9" t="str">
        <f aca="false">IF(OR(B24="",I24=""),"",IF(IF(J24="",AsOf,J24)-I24&gt;=Settings!$C$13,"Permanent","Probation"))</f>
        <v/>
      </c>
      <c r="I24" s="41"/>
      <c r="J24" s="41"/>
      <c r="K24" s="8"/>
      <c r="L24" s="42" t="str">
        <f aca="false">IF(OR(B24="",I24=""),"",ROUND((IF(J24="",AsOf,J24)-I24)/365.25,1))</f>
        <v/>
      </c>
      <c r="M24" s="8"/>
      <c r="N24" s="8"/>
      <c r="O24" s="8"/>
      <c r="P24" s="8"/>
      <c r="Q24" s="41"/>
      <c r="R24" s="43" t="str">
        <f aca="false">IF(OR(B24="",Q24=""),"",INT((AsOf-Q24)/365.25))</f>
        <v/>
      </c>
      <c r="S24" s="8"/>
      <c r="T24" s="40"/>
      <c r="U24" s="40"/>
      <c r="V24" s="40"/>
      <c r="W24" s="40"/>
      <c r="X24" s="8"/>
      <c r="Y24" s="8"/>
      <c r="Z24" s="8"/>
      <c r="AA24" s="8"/>
      <c r="AB24" s="8"/>
      <c r="AC24" s="8"/>
      <c r="AD24" s="8"/>
      <c r="AE24" s="40"/>
      <c r="AF24" s="8"/>
      <c r="AG24" s="40"/>
      <c r="AH24" s="40"/>
      <c r="AI24" s="8"/>
      <c r="AJ24" s="40"/>
      <c r="AK24" s="40"/>
      <c r="AL24" s="40"/>
      <c r="AM24" s="44"/>
      <c r="AN24" s="44"/>
      <c r="AO24" s="41"/>
      <c r="AP24" s="45" t="str">
        <f aca="false">IF(B24="","",IF(AND(ISNUMBER(AM24),ISNUMBER(AN24),AM24&gt;0,AN24&gt;0),AN24/AM24-1,""))</f>
        <v/>
      </c>
      <c r="AQ24" s="9" t="str">
        <f aca="false">IF(I24="","",(YEAR(I24)-IF(MONTH(I24)&lt;4,1,0))&amp;"-"&amp;RIGHT((YEAR(I24)-IF(MONTH(I24)&lt;4,1,0))+1,2))</f>
        <v/>
      </c>
      <c r="AR24" s="9" t="str">
        <f aca="false">IF(J24="","",(YEAR(J24)-IF(MONTH(J24)&lt;4,1,0))&amp;"-"&amp;RIGHT((YEAR(J24)-IF(MONTH(J24)&lt;4,1,0))+1,2))</f>
        <v/>
      </c>
      <c r="AS24" s="43" t="str">
        <f aca="false">IF(OR(B24="",Q24="",D24&lt;&gt;"Active"),"",DATE(YEAR(AsOf)+IF(DATE(YEAR(AsOf),MONTH(Q24),DAY(Q24))&lt;AsOf,1,0),MONTH(Q24),DAY(Q24))-AsOf)</f>
        <v/>
      </c>
      <c r="AT24" s="43" t="str">
        <f aca="false">IF(OR(B24="",I24="",D24&lt;&gt;"Active"),"",IF(YEAR(DATE(YEAR(AsOf)+IF(DATE(YEAR(AsOf),MONTH(I24),DAY(I24))&lt;AsOf,1,0),MONTH(I24),DAY(I24)))-YEAR(I24)&lt;1,"",DATE(YEAR(AsOf)+IF(DATE(YEAR(AsOf),MONTH(I24),DAY(I24))&lt;AsOf,1,0),MONTH(I24),DAY(I24))-AsOf))</f>
        <v/>
      </c>
      <c r="AU24" s="43" t="str">
        <f aca="false">IF(B24="","",IF(AV24="",0,LEN(AV24)-LEN(SUBSTITUTE(AV24,";",""))))</f>
        <v/>
      </c>
      <c r="AV24" s="9" t="str">
        <f aca="false">IF(B24="","",IF(COUNTIF($B$6:$B$505,B24)&gt;1,"Duplicate Emp Code; ","")&amp;IF(C24="","Name missing; ","")&amp;IF(I24="","DOJ missing; ","")&amp;IF(AND(J24&lt;&gt;"",I24&lt;&gt;"",J24&lt;I24),"Exit before DOJ; ","")&amp;IF(Q24="","DOB missing; ","")&amp;IF(T24="","Aadhaar missing; ",IF(LEN(T24)&lt;&gt;12,"Aadhaar not 12 digits; ",IF(COUNTIF($T$6:$T$505,T24)&gt;1,"Duplicate Aadhaar; ","")))&amp;IF(U24="","PAN missing; ",IF(LEN(U24)&lt;&gt;10,"PAN not 10 chars; ",""))&amp;IF(V24="","Mobile missing; ",IF(LEN(V24)&lt;&gt;10,"Mobile not 10 digits; ",""))&amp;IF(AG24="","Bank A/c missing; ","")&amp;IF(AH24="","IFSC missing; ",IF(LEN(AH24)&lt;&gt;11,"IFSC not 11 chars; ","")))</f>
        <v/>
      </c>
      <c r="AW24" s="46" t="str">
        <f aca="false">IF(AS24="","",AS24+ROW()/100000)</f>
        <v/>
      </c>
      <c r="AX24" s="46" t="str">
        <f aca="false">IF(AT24="","",AT24+ROW()/100000)</f>
        <v/>
      </c>
    </row>
    <row r="25" customFormat="false" ht="15" hidden="false" customHeight="false" outlineLevel="0" collapsed="false">
      <c r="A25" s="9" t="str">
        <f aca="false">IF(B25="","",ROW()-5)</f>
        <v/>
      </c>
      <c r="B25" s="40"/>
      <c r="C25" s="8"/>
      <c r="D25" s="9" t="str">
        <f aca="false">IF(B25="","",IF(J25="","Active","Exited"))</f>
        <v/>
      </c>
      <c r="E25" s="8"/>
      <c r="F25" s="8"/>
      <c r="G25" s="8"/>
      <c r="H25" s="9" t="str">
        <f aca="false">IF(OR(B25="",I25=""),"",IF(IF(J25="",AsOf,J25)-I25&gt;=Settings!$C$13,"Permanent","Probation"))</f>
        <v/>
      </c>
      <c r="I25" s="41"/>
      <c r="J25" s="41"/>
      <c r="K25" s="8"/>
      <c r="L25" s="42" t="str">
        <f aca="false">IF(OR(B25="",I25=""),"",ROUND((IF(J25="",AsOf,J25)-I25)/365.25,1))</f>
        <v/>
      </c>
      <c r="M25" s="8"/>
      <c r="N25" s="8"/>
      <c r="O25" s="8"/>
      <c r="P25" s="8"/>
      <c r="Q25" s="41"/>
      <c r="R25" s="43" t="str">
        <f aca="false">IF(OR(B25="",Q25=""),"",INT((AsOf-Q25)/365.25))</f>
        <v/>
      </c>
      <c r="S25" s="8"/>
      <c r="T25" s="40"/>
      <c r="U25" s="40"/>
      <c r="V25" s="40"/>
      <c r="W25" s="40"/>
      <c r="X25" s="8"/>
      <c r="Y25" s="8"/>
      <c r="Z25" s="8"/>
      <c r="AA25" s="8"/>
      <c r="AB25" s="8"/>
      <c r="AC25" s="8"/>
      <c r="AD25" s="8"/>
      <c r="AE25" s="40"/>
      <c r="AF25" s="8"/>
      <c r="AG25" s="40"/>
      <c r="AH25" s="40"/>
      <c r="AI25" s="8"/>
      <c r="AJ25" s="40"/>
      <c r="AK25" s="40"/>
      <c r="AL25" s="40"/>
      <c r="AM25" s="44"/>
      <c r="AN25" s="44"/>
      <c r="AO25" s="41"/>
      <c r="AP25" s="45" t="str">
        <f aca="false">IF(B25="","",IF(AND(ISNUMBER(AM25),ISNUMBER(AN25),AM25&gt;0,AN25&gt;0),AN25/AM25-1,""))</f>
        <v/>
      </c>
      <c r="AQ25" s="9" t="str">
        <f aca="false">IF(I25="","",(YEAR(I25)-IF(MONTH(I25)&lt;4,1,0))&amp;"-"&amp;RIGHT((YEAR(I25)-IF(MONTH(I25)&lt;4,1,0))+1,2))</f>
        <v/>
      </c>
      <c r="AR25" s="9" t="str">
        <f aca="false">IF(J25="","",(YEAR(J25)-IF(MONTH(J25)&lt;4,1,0))&amp;"-"&amp;RIGHT((YEAR(J25)-IF(MONTH(J25)&lt;4,1,0))+1,2))</f>
        <v/>
      </c>
      <c r="AS25" s="43" t="str">
        <f aca="false">IF(OR(B25="",Q25="",D25&lt;&gt;"Active"),"",DATE(YEAR(AsOf)+IF(DATE(YEAR(AsOf),MONTH(Q25),DAY(Q25))&lt;AsOf,1,0),MONTH(Q25),DAY(Q25))-AsOf)</f>
        <v/>
      </c>
      <c r="AT25" s="43" t="str">
        <f aca="false">IF(OR(B25="",I25="",D25&lt;&gt;"Active"),"",IF(YEAR(DATE(YEAR(AsOf)+IF(DATE(YEAR(AsOf),MONTH(I25),DAY(I25))&lt;AsOf,1,0),MONTH(I25),DAY(I25)))-YEAR(I25)&lt;1,"",DATE(YEAR(AsOf)+IF(DATE(YEAR(AsOf),MONTH(I25),DAY(I25))&lt;AsOf,1,0),MONTH(I25),DAY(I25))-AsOf))</f>
        <v/>
      </c>
      <c r="AU25" s="43" t="str">
        <f aca="false">IF(B25="","",IF(AV25="",0,LEN(AV25)-LEN(SUBSTITUTE(AV25,";",""))))</f>
        <v/>
      </c>
      <c r="AV25" s="9" t="str">
        <f aca="false">IF(B25="","",IF(COUNTIF($B$6:$B$505,B25)&gt;1,"Duplicate Emp Code; ","")&amp;IF(C25="","Name missing; ","")&amp;IF(I25="","DOJ missing; ","")&amp;IF(AND(J25&lt;&gt;"",I25&lt;&gt;"",J25&lt;I25),"Exit before DOJ; ","")&amp;IF(Q25="","DOB missing; ","")&amp;IF(T25="","Aadhaar missing; ",IF(LEN(T25)&lt;&gt;12,"Aadhaar not 12 digits; ",IF(COUNTIF($T$6:$T$505,T25)&gt;1,"Duplicate Aadhaar; ","")))&amp;IF(U25="","PAN missing; ",IF(LEN(U25)&lt;&gt;10,"PAN not 10 chars; ",""))&amp;IF(V25="","Mobile missing; ",IF(LEN(V25)&lt;&gt;10,"Mobile not 10 digits; ",""))&amp;IF(AG25="","Bank A/c missing; ","")&amp;IF(AH25="","IFSC missing; ",IF(LEN(AH25)&lt;&gt;11,"IFSC not 11 chars; ","")))</f>
        <v/>
      </c>
      <c r="AW25" s="46" t="str">
        <f aca="false">IF(AS25="","",AS25+ROW()/100000)</f>
        <v/>
      </c>
      <c r="AX25" s="46" t="str">
        <f aca="false">IF(AT25="","",AT25+ROW()/100000)</f>
        <v/>
      </c>
    </row>
    <row r="26" customFormat="false" ht="15" hidden="false" customHeight="false" outlineLevel="0" collapsed="false">
      <c r="A26" s="9" t="str">
        <f aca="false">IF(B26="","",ROW()-5)</f>
        <v/>
      </c>
      <c r="B26" s="40"/>
      <c r="C26" s="8"/>
      <c r="D26" s="9" t="str">
        <f aca="false">IF(B26="","",IF(J26="","Active","Exited"))</f>
        <v/>
      </c>
      <c r="E26" s="8"/>
      <c r="F26" s="8"/>
      <c r="G26" s="8"/>
      <c r="H26" s="9" t="str">
        <f aca="false">IF(OR(B26="",I26=""),"",IF(IF(J26="",AsOf,J26)-I26&gt;=Settings!$C$13,"Permanent","Probation"))</f>
        <v/>
      </c>
      <c r="I26" s="41"/>
      <c r="J26" s="41"/>
      <c r="K26" s="8"/>
      <c r="L26" s="42" t="str">
        <f aca="false">IF(OR(B26="",I26=""),"",ROUND((IF(J26="",AsOf,J26)-I26)/365.25,1))</f>
        <v/>
      </c>
      <c r="M26" s="8"/>
      <c r="N26" s="8"/>
      <c r="O26" s="8"/>
      <c r="P26" s="8"/>
      <c r="Q26" s="41"/>
      <c r="R26" s="43" t="str">
        <f aca="false">IF(OR(B26="",Q26=""),"",INT((AsOf-Q26)/365.25))</f>
        <v/>
      </c>
      <c r="S26" s="8"/>
      <c r="T26" s="40"/>
      <c r="U26" s="40"/>
      <c r="V26" s="40"/>
      <c r="W26" s="40"/>
      <c r="X26" s="8"/>
      <c r="Y26" s="8"/>
      <c r="Z26" s="8"/>
      <c r="AA26" s="8"/>
      <c r="AB26" s="8"/>
      <c r="AC26" s="8"/>
      <c r="AD26" s="8"/>
      <c r="AE26" s="40"/>
      <c r="AF26" s="8"/>
      <c r="AG26" s="40"/>
      <c r="AH26" s="40"/>
      <c r="AI26" s="8"/>
      <c r="AJ26" s="40"/>
      <c r="AK26" s="40"/>
      <c r="AL26" s="40"/>
      <c r="AM26" s="44"/>
      <c r="AN26" s="44"/>
      <c r="AO26" s="41"/>
      <c r="AP26" s="45" t="str">
        <f aca="false">IF(B26="","",IF(AND(ISNUMBER(AM26),ISNUMBER(AN26),AM26&gt;0,AN26&gt;0),AN26/AM26-1,""))</f>
        <v/>
      </c>
      <c r="AQ26" s="9" t="str">
        <f aca="false">IF(I26="","",(YEAR(I26)-IF(MONTH(I26)&lt;4,1,0))&amp;"-"&amp;RIGHT((YEAR(I26)-IF(MONTH(I26)&lt;4,1,0))+1,2))</f>
        <v/>
      </c>
      <c r="AR26" s="9" t="str">
        <f aca="false">IF(J26="","",(YEAR(J26)-IF(MONTH(J26)&lt;4,1,0))&amp;"-"&amp;RIGHT((YEAR(J26)-IF(MONTH(J26)&lt;4,1,0))+1,2))</f>
        <v/>
      </c>
      <c r="AS26" s="43" t="str">
        <f aca="false">IF(OR(B26="",Q26="",D26&lt;&gt;"Active"),"",DATE(YEAR(AsOf)+IF(DATE(YEAR(AsOf),MONTH(Q26),DAY(Q26))&lt;AsOf,1,0),MONTH(Q26),DAY(Q26))-AsOf)</f>
        <v/>
      </c>
      <c r="AT26" s="43" t="str">
        <f aca="false">IF(OR(B26="",I26="",D26&lt;&gt;"Active"),"",IF(YEAR(DATE(YEAR(AsOf)+IF(DATE(YEAR(AsOf),MONTH(I26),DAY(I26))&lt;AsOf,1,0),MONTH(I26),DAY(I26)))-YEAR(I26)&lt;1,"",DATE(YEAR(AsOf)+IF(DATE(YEAR(AsOf),MONTH(I26),DAY(I26))&lt;AsOf,1,0),MONTH(I26),DAY(I26))-AsOf))</f>
        <v/>
      </c>
      <c r="AU26" s="43" t="str">
        <f aca="false">IF(B26="","",IF(AV26="",0,LEN(AV26)-LEN(SUBSTITUTE(AV26,";",""))))</f>
        <v/>
      </c>
      <c r="AV26" s="9" t="str">
        <f aca="false">IF(B26="","",IF(COUNTIF($B$6:$B$505,B26)&gt;1,"Duplicate Emp Code; ","")&amp;IF(C26="","Name missing; ","")&amp;IF(I26="","DOJ missing; ","")&amp;IF(AND(J26&lt;&gt;"",I26&lt;&gt;"",J26&lt;I26),"Exit before DOJ; ","")&amp;IF(Q26="","DOB missing; ","")&amp;IF(T26="","Aadhaar missing; ",IF(LEN(T26)&lt;&gt;12,"Aadhaar not 12 digits; ",IF(COUNTIF($T$6:$T$505,T26)&gt;1,"Duplicate Aadhaar; ","")))&amp;IF(U26="","PAN missing; ",IF(LEN(U26)&lt;&gt;10,"PAN not 10 chars; ",""))&amp;IF(V26="","Mobile missing; ",IF(LEN(V26)&lt;&gt;10,"Mobile not 10 digits; ",""))&amp;IF(AG26="","Bank A/c missing; ","")&amp;IF(AH26="","IFSC missing; ",IF(LEN(AH26)&lt;&gt;11,"IFSC not 11 chars; ","")))</f>
        <v/>
      </c>
      <c r="AW26" s="46" t="str">
        <f aca="false">IF(AS26="","",AS26+ROW()/100000)</f>
        <v/>
      </c>
      <c r="AX26" s="46" t="str">
        <f aca="false">IF(AT26="","",AT26+ROW()/100000)</f>
        <v/>
      </c>
    </row>
    <row r="27" customFormat="false" ht="15" hidden="false" customHeight="false" outlineLevel="0" collapsed="false">
      <c r="A27" s="9" t="str">
        <f aca="false">IF(B27="","",ROW()-5)</f>
        <v/>
      </c>
      <c r="B27" s="40"/>
      <c r="C27" s="8"/>
      <c r="D27" s="9" t="str">
        <f aca="false">IF(B27="","",IF(J27="","Active","Exited"))</f>
        <v/>
      </c>
      <c r="E27" s="8"/>
      <c r="F27" s="8"/>
      <c r="G27" s="8"/>
      <c r="H27" s="9" t="str">
        <f aca="false">IF(OR(B27="",I27=""),"",IF(IF(J27="",AsOf,J27)-I27&gt;=Settings!$C$13,"Permanent","Probation"))</f>
        <v/>
      </c>
      <c r="I27" s="41"/>
      <c r="J27" s="41"/>
      <c r="K27" s="8"/>
      <c r="L27" s="42" t="str">
        <f aca="false">IF(OR(B27="",I27=""),"",ROUND((IF(J27="",AsOf,J27)-I27)/365.25,1))</f>
        <v/>
      </c>
      <c r="M27" s="8"/>
      <c r="N27" s="8"/>
      <c r="O27" s="8"/>
      <c r="P27" s="8"/>
      <c r="Q27" s="41"/>
      <c r="R27" s="43" t="str">
        <f aca="false">IF(OR(B27="",Q27=""),"",INT((AsOf-Q27)/365.25))</f>
        <v/>
      </c>
      <c r="S27" s="8"/>
      <c r="T27" s="40"/>
      <c r="U27" s="40"/>
      <c r="V27" s="40"/>
      <c r="W27" s="40"/>
      <c r="X27" s="8"/>
      <c r="Y27" s="8"/>
      <c r="Z27" s="8"/>
      <c r="AA27" s="8"/>
      <c r="AB27" s="8"/>
      <c r="AC27" s="8"/>
      <c r="AD27" s="8"/>
      <c r="AE27" s="40"/>
      <c r="AF27" s="8"/>
      <c r="AG27" s="40"/>
      <c r="AH27" s="40"/>
      <c r="AI27" s="8"/>
      <c r="AJ27" s="40"/>
      <c r="AK27" s="40"/>
      <c r="AL27" s="40"/>
      <c r="AM27" s="44"/>
      <c r="AN27" s="44"/>
      <c r="AO27" s="41"/>
      <c r="AP27" s="45" t="str">
        <f aca="false">IF(B27="","",IF(AND(ISNUMBER(AM27),ISNUMBER(AN27),AM27&gt;0,AN27&gt;0),AN27/AM27-1,""))</f>
        <v/>
      </c>
      <c r="AQ27" s="9" t="str">
        <f aca="false">IF(I27="","",(YEAR(I27)-IF(MONTH(I27)&lt;4,1,0))&amp;"-"&amp;RIGHT((YEAR(I27)-IF(MONTH(I27)&lt;4,1,0))+1,2))</f>
        <v/>
      </c>
      <c r="AR27" s="9" t="str">
        <f aca="false">IF(J27="","",(YEAR(J27)-IF(MONTH(J27)&lt;4,1,0))&amp;"-"&amp;RIGHT((YEAR(J27)-IF(MONTH(J27)&lt;4,1,0))+1,2))</f>
        <v/>
      </c>
      <c r="AS27" s="43" t="str">
        <f aca="false">IF(OR(B27="",Q27="",D27&lt;&gt;"Active"),"",DATE(YEAR(AsOf)+IF(DATE(YEAR(AsOf),MONTH(Q27),DAY(Q27))&lt;AsOf,1,0),MONTH(Q27),DAY(Q27))-AsOf)</f>
        <v/>
      </c>
      <c r="AT27" s="43" t="str">
        <f aca="false">IF(OR(B27="",I27="",D27&lt;&gt;"Active"),"",IF(YEAR(DATE(YEAR(AsOf)+IF(DATE(YEAR(AsOf),MONTH(I27),DAY(I27))&lt;AsOf,1,0),MONTH(I27),DAY(I27)))-YEAR(I27)&lt;1,"",DATE(YEAR(AsOf)+IF(DATE(YEAR(AsOf),MONTH(I27),DAY(I27))&lt;AsOf,1,0),MONTH(I27),DAY(I27))-AsOf))</f>
        <v/>
      </c>
      <c r="AU27" s="43" t="str">
        <f aca="false">IF(B27="","",IF(AV27="",0,LEN(AV27)-LEN(SUBSTITUTE(AV27,";",""))))</f>
        <v/>
      </c>
      <c r="AV27" s="9" t="str">
        <f aca="false">IF(B27="","",IF(COUNTIF($B$6:$B$505,B27)&gt;1,"Duplicate Emp Code; ","")&amp;IF(C27="","Name missing; ","")&amp;IF(I27="","DOJ missing; ","")&amp;IF(AND(J27&lt;&gt;"",I27&lt;&gt;"",J27&lt;I27),"Exit before DOJ; ","")&amp;IF(Q27="","DOB missing; ","")&amp;IF(T27="","Aadhaar missing; ",IF(LEN(T27)&lt;&gt;12,"Aadhaar not 12 digits; ",IF(COUNTIF($T$6:$T$505,T27)&gt;1,"Duplicate Aadhaar; ","")))&amp;IF(U27="","PAN missing; ",IF(LEN(U27)&lt;&gt;10,"PAN not 10 chars; ",""))&amp;IF(V27="","Mobile missing; ",IF(LEN(V27)&lt;&gt;10,"Mobile not 10 digits; ",""))&amp;IF(AG27="","Bank A/c missing; ","")&amp;IF(AH27="","IFSC missing; ",IF(LEN(AH27)&lt;&gt;11,"IFSC not 11 chars; ","")))</f>
        <v/>
      </c>
      <c r="AW27" s="46" t="str">
        <f aca="false">IF(AS27="","",AS27+ROW()/100000)</f>
        <v/>
      </c>
      <c r="AX27" s="46" t="str">
        <f aca="false">IF(AT27="","",AT27+ROW()/100000)</f>
        <v/>
      </c>
    </row>
    <row r="28" customFormat="false" ht="15" hidden="false" customHeight="false" outlineLevel="0" collapsed="false">
      <c r="A28" s="9" t="str">
        <f aca="false">IF(B28="","",ROW()-5)</f>
        <v/>
      </c>
      <c r="B28" s="40"/>
      <c r="C28" s="8"/>
      <c r="D28" s="9" t="str">
        <f aca="false">IF(B28="","",IF(J28="","Active","Exited"))</f>
        <v/>
      </c>
      <c r="E28" s="8"/>
      <c r="F28" s="8"/>
      <c r="G28" s="8"/>
      <c r="H28" s="9" t="str">
        <f aca="false">IF(OR(B28="",I28=""),"",IF(IF(J28="",AsOf,J28)-I28&gt;=Settings!$C$13,"Permanent","Probation"))</f>
        <v/>
      </c>
      <c r="I28" s="41"/>
      <c r="J28" s="41"/>
      <c r="K28" s="8"/>
      <c r="L28" s="42" t="str">
        <f aca="false">IF(OR(B28="",I28=""),"",ROUND((IF(J28="",AsOf,J28)-I28)/365.25,1))</f>
        <v/>
      </c>
      <c r="M28" s="8"/>
      <c r="N28" s="8"/>
      <c r="O28" s="8"/>
      <c r="P28" s="8"/>
      <c r="Q28" s="41"/>
      <c r="R28" s="43" t="str">
        <f aca="false">IF(OR(B28="",Q28=""),"",INT((AsOf-Q28)/365.25))</f>
        <v/>
      </c>
      <c r="S28" s="8"/>
      <c r="T28" s="40"/>
      <c r="U28" s="40"/>
      <c r="V28" s="40"/>
      <c r="W28" s="40"/>
      <c r="X28" s="8"/>
      <c r="Y28" s="8"/>
      <c r="Z28" s="8"/>
      <c r="AA28" s="8"/>
      <c r="AB28" s="8"/>
      <c r="AC28" s="8"/>
      <c r="AD28" s="8"/>
      <c r="AE28" s="40"/>
      <c r="AF28" s="8"/>
      <c r="AG28" s="40"/>
      <c r="AH28" s="40"/>
      <c r="AI28" s="8"/>
      <c r="AJ28" s="40"/>
      <c r="AK28" s="40"/>
      <c r="AL28" s="40"/>
      <c r="AM28" s="44"/>
      <c r="AN28" s="44"/>
      <c r="AO28" s="41"/>
      <c r="AP28" s="45" t="str">
        <f aca="false">IF(B28="","",IF(AND(ISNUMBER(AM28),ISNUMBER(AN28),AM28&gt;0,AN28&gt;0),AN28/AM28-1,""))</f>
        <v/>
      </c>
      <c r="AQ28" s="9" t="str">
        <f aca="false">IF(I28="","",(YEAR(I28)-IF(MONTH(I28)&lt;4,1,0))&amp;"-"&amp;RIGHT((YEAR(I28)-IF(MONTH(I28)&lt;4,1,0))+1,2))</f>
        <v/>
      </c>
      <c r="AR28" s="9" t="str">
        <f aca="false">IF(J28="","",(YEAR(J28)-IF(MONTH(J28)&lt;4,1,0))&amp;"-"&amp;RIGHT((YEAR(J28)-IF(MONTH(J28)&lt;4,1,0))+1,2))</f>
        <v/>
      </c>
      <c r="AS28" s="43" t="str">
        <f aca="false">IF(OR(B28="",Q28="",D28&lt;&gt;"Active"),"",DATE(YEAR(AsOf)+IF(DATE(YEAR(AsOf),MONTH(Q28),DAY(Q28))&lt;AsOf,1,0),MONTH(Q28),DAY(Q28))-AsOf)</f>
        <v/>
      </c>
      <c r="AT28" s="43" t="str">
        <f aca="false">IF(OR(B28="",I28="",D28&lt;&gt;"Active"),"",IF(YEAR(DATE(YEAR(AsOf)+IF(DATE(YEAR(AsOf),MONTH(I28),DAY(I28))&lt;AsOf,1,0),MONTH(I28),DAY(I28)))-YEAR(I28)&lt;1,"",DATE(YEAR(AsOf)+IF(DATE(YEAR(AsOf),MONTH(I28),DAY(I28))&lt;AsOf,1,0),MONTH(I28),DAY(I28))-AsOf))</f>
        <v/>
      </c>
      <c r="AU28" s="43" t="str">
        <f aca="false">IF(B28="","",IF(AV28="",0,LEN(AV28)-LEN(SUBSTITUTE(AV28,";",""))))</f>
        <v/>
      </c>
      <c r="AV28" s="9" t="str">
        <f aca="false">IF(B28="","",IF(COUNTIF($B$6:$B$505,B28)&gt;1,"Duplicate Emp Code; ","")&amp;IF(C28="","Name missing; ","")&amp;IF(I28="","DOJ missing; ","")&amp;IF(AND(J28&lt;&gt;"",I28&lt;&gt;"",J28&lt;I28),"Exit before DOJ; ","")&amp;IF(Q28="","DOB missing; ","")&amp;IF(T28="","Aadhaar missing; ",IF(LEN(T28)&lt;&gt;12,"Aadhaar not 12 digits; ",IF(COUNTIF($T$6:$T$505,T28)&gt;1,"Duplicate Aadhaar; ","")))&amp;IF(U28="","PAN missing; ",IF(LEN(U28)&lt;&gt;10,"PAN not 10 chars; ",""))&amp;IF(V28="","Mobile missing; ",IF(LEN(V28)&lt;&gt;10,"Mobile not 10 digits; ",""))&amp;IF(AG28="","Bank A/c missing; ","")&amp;IF(AH28="","IFSC missing; ",IF(LEN(AH28)&lt;&gt;11,"IFSC not 11 chars; ","")))</f>
        <v/>
      </c>
      <c r="AW28" s="46" t="str">
        <f aca="false">IF(AS28="","",AS28+ROW()/100000)</f>
        <v/>
      </c>
      <c r="AX28" s="46" t="str">
        <f aca="false">IF(AT28="","",AT28+ROW()/100000)</f>
        <v/>
      </c>
    </row>
    <row r="29" customFormat="false" ht="15" hidden="false" customHeight="false" outlineLevel="0" collapsed="false">
      <c r="A29" s="9" t="str">
        <f aca="false">IF(B29="","",ROW()-5)</f>
        <v/>
      </c>
      <c r="B29" s="40"/>
      <c r="C29" s="8"/>
      <c r="D29" s="9" t="str">
        <f aca="false">IF(B29="","",IF(J29="","Active","Exited"))</f>
        <v/>
      </c>
      <c r="E29" s="8"/>
      <c r="F29" s="8"/>
      <c r="G29" s="8"/>
      <c r="H29" s="9" t="str">
        <f aca="false">IF(OR(B29="",I29=""),"",IF(IF(J29="",AsOf,J29)-I29&gt;=Settings!$C$13,"Permanent","Probation"))</f>
        <v/>
      </c>
      <c r="I29" s="41"/>
      <c r="J29" s="41"/>
      <c r="K29" s="8"/>
      <c r="L29" s="42" t="str">
        <f aca="false">IF(OR(B29="",I29=""),"",ROUND((IF(J29="",AsOf,J29)-I29)/365.25,1))</f>
        <v/>
      </c>
      <c r="M29" s="8"/>
      <c r="N29" s="8"/>
      <c r="O29" s="8"/>
      <c r="P29" s="8"/>
      <c r="Q29" s="41"/>
      <c r="R29" s="43" t="str">
        <f aca="false">IF(OR(B29="",Q29=""),"",INT((AsOf-Q29)/365.25))</f>
        <v/>
      </c>
      <c r="S29" s="8"/>
      <c r="T29" s="40"/>
      <c r="U29" s="40"/>
      <c r="V29" s="40"/>
      <c r="W29" s="40"/>
      <c r="X29" s="8"/>
      <c r="Y29" s="8"/>
      <c r="Z29" s="8"/>
      <c r="AA29" s="8"/>
      <c r="AB29" s="8"/>
      <c r="AC29" s="8"/>
      <c r="AD29" s="8"/>
      <c r="AE29" s="40"/>
      <c r="AF29" s="8"/>
      <c r="AG29" s="40"/>
      <c r="AH29" s="40"/>
      <c r="AI29" s="8"/>
      <c r="AJ29" s="40"/>
      <c r="AK29" s="40"/>
      <c r="AL29" s="40"/>
      <c r="AM29" s="44"/>
      <c r="AN29" s="44"/>
      <c r="AO29" s="41"/>
      <c r="AP29" s="45" t="str">
        <f aca="false">IF(B29="","",IF(AND(ISNUMBER(AM29),ISNUMBER(AN29),AM29&gt;0,AN29&gt;0),AN29/AM29-1,""))</f>
        <v/>
      </c>
      <c r="AQ29" s="9" t="str">
        <f aca="false">IF(I29="","",(YEAR(I29)-IF(MONTH(I29)&lt;4,1,0))&amp;"-"&amp;RIGHT((YEAR(I29)-IF(MONTH(I29)&lt;4,1,0))+1,2))</f>
        <v/>
      </c>
      <c r="AR29" s="9" t="str">
        <f aca="false">IF(J29="","",(YEAR(J29)-IF(MONTH(J29)&lt;4,1,0))&amp;"-"&amp;RIGHT((YEAR(J29)-IF(MONTH(J29)&lt;4,1,0))+1,2))</f>
        <v/>
      </c>
      <c r="AS29" s="43" t="str">
        <f aca="false">IF(OR(B29="",Q29="",D29&lt;&gt;"Active"),"",DATE(YEAR(AsOf)+IF(DATE(YEAR(AsOf),MONTH(Q29),DAY(Q29))&lt;AsOf,1,0),MONTH(Q29),DAY(Q29))-AsOf)</f>
        <v/>
      </c>
      <c r="AT29" s="43" t="str">
        <f aca="false">IF(OR(B29="",I29="",D29&lt;&gt;"Active"),"",IF(YEAR(DATE(YEAR(AsOf)+IF(DATE(YEAR(AsOf),MONTH(I29),DAY(I29))&lt;AsOf,1,0),MONTH(I29),DAY(I29)))-YEAR(I29)&lt;1,"",DATE(YEAR(AsOf)+IF(DATE(YEAR(AsOf),MONTH(I29),DAY(I29))&lt;AsOf,1,0),MONTH(I29),DAY(I29))-AsOf))</f>
        <v/>
      </c>
      <c r="AU29" s="43" t="str">
        <f aca="false">IF(B29="","",IF(AV29="",0,LEN(AV29)-LEN(SUBSTITUTE(AV29,";",""))))</f>
        <v/>
      </c>
      <c r="AV29" s="9" t="str">
        <f aca="false">IF(B29="","",IF(COUNTIF($B$6:$B$505,B29)&gt;1,"Duplicate Emp Code; ","")&amp;IF(C29="","Name missing; ","")&amp;IF(I29="","DOJ missing; ","")&amp;IF(AND(J29&lt;&gt;"",I29&lt;&gt;"",J29&lt;I29),"Exit before DOJ; ","")&amp;IF(Q29="","DOB missing; ","")&amp;IF(T29="","Aadhaar missing; ",IF(LEN(T29)&lt;&gt;12,"Aadhaar not 12 digits; ",IF(COUNTIF($T$6:$T$505,T29)&gt;1,"Duplicate Aadhaar; ","")))&amp;IF(U29="","PAN missing; ",IF(LEN(U29)&lt;&gt;10,"PAN not 10 chars; ",""))&amp;IF(V29="","Mobile missing; ",IF(LEN(V29)&lt;&gt;10,"Mobile not 10 digits; ",""))&amp;IF(AG29="","Bank A/c missing; ","")&amp;IF(AH29="","IFSC missing; ",IF(LEN(AH29)&lt;&gt;11,"IFSC not 11 chars; ","")))</f>
        <v/>
      </c>
      <c r="AW29" s="46" t="str">
        <f aca="false">IF(AS29="","",AS29+ROW()/100000)</f>
        <v/>
      </c>
      <c r="AX29" s="46" t="str">
        <f aca="false">IF(AT29="","",AT29+ROW()/100000)</f>
        <v/>
      </c>
    </row>
    <row r="30" customFormat="false" ht="15" hidden="false" customHeight="false" outlineLevel="0" collapsed="false">
      <c r="A30" s="9" t="str">
        <f aca="false">IF(B30="","",ROW()-5)</f>
        <v/>
      </c>
      <c r="B30" s="40"/>
      <c r="C30" s="8"/>
      <c r="D30" s="9" t="str">
        <f aca="false">IF(B30="","",IF(J30="","Active","Exited"))</f>
        <v/>
      </c>
      <c r="E30" s="8"/>
      <c r="F30" s="8"/>
      <c r="G30" s="8"/>
      <c r="H30" s="9" t="str">
        <f aca="false">IF(OR(B30="",I30=""),"",IF(IF(J30="",AsOf,J30)-I30&gt;=Settings!$C$13,"Permanent","Probation"))</f>
        <v/>
      </c>
      <c r="I30" s="41"/>
      <c r="J30" s="41"/>
      <c r="K30" s="8"/>
      <c r="L30" s="42" t="str">
        <f aca="false">IF(OR(B30="",I30=""),"",ROUND((IF(J30="",AsOf,J30)-I30)/365.25,1))</f>
        <v/>
      </c>
      <c r="M30" s="8"/>
      <c r="N30" s="8"/>
      <c r="O30" s="8"/>
      <c r="P30" s="8"/>
      <c r="Q30" s="41"/>
      <c r="R30" s="43" t="str">
        <f aca="false">IF(OR(B30="",Q30=""),"",INT((AsOf-Q30)/365.25))</f>
        <v/>
      </c>
      <c r="S30" s="8"/>
      <c r="T30" s="40"/>
      <c r="U30" s="40"/>
      <c r="V30" s="40"/>
      <c r="W30" s="40"/>
      <c r="X30" s="8"/>
      <c r="Y30" s="8"/>
      <c r="Z30" s="8"/>
      <c r="AA30" s="8"/>
      <c r="AB30" s="8"/>
      <c r="AC30" s="8"/>
      <c r="AD30" s="8"/>
      <c r="AE30" s="40"/>
      <c r="AF30" s="8"/>
      <c r="AG30" s="40"/>
      <c r="AH30" s="40"/>
      <c r="AI30" s="8"/>
      <c r="AJ30" s="40"/>
      <c r="AK30" s="40"/>
      <c r="AL30" s="40"/>
      <c r="AM30" s="44"/>
      <c r="AN30" s="44"/>
      <c r="AO30" s="41"/>
      <c r="AP30" s="45" t="str">
        <f aca="false">IF(B30="","",IF(AND(ISNUMBER(AM30),ISNUMBER(AN30),AM30&gt;0,AN30&gt;0),AN30/AM30-1,""))</f>
        <v/>
      </c>
      <c r="AQ30" s="9" t="str">
        <f aca="false">IF(I30="","",(YEAR(I30)-IF(MONTH(I30)&lt;4,1,0))&amp;"-"&amp;RIGHT((YEAR(I30)-IF(MONTH(I30)&lt;4,1,0))+1,2))</f>
        <v/>
      </c>
      <c r="AR30" s="9" t="str">
        <f aca="false">IF(J30="","",(YEAR(J30)-IF(MONTH(J30)&lt;4,1,0))&amp;"-"&amp;RIGHT((YEAR(J30)-IF(MONTH(J30)&lt;4,1,0))+1,2))</f>
        <v/>
      </c>
      <c r="AS30" s="43" t="str">
        <f aca="false">IF(OR(B30="",Q30="",D30&lt;&gt;"Active"),"",DATE(YEAR(AsOf)+IF(DATE(YEAR(AsOf),MONTH(Q30),DAY(Q30))&lt;AsOf,1,0),MONTH(Q30),DAY(Q30))-AsOf)</f>
        <v/>
      </c>
      <c r="AT30" s="43" t="str">
        <f aca="false">IF(OR(B30="",I30="",D30&lt;&gt;"Active"),"",IF(YEAR(DATE(YEAR(AsOf)+IF(DATE(YEAR(AsOf),MONTH(I30),DAY(I30))&lt;AsOf,1,0),MONTH(I30),DAY(I30)))-YEAR(I30)&lt;1,"",DATE(YEAR(AsOf)+IF(DATE(YEAR(AsOf),MONTH(I30),DAY(I30))&lt;AsOf,1,0),MONTH(I30),DAY(I30))-AsOf))</f>
        <v/>
      </c>
      <c r="AU30" s="43" t="str">
        <f aca="false">IF(B30="","",IF(AV30="",0,LEN(AV30)-LEN(SUBSTITUTE(AV30,";",""))))</f>
        <v/>
      </c>
      <c r="AV30" s="9" t="str">
        <f aca="false">IF(B30="","",IF(COUNTIF($B$6:$B$505,B30)&gt;1,"Duplicate Emp Code; ","")&amp;IF(C30="","Name missing; ","")&amp;IF(I30="","DOJ missing; ","")&amp;IF(AND(J30&lt;&gt;"",I30&lt;&gt;"",J30&lt;I30),"Exit before DOJ; ","")&amp;IF(Q30="","DOB missing; ","")&amp;IF(T30="","Aadhaar missing; ",IF(LEN(T30)&lt;&gt;12,"Aadhaar not 12 digits; ",IF(COUNTIF($T$6:$T$505,T30)&gt;1,"Duplicate Aadhaar; ","")))&amp;IF(U30="","PAN missing; ",IF(LEN(U30)&lt;&gt;10,"PAN not 10 chars; ",""))&amp;IF(V30="","Mobile missing; ",IF(LEN(V30)&lt;&gt;10,"Mobile not 10 digits; ",""))&amp;IF(AG30="","Bank A/c missing; ","")&amp;IF(AH30="","IFSC missing; ",IF(LEN(AH30)&lt;&gt;11,"IFSC not 11 chars; ","")))</f>
        <v/>
      </c>
      <c r="AW30" s="46" t="str">
        <f aca="false">IF(AS30="","",AS30+ROW()/100000)</f>
        <v/>
      </c>
      <c r="AX30" s="46" t="str">
        <f aca="false">IF(AT30="","",AT30+ROW()/100000)</f>
        <v/>
      </c>
    </row>
    <row r="31" customFormat="false" ht="15" hidden="false" customHeight="false" outlineLevel="0" collapsed="false">
      <c r="A31" s="9" t="str">
        <f aca="false">IF(B31="","",ROW()-5)</f>
        <v/>
      </c>
      <c r="B31" s="40"/>
      <c r="C31" s="8"/>
      <c r="D31" s="9" t="str">
        <f aca="false">IF(B31="","",IF(J31="","Active","Exited"))</f>
        <v/>
      </c>
      <c r="E31" s="8"/>
      <c r="F31" s="8"/>
      <c r="G31" s="8"/>
      <c r="H31" s="9" t="str">
        <f aca="false">IF(OR(B31="",I31=""),"",IF(IF(J31="",AsOf,J31)-I31&gt;=Settings!$C$13,"Permanent","Probation"))</f>
        <v/>
      </c>
      <c r="I31" s="41"/>
      <c r="J31" s="41"/>
      <c r="K31" s="8"/>
      <c r="L31" s="42" t="str">
        <f aca="false">IF(OR(B31="",I31=""),"",ROUND((IF(J31="",AsOf,J31)-I31)/365.25,1))</f>
        <v/>
      </c>
      <c r="M31" s="8"/>
      <c r="N31" s="8"/>
      <c r="O31" s="8"/>
      <c r="P31" s="8"/>
      <c r="Q31" s="41"/>
      <c r="R31" s="43" t="str">
        <f aca="false">IF(OR(B31="",Q31=""),"",INT((AsOf-Q31)/365.25))</f>
        <v/>
      </c>
      <c r="S31" s="8"/>
      <c r="T31" s="40"/>
      <c r="U31" s="40"/>
      <c r="V31" s="40"/>
      <c r="W31" s="40"/>
      <c r="X31" s="8"/>
      <c r="Y31" s="8"/>
      <c r="Z31" s="8"/>
      <c r="AA31" s="8"/>
      <c r="AB31" s="8"/>
      <c r="AC31" s="8"/>
      <c r="AD31" s="8"/>
      <c r="AE31" s="40"/>
      <c r="AF31" s="8"/>
      <c r="AG31" s="40"/>
      <c r="AH31" s="40"/>
      <c r="AI31" s="8"/>
      <c r="AJ31" s="40"/>
      <c r="AK31" s="40"/>
      <c r="AL31" s="40"/>
      <c r="AM31" s="44"/>
      <c r="AN31" s="44"/>
      <c r="AO31" s="41"/>
      <c r="AP31" s="45" t="str">
        <f aca="false">IF(B31="","",IF(AND(ISNUMBER(AM31),ISNUMBER(AN31),AM31&gt;0,AN31&gt;0),AN31/AM31-1,""))</f>
        <v/>
      </c>
      <c r="AQ31" s="9" t="str">
        <f aca="false">IF(I31="","",(YEAR(I31)-IF(MONTH(I31)&lt;4,1,0))&amp;"-"&amp;RIGHT((YEAR(I31)-IF(MONTH(I31)&lt;4,1,0))+1,2))</f>
        <v/>
      </c>
      <c r="AR31" s="9" t="str">
        <f aca="false">IF(J31="","",(YEAR(J31)-IF(MONTH(J31)&lt;4,1,0))&amp;"-"&amp;RIGHT((YEAR(J31)-IF(MONTH(J31)&lt;4,1,0))+1,2))</f>
        <v/>
      </c>
      <c r="AS31" s="43" t="str">
        <f aca="false">IF(OR(B31="",Q31="",D31&lt;&gt;"Active"),"",DATE(YEAR(AsOf)+IF(DATE(YEAR(AsOf),MONTH(Q31),DAY(Q31))&lt;AsOf,1,0),MONTH(Q31),DAY(Q31))-AsOf)</f>
        <v/>
      </c>
      <c r="AT31" s="43" t="str">
        <f aca="false">IF(OR(B31="",I31="",D31&lt;&gt;"Active"),"",IF(YEAR(DATE(YEAR(AsOf)+IF(DATE(YEAR(AsOf),MONTH(I31),DAY(I31))&lt;AsOf,1,0),MONTH(I31),DAY(I31)))-YEAR(I31)&lt;1,"",DATE(YEAR(AsOf)+IF(DATE(YEAR(AsOf),MONTH(I31),DAY(I31))&lt;AsOf,1,0),MONTH(I31),DAY(I31))-AsOf))</f>
        <v/>
      </c>
      <c r="AU31" s="43" t="str">
        <f aca="false">IF(B31="","",IF(AV31="",0,LEN(AV31)-LEN(SUBSTITUTE(AV31,";",""))))</f>
        <v/>
      </c>
      <c r="AV31" s="9" t="str">
        <f aca="false">IF(B31="","",IF(COUNTIF($B$6:$B$505,B31)&gt;1,"Duplicate Emp Code; ","")&amp;IF(C31="","Name missing; ","")&amp;IF(I31="","DOJ missing; ","")&amp;IF(AND(J31&lt;&gt;"",I31&lt;&gt;"",J31&lt;I31),"Exit before DOJ; ","")&amp;IF(Q31="","DOB missing; ","")&amp;IF(T31="","Aadhaar missing; ",IF(LEN(T31)&lt;&gt;12,"Aadhaar not 12 digits; ",IF(COUNTIF($T$6:$T$505,T31)&gt;1,"Duplicate Aadhaar; ","")))&amp;IF(U31="","PAN missing; ",IF(LEN(U31)&lt;&gt;10,"PAN not 10 chars; ",""))&amp;IF(V31="","Mobile missing; ",IF(LEN(V31)&lt;&gt;10,"Mobile not 10 digits; ",""))&amp;IF(AG31="","Bank A/c missing; ","")&amp;IF(AH31="","IFSC missing; ",IF(LEN(AH31)&lt;&gt;11,"IFSC not 11 chars; ","")))</f>
        <v/>
      </c>
      <c r="AW31" s="46" t="str">
        <f aca="false">IF(AS31="","",AS31+ROW()/100000)</f>
        <v/>
      </c>
      <c r="AX31" s="46" t="str">
        <f aca="false">IF(AT31="","",AT31+ROW()/100000)</f>
        <v/>
      </c>
    </row>
    <row r="32" customFormat="false" ht="15" hidden="false" customHeight="false" outlineLevel="0" collapsed="false">
      <c r="A32" s="9" t="str">
        <f aca="false">IF(B32="","",ROW()-5)</f>
        <v/>
      </c>
      <c r="B32" s="40"/>
      <c r="C32" s="8"/>
      <c r="D32" s="9" t="str">
        <f aca="false">IF(B32="","",IF(J32="","Active","Exited"))</f>
        <v/>
      </c>
      <c r="E32" s="8"/>
      <c r="F32" s="8"/>
      <c r="G32" s="8"/>
      <c r="H32" s="9" t="str">
        <f aca="false">IF(OR(B32="",I32=""),"",IF(IF(J32="",AsOf,J32)-I32&gt;=Settings!$C$13,"Permanent","Probation"))</f>
        <v/>
      </c>
      <c r="I32" s="41"/>
      <c r="J32" s="41"/>
      <c r="K32" s="8"/>
      <c r="L32" s="42" t="str">
        <f aca="false">IF(OR(B32="",I32=""),"",ROUND((IF(J32="",AsOf,J32)-I32)/365.25,1))</f>
        <v/>
      </c>
      <c r="M32" s="8"/>
      <c r="N32" s="8"/>
      <c r="O32" s="8"/>
      <c r="P32" s="8"/>
      <c r="Q32" s="41"/>
      <c r="R32" s="43" t="str">
        <f aca="false">IF(OR(B32="",Q32=""),"",INT((AsOf-Q32)/365.25))</f>
        <v/>
      </c>
      <c r="S32" s="8"/>
      <c r="T32" s="40"/>
      <c r="U32" s="40"/>
      <c r="V32" s="40"/>
      <c r="W32" s="40"/>
      <c r="X32" s="8"/>
      <c r="Y32" s="8"/>
      <c r="Z32" s="8"/>
      <c r="AA32" s="8"/>
      <c r="AB32" s="8"/>
      <c r="AC32" s="8"/>
      <c r="AD32" s="8"/>
      <c r="AE32" s="40"/>
      <c r="AF32" s="8"/>
      <c r="AG32" s="40"/>
      <c r="AH32" s="40"/>
      <c r="AI32" s="8"/>
      <c r="AJ32" s="40"/>
      <c r="AK32" s="40"/>
      <c r="AL32" s="40"/>
      <c r="AM32" s="44"/>
      <c r="AN32" s="44"/>
      <c r="AO32" s="41"/>
      <c r="AP32" s="45" t="str">
        <f aca="false">IF(B32="","",IF(AND(ISNUMBER(AM32),ISNUMBER(AN32),AM32&gt;0,AN32&gt;0),AN32/AM32-1,""))</f>
        <v/>
      </c>
      <c r="AQ32" s="9" t="str">
        <f aca="false">IF(I32="","",(YEAR(I32)-IF(MONTH(I32)&lt;4,1,0))&amp;"-"&amp;RIGHT((YEAR(I32)-IF(MONTH(I32)&lt;4,1,0))+1,2))</f>
        <v/>
      </c>
      <c r="AR32" s="9" t="str">
        <f aca="false">IF(J32="","",(YEAR(J32)-IF(MONTH(J32)&lt;4,1,0))&amp;"-"&amp;RIGHT((YEAR(J32)-IF(MONTH(J32)&lt;4,1,0))+1,2))</f>
        <v/>
      </c>
      <c r="AS32" s="43" t="str">
        <f aca="false">IF(OR(B32="",Q32="",D32&lt;&gt;"Active"),"",DATE(YEAR(AsOf)+IF(DATE(YEAR(AsOf),MONTH(Q32),DAY(Q32))&lt;AsOf,1,0),MONTH(Q32),DAY(Q32))-AsOf)</f>
        <v/>
      </c>
      <c r="AT32" s="43" t="str">
        <f aca="false">IF(OR(B32="",I32="",D32&lt;&gt;"Active"),"",IF(YEAR(DATE(YEAR(AsOf)+IF(DATE(YEAR(AsOf),MONTH(I32),DAY(I32))&lt;AsOf,1,0),MONTH(I32),DAY(I32)))-YEAR(I32)&lt;1,"",DATE(YEAR(AsOf)+IF(DATE(YEAR(AsOf),MONTH(I32),DAY(I32))&lt;AsOf,1,0),MONTH(I32),DAY(I32))-AsOf))</f>
        <v/>
      </c>
      <c r="AU32" s="43" t="str">
        <f aca="false">IF(B32="","",IF(AV32="",0,LEN(AV32)-LEN(SUBSTITUTE(AV32,";",""))))</f>
        <v/>
      </c>
      <c r="AV32" s="9" t="str">
        <f aca="false">IF(B32="","",IF(COUNTIF($B$6:$B$505,B32)&gt;1,"Duplicate Emp Code; ","")&amp;IF(C32="","Name missing; ","")&amp;IF(I32="","DOJ missing; ","")&amp;IF(AND(J32&lt;&gt;"",I32&lt;&gt;"",J32&lt;I32),"Exit before DOJ; ","")&amp;IF(Q32="","DOB missing; ","")&amp;IF(T32="","Aadhaar missing; ",IF(LEN(T32)&lt;&gt;12,"Aadhaar not 12 digits; ",IF(COUNTIF($T$6:$T$505,T32)&gt;1,"Duplicate Aadhaar; ","")))&amp;IF(U32="","PAN missing; ",IF(LEN(U32)&lt;&gt;10,"PAN not 10 chars; ",""))&amp;IF(V32="","Mobile missing; ",IF(LEN(V32)&lt;&gt;10,"Mobile not 10 digits; ",""))&amp;IF(AG32="","Bank A/c missing; ","")&amp;IF(AH32="","IFSC missing; ",IF(LEN(AH32)&lt;&gt;11,"IFSC not 11 chars; ","")))</f>
        <v/>
      </c>
      <c r="AW32" s="46" t="str">
        <f aca="false">IF(AS32="","",AS32+ROW()/100000)</f>
        <v/>
      </c>
      <c r="AX32" s="46" t="str">
        <f aca="false">IF(AT32="","",AT32+ROW()/100000)</f>
        <v/>
      </c>
    </row>
    <row r="33" customFormat="false" ht="15" hidden="false" customHeight="false" outlineLevel="0" collapsed="false">
      <c r="A33" s="9" t="str">
        <f aca="false">IF(B33="","",ROW()-5)</f>
        <v/>
      </c>
      <c r="B33" s="40"/>
      <c r="C33" s="8"/>
      <c r="D33" s="9" t="str">
        <f aca="false">IF(B33="","",IF(J33="","Active","Exited"))</f>
        <v/>
      </c>
      <c r="E33" s="8"/>
      <c r="F33" s="8"/>
      <c r="G33" s="8"/>
      <c r="H33" s="9" t="str">
        <f aca="false">IF(OR(B33="",I33=""),"",IF(IF(J33="",AsOf,J33)-I33&gt;=Settings!$C$13,"Permanent","Probation"))</f>
        <v/>
      </c>
      <c r="I33" s="41"/>
      <c r="J33" s="41"/>
      <c r="K33" s="8"/>
      <c r="L33" s="42" t="str">
        <f aca="false">IF(OR(B33="",I33=""),"",ROUND((IF(J33="",AsOf,J33)-I33)/365.25,1))</f>
        <v/>
      </c>
      <c r="M33" s="8"/>
      <c r="N33" s="8"/>
      <c r="O33" s="8"/>
      <c r="P33" s="8"/>
      <c r="Q33" s="41"/>
      <c r="R33" s="43" t="str">
        <f aca="false">IF(OR(B33="",Q33=""),"",INT((AsOf-Q33)/365.25))</f>
        <v/>
      </c>
      <c r="S33" s="8"/>
      <c r="T33" s="40"/>
      <c r="U33" s="40"/>
      <c r="V33" s="40"/>
      <c r="W33" s="40"/>
      <c r="X33" s="8"/>
      <c r="Y33" s="8"/>
      <c r="Z33" s="8"/>
      <c r="AA33" s="8"/>
      <c r="AB33" s="8"/>
      <c r="AC33" s="8"/>
      <c r="AD33" s="8"/>
      <c r="AE33" s="40"/>
      <c r="AF33" s="8"/>
      <c r="AG33" s="40"/>
      <c r="AH33" s="40"/>
      <c r="AI33" s="8"/>
      <c r="AJ33" s="40"/>
      <c r="AK33" s="40"/>
      <c r="AL33" s="40"/>
      <c r="AM33" s="44"/>
      <c r="AN33" s="44"/>
      <c r="AO33" s="41"/>
      <c r="AP33" s="45" t="str">
        <f aca="false">IF(B33="","",IF(AND(ISNUMBER(AM33),ISNUMBER(AN33),AM33&gt;0,AN33&gt;0),AN33/AM33-1,""))</f>
        <v/>
      </c>
      <c r="AQ33" s="9" t="str">
        <f aca="false">IF(I33="","",(YEAR(I33)-IF(MONTH(I33)&lt;4,1,0))&amp;"-"&amp;RIGHT((YEAR(I33)-IF(MONTH(I33)&lt;4,1,0))+1,2))</f>
        <v/>
      </c>
      <c r="AR33" s="9" t="str">
        <f aca="false">IF(J33="","",(YEAR(J33)-IF(MONTH(J33)&lt;4,1,0))&amp;"-"&amp;RIGHT((YEAR(J33)-IF(MONTH(J33)&lt;4,1,0))+1,2))</f>
        <v/>
      </c>
      <c r="AS33" s="43" t="str">
        <f aca="false">IF(OR(B33="",Q33="",D33&lt;&gt;"Active"),"",DATE(YEAR(AsOf)+IF(DATE(YEAR(AsOf),MONTH(Q33),DAY(Q33))&lt;AsOf,1,0),MONTH(Q33),DAY(Q33))-AsOf)</f>
        <v/>
      </c>
      <c r="AT33" s="43" t="str">
        <f aca="false">IF(OR(B33="",I33="",D33&lt;&gt;"Active"),"",IF(YEAR(DATE(YEAR(AsOf)+IF(DATE(YEAR(AsOf),MONTH(I33),DAY(I33))&lt;AsOf,1,0),MONTH(I33),DAY(I33)))-YEAR(I33)&lt;1,"",DATE(YEAR(AsOf)+IF(DATE(YEAR(AsOf),MONTH(I33),DAY(I33))&lt;AsOf,1,0),MONTH(I33),DAY(I33))-AsOf))</f>
        <v/>
      </c>
      <c r="AU33" s="43" t="str">
        <f aca="false">IF(B33="","",IF(AV33="",0,LEN(AV33)-LEN(SUBSTITUTE(AV33,";",""))))</f>
        <v/>
      </c>
      <c r="AV33" s="9" t="str">
        <f aca="false">IF(B33="","",IF(COUNTIF($B$6:$B$505,B33)&gt;1,"Duplicate Emp Code; ","")&amp;IF(C33="","Name missing; ","")&amp;IF(I33="","DOJ missing; ","")&amp;IF(AND(J33&lt;&gt;"",I33&lt;&gt;"",J33&lt;I33),"Exit before DOJ; ","")&amp;IF(Q33="","DOB missing; ","")&amp;IF(T33="","Aadhaar missing; ",IF(LEN(T33)&lt;&gt;12,"Aadhaar not 12 digits; ",IF(COUNTIF($T$6:$T$505,T33)&gt;1,"Duplicate Aadhaar; ","")))&amp;IF(U33="","PAN missing; ",IF(LEN(U33)&lt;&gt;10,"PAN not 10 chars; ",""))&amp;IF(V33="","Mobile missing; ",IF(LEN(V33)&lt;&gt;10,"Mobile not 10 digits; ",""))&amp;IF(AG33="","Bank A/c missing; ","")&amp;IF(AH33="","IFSC missing; ",IF(LEN(AH33)&lt;&gt;11,"IFSC not 11 chars; ","")))</f>
        <v/>
      </c>
      <c r="AW33" s="46" t="str">
        <f aca="false">IF(AS33="","",AS33+ROW()/100000)</f>
        <v/>
      </c>
      <c r="AX33" s="46" t="str">
        <f aca="false">IF(AT33="","",AT33+ROW()/100000)</f>
        <v/>
      </c>
    </row>
    <row r="34" customFormat="false" ht="15" hidden="false" customHeight="false" outlineLevel="0" collapsed="false">
      <c r="A34" s="9" t="str">
        <f aca="false">IF(B34="","",ROW()-5)</f>
        <v/>
      </c>
      <c r="B34" s="40"/>
      <c r="C34" s="8"/>
      <c r="D34" s="9" t="str">
        <f aca="false">IF(B34="","",IF(J34="","Active","Exited"))</f>
        <v/>
      </c>
      <c r="E34" s="8"/>
      <c r="F34" s="8"/>
      <c r="G34" s="8"/>
      <c r="H34" s="9" t="str">
        <f aca="false">IF(OR(B34="",I34=""),"",IF(IF(J34="",AsOf,J34)-I34&gt;=Settings!$C$13,"Permanent","Probation"))</f>
        <v/>
      </c>
      <c r="I34" s="41"/>
      <c r="J34" s="41"/>
      <c r="K34" s="8"/>
      <c r="L34" s="42" t="str">
        <f aca="false">IF(OR(B34="",I34=""),"",ROUND((IF(J34="",AsOf,J34)-I34)/365.25,1))</f>
        <v/>
      </c>
      <c r="M34" s="8"/>
      <c r="N34" s="8"/>
      <c r="O34" s="8"/>
      <c r="P34" s="8"/>
      <c r="Q34" s="41"/>
      <c r="R34" s="43" t="str">
        <f aca="false">IF(OR(B34="",Q34=""),"",INT((AsOf-Q34)/365.25))</f>
        <v/>
      </c>
      <c r="S34" s="8"/>
      <c r="T34" s="40"/>
      <c r="U34" s="40"/>
      <c r="V34" s="40"/>
      <c r="W34" s="40"/>
      <c r="X34" s="8"/>
      <c r="Y34" s="8"/>
      <c r="Z34" s="8"/>
      <c r="AA34" s="8"/>
      <c r="AB34" s="8"/>
      <c r="AC34" s="8"/>
      <c r="AD34" s="8"/>
      <c r="AE34" s="40"/>
      <c r="AF34" s="8"/>
      <c r="AG34" s="40"/>
      <c r="AH34" s="40"/>
      <c r="AI34" s="8"/>
      <c r="AJ34" s="40"/>
      <c r="AK34" s="40"/>
      <c r="AL34" s="40"/>
      <c r="AM34" s="44"/>
      <c r="AN34" s="44"/>
      <c r="AO34" s="41"/>
      <c r="AP34" s="45" t="str">
        <f aca="false">IF(B34="","",IF(AND(ISNUMBER(AM34),ISNUMBER(AN34),AM34&gt;0,AN34&gt;0),AN34/AM34-1,""))</f>
        <v/>
      </c>
      <c r="AQ34" s="9" t="str">
        <f aca="false">IF(I34="","",(YEAR(I34)-IF(MONTH(I34)&lt;4,1,0))&amp;"-"&amp;RIGHT((YEAR(I34)-IF(MONTH(I34)&lt;4,1,0))+1,2))</f>
        <v/>
      </c>
      <c r="AR34" s="9" t="str">
        <f aca="false">IF(J34="","",(YEAR(J34)-IF(MONTH(J34)&lt;4,1,0))&amp;"-"&amp;RIGHT((YEAR(J34)-IF(MONTH(J34)&lt;4,1,0))+1,2))</f>
        <v/>
      </c>
      <c r="AS34" s="43" t="str">
        <f aca="false">IF(OR(B34="",Q34="",D34&lt;&gt;"Active"),"",DATE(YEAR(AsOf)+IF(DATE(YEAR(AsOf),MONTH(Q34),DAY(Q34))&lt;AsOf,1,0),MONTH(Q34),DAY(Q34))-AsOf)</f>
        <v/>
      </c>
      <c r="AT34" s="43" t="str">
        <f aca="false">IF(OR(B34="",I34="",D34&lt;&gt;"Active"),"",IF(YEAR(DATE(YEAR(AsOf)+IF(DATE(YEAR(AsOf),MONTH(I34),DAY(I34))&lt;AsOf,1,0),MONTH(I34),DAY(I34)))-YEAR(I34)&lt;1,"",DATE(YEAR(AsOf)+IF(DATE(YEAR(AsOf),MONTH(I34),DAY(I34))&lt;AsOf,1,0),MONTH(I34),DAY(I34))-AsOf))</f>
        <v/>
      </c>
      <c r="AU34" s="43" t="str">
        <f aca="false">IF(B34="","",IF(AV34="",0,LEN(AV34)-LEN(SUBSTITUTE(AV34,";",""))))</f>
        <v/>
      </c>
      <c r="AV34" s="9" t="str">
        <f aca="false">IF(B34="","",IF(COUNTIF($B$6:$B$505,B34)&gt;1,"Duplicate Emp Code; ","")&amp;IF(C34="","Name missing; ","")&amp;IF(I34="","DOJ missing; ","")&amp;IF(AND(J34&lt;&gt;"",I34&lt;&gt;"",J34&lt;I34),"Exit before DOJ; ","")&amp;IF(Q34="","DOB missing; ","")&amp;IF(T34="","Aadhaar missing; ",IF(LEN(T34)&lt;&gt;12,"Aadhaar not 12 digits; ",IF(COUNTIF($T$6:$T$505,T34)&gt;1,"Duplicate Aadhaar; ","")))&amp;IF(U34="","PAN missing; ",IF(LEN(U34)&lt;&gt;10,"PAN not 10 chars; ",""))&amp;IF(V34="","Mobile missing; ",IF(LEN(V34)&lt;&gt;10,"Mobile not 10 digits; ",""))&amp;IF(AG34="","Bank A/c missing; ","")&amp;IF(AH34="","IFSC missing; ",IF(LEN(AH34)&lt;&gt;11,"IFSC not 11 chars; ","")))</f>
        <v/>
      </c>
      <c r="AW34" s="46" t="str">
        <f aca="false">IF(AS34="","",AS34+ROW()/100000)</f>
        <v/>
      </c>
      <c r="AX34" s="46" t="str">
        <f aca="false">IF(AT34="","",AT34+ROW()/100000)</f>
        <v/>
      </c>
    </row>
    <row r="35" customFormat="false" ht="15" hidden="false" customHeight="false" outlineLevel="0" collapsed="false">
      <c r="A35" s="9" t="str">
        <f aca="false">IF(B35="","",ROW()-5)</f>
        <v/>
      </c>
      <c r="B35" s="40"/>
      <c r="C35" s="8"/>
      <c r="D35" s="9" t="str">
        <f aca="false">IF(B35="","",IF(J35="","Active","Exited"))</f>
        <v/>
      </c>
      <c r="E35" s="8"/>
      <c r="F35" s="8"/>
      <c r="G35" s="8"/>
      <c r="H35" s="9" t="str">
        <f aca="false">IF(OR(B35="",I35=""),"",IF(IF(J35="",AsOf,J35)-I35&gt;=Settings!$C$13,"Permanent","Probation"))</f>
        <v/>
      </c>
      <c r="I35" s="41"/>
      <c r="J35" s="41"/>
      <c r="K35" s="8"/>
      <c r="L35" s="42" t="str">
        <f aca="false">IF(OR(B35="",I35=""),"",ROUND((IF(J35="",AsOf,J35)-I35)/365.25,1))</f>
        <v/>
      </c>
      <c r="M35" s="8"/>
      <c r="N35" s="8"/>
      <c r="O35" s="8"/>
      <c r="P35" s="8"/>
      <c r="Q35" s="41"/>
      <c r="R35" s="43" t="str">
        <f aca="false">IF(OR(B35="",Q35=""),"",INT((AsOf-Q35)/365.25))</f>
        <v/>
      </c>
      <c r="S35" s="8"/>
      <c r="T35" s="40"/>
      <c r="U35" s="40"/>
      <c r="V35" s="40"/>
      <c r="W35" s="40"/>
      <c r="X35" s="8"/>
      <c r="Y35" s="8"/>
      <c r="Z35" s="8"/>
      <c r="AA35" s="8"/>
      <c r="AB35" s="8"/>
      <c r="AC35" s="8"/>
      <c r="AD35" s="8"/>
      <c r="AE35" s="40"/>
      <c r="AF35" s="8"/>
      <c r="AG35" s="40"/>
      <c r="AH35" s="40"/>
      <c r="AI35" s="8"/>
      <c r="AJ35" s="40"/>
      <c r="AK35" s="40"/>
      <c r="AL35" s="40"/>
      <c r="AM35" s="44"/>
      <c r="AN35" s="44"/>
      <c r="AO35" s="41"/>
      <c r="AP35" s="45" t="str">
        <f aca="false">IF(B35="","",IF(AND(ISNUMBER(AM35),ISNUMBER(AN35),AM35&gt;0,AN35&gt;0),AN35/AM35-1,""))</f>
        <v/>
      </c>
      <c r="AQ35" s="9" t="str">
        <f aca="false">IF(I35="","",(YEAR(I35)-IF(MONTH(I35)&lt;4,1,0))&amp;"-"&amp;RIGHT((YEAR(I35)-IF(MONTH(I35)&lt;4,1,0))+1,2))</f>
        <v/>
      </c>
      <c r="AR35" s="9" t="str">
        <f aca="false">IF(J35="","",(YEAR(J35)-IF(MONTH(J35)&lt;4,1,0))&amp;"-"&amp;RIGHT((YEAR(J35)-IF(MONTH(J35)&lt;4,1,0))+1,2))</f>
        <v/>
      </c>
      <c r="AS35" s="43" t="str">
        <f aca="false">IF(OR(B35="",Q35="",D35&lt;&gt;"Active"),"",DATE(YEAR(AsOf)+IF(DATE(YEAR(AsOf),MONTH(Q35),DAY(Q35))&lt;AsOf,1,0),MONTH(Q35),DAY(Q35))-AsOf)</f>
        <v/>
      </c>
      <c r="AT35" s="43" t="str">
        <f aca="false">IF(OR(B35="",I35="",D35&lt;&gt;"Active"),"",IF(YEAR(DATE(YEAR(AsOf)+IF(DATE(YEAR(AsOf),MONTH(I35),DAY(I35))&lt;AsOf,1,0),MONTH(I35),DAY(I35)))-YEAR(I35)&lt;1,"",DATE(YEAR(AsOf)+IF(DATE(YEAR(AsOf),MONTH(I35),DAY(I35))&lt;AsOf,1,0),MONTH(I35),DAY(I35))-AsOf))</f>
        <v/>
      </c>
      <c r="AU35" s="43" t="str">
        <f aca="false">IF(B35="","",IF(AV35="",0,LEN(AV35)-LEN(SUBSTITUTE(AV35,";",""))))</f>
        <v/>
      </c>
      <c r="AV35" s="9" t="str">
        <f aca="false">IF(B35="","",IF(COUNTIF($B$6:$B$505,B35)&gt;1,"Duplicate Emp Code; ","")&amp;IF(C35="","Name missing; ","")&amp;IF(I35="","DOJ missing; ","")&amp;IF(AND(J35&lt;&gt;"",I35&lt;&gt;"",J35&lt;I35),"Exit before DOJ; ","")&amp;IF(Q35="","DOB missing; ","")&amp;IF(T35="","Aadhaar missing; ",IF(LEN(T35)&lt;&gt;12,"Aadhaar not 12 digits; ",IF(COUNTIF($T$6:$T$505,T35)&gt;1,"Duplicate Aadhaar; ","")))&amp;IF(U35="","PAN missing; ",IF(LEN(U35)&lt;&gt;10,"PAN not 10 chars; ",""))&amp;IF(V35="","Mobile missing; ",IF(LEN(V35)&lt;&gt;10,"Mobile not 10 digits; ",""))&amp;IF(AG35="","Bank A/c missing; ","")&amp;IF(AH35="","IFSC missing; ",IF(LEN(AH35)&lt;&gt;11,"IFSC not 11 chars; ","")))</f>
        <v/>
      </c>
      <c r="AW35" s="46" t="str">
        <f aca="false">IF(AS35="","",AS35+ROW()/100000)</f>
        <v/>
      </c>
      <c r="AX35" s="46" t="str">
        <f aca="false">IF(AT35="","",AT35+ROW()/100000)</f>
        <v/>
      </c>
    </row>
    <row r="36" customFormat="false" ht="15" hidden="false" customHeight="false" outlineLevel="0" collapsed="false">
      <c r="A36" s="9" t="str">
        <f aca="false">IF(B36="","",ROW()-5)</f>
        <v/>
      </c>
      <c r="B36" s="40"/>
      <c r="C36" s="8"/>
      <c r="D36" s="9" t="str">
        <f aca="false">IF(B36="","",IF(J36="","Active","Exited"))</f>
        <v/>
      </c>
      <c r="E36" s="8"/>
      <c r="F36" s="8"/>
      <c r="G36" s="8"/>
      <c r="H36" s="9" t="str">
        <f aca="false">IF(OR(B36="",I36=""),"",IF(IF(J36="",AsOf,J36)-I36&gt;=Settings!$C$13,"Permanent","Probation"))</f>
        <v/>
      </c>
      <c r="I36" s="41"/>
      <c r="J36" s="41"/>
      <c r="K36" s="8"/>
      <c r="L36" s="42" t="str">
        <f aca="false">IF(OR(B36="",I36=""),"",ROUND((IF(J36="",AsOf,J36)-I36)/365.25,1))</f>
        <v/>
      </c>
      <c r="M36" s="8"/>
      <c r="N36" s="8"/>
      <c r="O36" s="8"/>
      <c r="P36" s="8"/>
      <c r="Q36" s="41"/>
      <c r="R36" s="43" t="str">
        <f aca="false">IF(OR(B36="",Q36=""),"",INT((AsOf-Q36)/365.25))</f>
        <v/>
      </c>
      <c r="S36" s="8"/>
      <c r="T36" s="40"/>
      <c r="U36" s="40"/>
      <c r="V36" s="40"/>
      <c r="W36" s="40"/>
      <c r="X36" s="8"/>
      <c r="Y36" s="8"/>
      <c r="Z36" s="8"/>
      <c r="AA36" s="8"/>
      <c r="AB36" s="8"/>
      <c r="AC36" s="8"/>
      <c r="AD36" s="8"/>
      <c r="AE36" s="40"/>
      <c r="AF36" s="8"/>
      <c r="AG36" s="40"/>
      <c r="AH36" s="40"/>
      <c r="AI36" s="8"/>
      <c r="AJ36" s="40"/>
      <c r="AK36" s="40"/>
      <c r="AL36" s="40"/>
      <c r="AM36" s="44"/>
      <c r="AN36" s="44"/>
      <c r="AO36" s="41"/>
      <c r="AP36" s="45" t="str">
        <f aca="false">IF(B36="","",IF(AND(ISNUMBER(AM36),ISNUMBER(AN36),AM36&gt;0,AN36&gt;0),AN36/AM36-1,""))</f>
        <v/>
      </c>
      <c r="AQ36" s="9" t="str">
        <f aca="false">IF(I36="","",(YEAR(I36)-IF(MONTH(I36)&lt;4,1,0))&amp;"-"&amp;RIGHT((YEAR(I36)-IF(MONTH(I36)&lt;4,1,0))+1,2))</f>
        <v/>
      </c>
      <c r="AR36" s="9" t="str">
        <f aca="false">IF(J36="","",(YEAR(J36)-IF(MONTH(J36)&lt;4,1,0))&amp;"-"&amp;RIGHT((YEAR(J36)-IF(MONTH(J36)&lt;4,1,0))+1,2))</f>
        <v/>
      </c>
      <c r="AS36" s="43" t="str">
        <f aca="false">IF(OR(B36="",Q36="",D36&lt;&gt;"Active"),"",DATE(YEAR(AsOf)+IF(DATE(YEAR(AsOf),MONTH(Q36),DAY(Q36))&lt;AsOf,1,0),MONTH(Q36),DAY(Q36))-AsOf)</f>
        <v/>
      </c>
      <c r="AT36" s="43" t="str">
        <f aca="false">IF(OR(B36="",I36="",D36&lt;&gt;"Active"),"",IF(YEAR(DATE(YEAR(AsOf)+IF(DATE(YEAR(AsOf),MONTH(I36),DAY(I36))&lt;AsOf,1,0),MONTH(I36),DAY(I36)))-YEAR(I36)&lt;1,"",DATE(YEAR(AsOf)+IF(DATE(YEAR(AsOf),MONTH(I36),DAY(I36))&lt;AsOf,1,0),MONTH(I36),DAY(I36))-AsOf))</f>
        <v/>
      </c>
      <c r="AU36" s="43" t="str">
        <f aca="false">IF(B36="","",IF(AV36="",0,LEN(AV36)-LEN(SUBSTITUTE(AV36,";",""))))</f>
        <v/>
      </c>
      <c r="AV36" s="9" t="str">
        <f aca="false">IF(B36="","",IF(COUNTIF($B$6:$B$505,B36)&gt;1,"Duplicate Emp Code; ","")&amp;IF(C36="","Name missing; ","")&amp;IF(I36="","DOJ missing; ","")&amp;IF(AND(J36&lt;&gt;"",I36&lt;&gt;"",J36&lt;I36),"Exit before DOJ; ","")&amp;IF(Q36="","DOB missing; ","")&amp;IF(T36="","Aadhaar missing; ",IF(LEN(T36)&lt;&gt;12,"Aadhaar not 12 digits; ",IF(COUNTIF($T$6:$T$505,T36)&gt;1,"Duplicate Aadhaar; ","")))&amp;IF(U36="","PAN missing; ",IF(LEN(U36)&lt;&gt;10,"PAN not 10 chars; ",""))&amp;IF(V36="","Mobile missing; ",IF(LEN(V36)&lt;&gt;10,"Mobile not 10 digits; ",""))&amp;IF(AG36="","Bank A/c missing; ","")&amp;IF(AH36="","IFSC missing; ",IF(LEN(AH36)&lt;&gt;11,"IFSC not 11 chars; ","")))</f>
        <v/>
      </c>
      <c r="AW36" s="46" t="str">
        <f aca="false">IF(AS36="","",AS36+ROW()/100000)</f>
        <v/>
      </c>
      <c r="AX36" s="46" t="str">
        <f aca="false">IF(AT36="","",AT36+ROW()/100000)</f>
        <v/>
      </c>
    </row>
    <row r="37" customFormat="false" ht="15" hidden="false" customHeight="false" outlineLevel="0" collapsed="false">
      <c r="A37" s="9" t="str">
        <f aca="false">IF(B37="","",ROW()-5)</f>
        <v/>
      </c>
      <c r="B37" s="40"/>
      <c r="C37" s="8"/>
      <c r="D37" s="9" t="str">
        <f aca="false">IF(B37="","",IF(J37="","Active","Exited"))</f>
        <v/>
      </c>
      <c r="E37" s="8"/>
      <c r="F37" s="8"/>
      <c r="G37" s="8"/>
      <c r="H37" s="9" t="str">
        <f aca="false">IF(OR(B37="",I37=""),"",IF(IF(J37="",AsOf,J37)-I37&gt;=Settings!$C$13,"Permanent","Probation"))</f>
        <v/>
      </c>
      <c r="I37" s="41"/>
      <c r="J37" s="41"/>
      <c r="K37" s="8"/>
      <c r="L37" s="42" t="str">
        <f aca="false">IF(OR(B37="",I37=""),"",ROUND((IF(J37="",AsOf,J37)-I37)/365.25,1))</f>
        <v/>
      </c>
      <c r="M37" s="8"/>
      <c r="N37" s="8"/>
      <c r="O37" s="8"/>
      <c r="P37" s="8"/>
      <c r="Q37" s="41"/>
      <c r="R37" s="43" t="str">
        <f aca="false">IF(OR(B37="",Q37=""),"",INT((AsOf-Q37)/365.25))</f>
        <v/>
      </c>
      <c r="S37" s="8"/>
      <c r="T37" s="40"/>
      <c r="U37" s="40"/>
      <c r="V37" s="40"/>
      <c r="W37" s="40"/>
      <c r="X37" s="8"/>
      <c r="Y37" s="8"/>
      <c r="Z37" s="8"/>
      <c r="AA37" s="8"/>
      <c r="AB37" s="8"/>
      <c r="AC37" s="8"/>
      <c r="AD37" s="8"/>
      <c r="AE37" s="40"/>
      <c r="AF37" s="8"/>
      <c r="AG37" s="40"/>
      <c r="AH37" s="40"/>
      <c r="AI37" s="8"/>
      <c r="AJ37" s="40"/>
      <c r="AK37" s="40"/>
      <c r="AL37" s="40"/>
      <c r="AM37" s="44"/>
      <c r="AN37" s="44"/>
      <c r="AO37" s="41"/>
      <c r="AP37" s="45" t="str">
        <f aca="false">IF(B37="","",IF(AND(ISNUMBER(AM37),ISNUMBER(AN37),AM37&gt;0,AN37&gt;0),AN37/AM37-1,""))</f>
        <v/>
      </c>
      <c r="AQ37" s="9" t="str">
        <f aca="false">IF(I37="","",(YEAR(I37)-IF(MONTH(I37)&lt;4,1,0))&amp;"-"&amp;RIGHT((YEAR(I37)-IF(MONTH(I37)&lt;4,1,0))+1,2))</f>
        <v/>
      </c>
      <c r="AR37" s="9" t="str">
        <f aca="false">IF(J37="","",(YEAR(J37)-IF(MONTH(J37)&lt;4,1,0))&amp;"-"&amp;RIGHT((YEAR(J37)-IF(MONTH(J37)&lt;4,1,0))+1,2))</f>
        <v/>
      </c>
      <c r="AS37" s="43" t="str">
        <f aca="false">IF(OR(B37="",Q37="",D37&lt;&gt;"Active"),"",DATE(YEAR(AsOf)+IF(DATE(YEAR(AsOf),MONTH(Q37),DAY(Q37))&lt;AsOf,1,0),MONTH(Q37),DAY(Q37))-AsOf)</f>
        <v/>
      </c>
      <c r="AT37" s="43" t="str">
        <f aca="false">IF(OR(B37="",I37="",D37&lt;&gt;"Active"),"",IF(YEAR(DATE(YEAR(AsOf)+IF(DATE(YEAR(AsOf),MONTH(I37),DAY(I37))&lt;AsOf,1,0),MONTH(I37),DAY(I37)))-YEAR(I37)&lt;1,"",DATE(YEAR(AsOf)+IF(DATE(YEAR(AsOf),MONTH(I37),DAY(I37))&lt;AsOf,1,0),MONTH(I37),DAY(I37))-AsOf))</f>
        <v/>
      </c>
      <c r="AU37" s="43" t="str">
        <f aca="false">IF(B37="","",IF(AV37="",0,LEN(AV37)-LEN(SUBSTITUTE(AV37,";",""))))</f>
        <v/>
      </c>
      <c r="AV37" s="9" t="str">
        <f aca="false">IF(B37="","",IF(COUNTIF($B$6:$B$505,B37)&gt;1,"Duplicate Emp Code; ","")&amp;IF(C37="","Name missing; ","")&amp;IF(I37="","DOJ missing; ","")&amp;IF(AND(J37&lt;&gt;"",I37&lt;&gt;"",J37&lt;I37),"Exit before DOJ; ","")&amp;IF(Q37="","DOB missing; ","")&amp;IF(T37="","Aadhaar missing; ",IF(LEN(T37)&lt;&gt;12,"Aadhaar not 12 digits; ",IF(COUNTIF($T$6:$T$505,T37)&gt;1,"Duplicate Aadhaar; ","")))&amp;IF(U37="","PAN missing; ",IF(LEN(U37)&lt;&gt;10,"PAN not 10 chars; ",""))&amp;IF(V37="","Mobile missing; ",IF(LEN(V37)&lt;&gt;10,"Mobile not 10 digits; ",""))&amp;IF(AG37="","Bank A/c missing; ","")&amp;IF(AH37="","IFSC missing; ",IF(LEN(AH37)&lt;&gt;11,"IFSC not 11 chars; ","")))</f>
        <v/>
      </c>
      <c r="AW37" s="46" t="str">
        <f aca="false">IF(AS37="","",AS37+ROW()/100000)</f>
        <v/>
      </c>
      <c r="AX37" s="46" t="str">
        <f aca="false">IF(AT37="","",AT37+ROW()/100000)</f>
        <v/>
      </c>
    </row>
    <row r="38" customFormat="false" ht="15" hidden="false" customHeight="false" outlineLevel="0" collapsed="false">
      <c r="A38" s="9" t="str">
        <f aca="false">IF(B38="","",ROW()-5)</f>
        <v/>
      </c>
      <c r="B38" s="40"/>
      <c r="C38" s="8"/>
      <c r="D38" s="9" t="str">
        <f aca="false">IF(B38="","",IF(J38="","Active","Exited"))</f>
        <v/>
      </c>
      <c r="E38" s="8"/>
      <c r="F38" s="8"/>
      <c r="G38" s="8"/>
      <c r="H38" s="9" t="str">
        <f aca="false">IF(OR(B38="",I38=""),"",IF(IF(J38="",AsOf,J38)-I38&gt;=Settings!$C$13,"Permanent","Probation"))</f>
        <v/>
      </c>
      <c r="I38" s="41"/>
      <c r="J38" s="41"/>
      <c r="K38" s="8"/>
      <c r="L38" s="42" t="str">
        <f aca="false">IF(OR(B38="",I38=""),"",ROUND((IF(J38="",AsOf,J38)-I38)/365.25,1))</f>
        <v/>
      </c>
      <c r="M38" s="8"/>
      <c r="N38" s="8"/>
      <c r="O38" s="8"/>
      <c r="P38" s="8"/>
      <c r="Q38" s="41"/>
      <c r="R38" s="43" t="str">
        <f aca="false">IF(OR(B38="",Q38=""),"",INT((AsOf-Q38)/365.25))</f>
        <v/>
      </c>
      <c r="S38" s="8"/>
      <c r="T38" s="40"/>
      <c r="U38" s="40"/>
      <c r="V38" s="40"/>
      <c r="W38" s="40"/>
      <c r="X38" s="8"/>
      <c r="Y38" s="8"/>
      <c r="Z38" s="8"/>
      <c r="AA38" s="8"/>
      <c r="AB38" s="8"/>
      <c r="AC38" s="8"/>
      <c r="AD38" s="8"/>
      <c r="AE38" s="40"/>
      <c r="AF38" s="8"/>
      <c r="AG38" s="40"/>
      <c r="AH38" s="40"/>
      <c r="AI38" s="8"/>
      <c r="AJ38" s="40"/>
      <c r="AK38" s="40"/>
      <c r="AL38" s="40"/>
      <c r="AM38" s="44"/>
      <c r="AN38" s="44"/>
      <c r="AO38" s="41"/>
      <c r="AP38" s="45" t="str">
        <f aca="false">IF(B38="","",IF(AND(ISNUMBER(AM38),ISNUMBER(AN38),AM38&gt;0,AN38&gt;0),AN38/AM38-1,""))</f>
        <v/>
      </c>
      <c r="AQ38" s="9" t="str">
        <f aca="false">IF(I38="","",(YEAR(I38)-IF(MONTH(I38)&lt;4,1,0))&amp;"-"&amp;RIGHT((YEAR(I38)-IF(MONTH(I38)&lt;4,1,0))+1,2))</f>
        <v/>
      </c>
      <c r="AR38" s="9" t="str">
        <f aca="false">IF(J38="","",(YEAR(J38)-IF(MONTH(J38)&lt;4,1,0))&amp;"-"&amp;RIGHT((YEAR(J38)-IF(MONTH(J38)&lt;4,1,0))+1,2))</f>
        <v/>
      </c>
      <c r="AS38" s="43" t="str">
        <f aca="false">IF(OR(B38="",Q38="",D38&lt;&gt;"Active"),"",DATE(YEAR(AsOf)+IF(DATE(YEAR(AsOf),MONTH(Q38),DAY(Q38))&lt;AsOf,1,0),MONTH(Q38),DAY(Q38))-AsOf)</f>
        <v/>
      </c>
      <c r="AT38" s="43" t="str">
        <f aca="false">IF(OR(B38="",I38="",D38&lt;&gt;"Active"),"",IF(YEAR(DATE(YEAR(AsOf)+IF(DATE(YEAR(AsOf),MONTH(I38),DAY(I38))&lt;AsOf,1,0),MONTH(I38),DAY(I38)))-YEAR(I38)&lt;1,"",DATE(YEAR(AsOf)+IF(DATE(YEAR(AsOf),MONTH(I38),DAY(I38))&lt;AsOf,1,0),MONTH(I38),DAY(I38))-AsOf))</f>
        <v/>
      </c>
      <c r="AU38" s="43" t="str">
        <f aca="false">IF(B38="","",IF(AV38="",0,LEN(AV38)-LEN(SUBSTITUTE(AV38,";",""))))</f>
        <v/>
      </c>
      <c r="AV38" s="9" t="str">
        <f aca="false">IF(B38="","",IF(COUNTIF($B$6:$B$505,B38)&gt;1,"Duplicate Emp Code; ","")&amp;IF(C38="","Name missing; ","")&amp;IF(I38="","DOJ missing; ","")&amp;IF(AND(J38&lt;&gt;"",I38&lt;&gt;"",J38&lt;I38),"Exit before DOJ; ","")&amp;IF(Q38="","DOB missing; ","")&amp;IF(T38="","Aadhaar missing; ",IF(LEN(T38)&lt;&gt;12,"Aadhaar not 12 digits; ",IF(COUNTIF($T$6:$T$505,T38)&gt;1,"Duplicate Aadhaar; ","")))&amp;IF(U38="","PAN missing; ",IF(LEN(U38)&lt;&gt;10,"PAN not 10 chars; ",""))&amp;IF(V38="","Mobile missing; ",IF(LEN(V38)&lt;&gt;10,"Mobile not 10 digits; ",""))&amp;IF(AG38="","Bank A/c missing; ","")&amp;IF(AH38="","IFSC missing; ",IF(LEN(AH38)&lt;&gt;11,"IFSC not 11 chars; ","")))</f>
        <v/>
      </c>
      <c r="AW38" s="46" t="str">
        <f aca="false">IF(AS38="","",AS38+ROW()/100000)</f>
        <v/>
      </c>
      <c r="AX38" s="46" t="str">
        <f aca="false">IF(AT38="","",AT38+ROW()/100000)</f>
        <v/>
      </c>
    </row>
    <row r="39" customFormat="false" ht="15" hidden="false" customHeight="false" outlineLevel="0" collapsed="false">
      <c r="A39" s="9" t="str">
        <f aca="false">IF(B39="","",ROW()-5)</f>
        <v/>
      </c>
      <c r="B39" s="40"/>
      <c r="C39" s="8"/>
      <c r="D39" s="9" t="str">
        <f aca="false">IF(B39="","",IF(J39="","Active","Exited"))</f>
        <v/>
      </c>
      <c r="E39" s="8"/>
      <c r="F39" s="8"/>
      <c r="G39" s="8"/>
      <c r="H39" s="9" t="str">
        <f aca="false">IF(OR(B39="",I39=""),"",IF(IF(J39="",AsOf,J39)-I39&gt;=Settings!$C$13,"Permanent","Probation"))</f>
        <v/>
      </c>
      <c r="I39" s="41"/>
      <c r="J39" s="41"/>
      <c r="K39" s="8"/>
      <c r="L39" s="42" t="str">
        <f aca="false">IF(OR(B39="",I39=""),"",ROUND((IF(J39="",AsOf,J39)-I39)/365.25,1))</f>
        <v/>
      </c>
      <c r="M39" s="8"/>
      <c r="N39" s="8"/>
      <c r="O39" s="8"/>
      <c r="P39" s="8"/>
      <c r="Q39" s="41"/>
      <c r="R39" s="43" t="str">
        <f aca="false">IF(OR(B39="",Q39=""),"",INT((AsOf-Q39)/365.25))</f>
        <v/>
      </c>
      <c r="S39" s="8"/>
      <c r="T39" s="40"/>
      <c r="U39" s="40"/>
      <c r="V39" s="40"/>
      <c r="W39" s="40"/>
      <c r="X39" s="8"/>
      <c r="Y39" s="8"/>
      <c r="Z39" s="8"/>
      <c r="AA39" s="8"/>
      <c r="AB39" s="8"/>
      <c r="AC39" s="8"/>
      <c r="AD39" s="8"/>
      <c r="AE39" s="40"/>
      <c r="AF39" s="8"/>
      <c r="AG39" s="40"/>
      <c r="AH39" s="40"/>
      <c r="AI39" s="8"/>
      <c r="AJ39" s="40"/>
      <c r="AK39" s="40"/>
      <c r="AL39" s="40"/>
      <c r="AM39" s="44"/>
      <c r="AN39" s="44"/>
      <c r="AO39" s="41"/>
      <c r="AP39" s="45" t="str">
        <f aca="false">IF(B39="","",IF(AND(ISNUMBER(AM39),ISNUMBER(AN39),AM39&gt;0,AN39&gt;0),AN39/AM39-1,""))</f>
        <v/>
      </c>
      <c r="AQ39" s="9" t="str">
        <f aca="false">IF(I39="","",(YEAR(I39)-IF(MONTH(I39)&lt;4,1,0))&amp;"-"&amp;RIGHT((YEAR(I39)-IF(MONTH(I39)&lt;4,1,0))+1,2))</f>
        <v/>
      </c>
      <c r="AR39" s="9" t="str">
        <f aca="false">IF(J39="","",(YEAR(J39)-IF(MONTH(J39)&lt;4,1,0))&amp;"-"&amp;RIGHT((YEAR(J39)-IF(MONTH(J39)&lt;4,1,0))+1,2))</f>
        <v/>
      </c>
      <c r="AS39" s="43" t="str">
        <f aca="false">IF(OR(B39="",Q39="",D39&lt;&gt;"Active"),"",DATE(YEAR(AsOf)+IF(DATE(YEAR(AsOf),MONTH(Q39),DAY(Q39))&lt;AsOf,1,0),MONTH(Q39),DAY(Q39))-AsOf)</f>
        <v/>
      </c>
      <c r="AT39" s="43" t="str">
        <f aca="false">IF(OR(B39="",I39="",D39&lt;&gt;"Active"),"",IF(YEAR(DATE(YEAR(AsOf)+IF(DATE(YEAR(AsOf),MONTH(I39),DAY(I39))&lt;AsOf,1,0),MONTH(I39),DAY(I39)))-YEAR(I39)&lt;1,"",DATE(YEAR(AsOf)+IF(DATE(YEAR(AsOf),MONTH(I39),DAY(I39))&lt;AsOf,1,0),MONTH(I39),DAY(I39))-AsOf))</f>
        <v/>
      </c>
      <c r="AU39" s="43" t="str">
        <f aca="false">IF(B39="","",IF(AV39="",0,LEN(AV39)-LEN(SUBSTITUTE(AV39,";",""))))</f>
        <v/>
      </c>
      <c r="AV39" s="9" t="str">
        <f aca="false">IF(B39="","",IF(COUNTIF($B$6:$B$505,B39)&gt;1,"Duplicate Emp Code; ","")&amp;IF(C39="","Name missing; ","")&amp;IF(I39="","DOJ missing; ","")&amp;IF(AND(J39&lt;&gt;"",I39&lt;&gt;"",J39&lt;I39),"Exit before DOJ; ","")&amp;IF(Q39="","DOB missing; ","")&amp;IF(T39="","Aadhaar missing; ",IF(LEN(T39)&lt;&gt;12,"Aadhaar not 12 digits; ",IF(COUNTIF($T$6:$T$505,T39)&gt;1,"Duplicate Aadhaar; ","")))&amp;IF(U39="","PAN missing; ",IF(LEN(U39)&lt;&gt;10,"PAN not 10 chars; ",""))&amp;IF(V39="","Mobile missing; ",IF(LEN(V39)&lt;&gt;10,"Mobile not 10 digits; ",""))&amp;IF(AG39="","Bank A/c missing; ","")&amp;IF(AH39="","IFSC missing; ",IF(LEN(AH39)&lt;&gt;11,"IFSC not 11 chars; ","")))</f>
        <v/>
      </c>
      <c r="AW39" s="46" t="str">
        <f aca="false">IF(AS39="","",AS39+ROW()/100000)</f>
        <v/>
      </c>
      <c r="AX39" s="46" t="str">
        <f aca="false">IF(AT39="","",AT39+ROW()/100000)</f>
        <v/>
      </c>
    </row>
    <row r="40" customFormat="false" ht="15" hidden="false" customHeight="false" outlineLevel="0" collapsed="false">
      <c r="A40" s="9" t="str">
        <f aca="false">IF(B40="","",ROW()-5)</f>
        <v/>
      </c>
      <c r="B40" s="40"/>
      <c r="C40" s="8"/>
      <c r="D40" s="9" t="str">
        <f aca="false">IF(B40="","",IF(J40="","Active","Exited"))</f>
        <v/>
      </c>
      <c r="E40" s="8"/>
      <c r="F40" s="8"/>
      <c r="G40" s="8"/>
      <c r="H40" s="9" t="str">
        <f aca="false">IF(OR(B40="",I40=""),"",IF(IF(J40="",AsOf,J40)-I40&gt;=Settings!$C$13,"Permanent","Probation"))</f>
        <v/>
      </c>
      <c r="I40" s="41"/>
      <c r="J40" s="41"/>
      <c r="K40" s="8"/>
      <c r="L40" s="42" t="str">
        <f aca="false">IF(OR(B40="",I40=""),"",ROUND((IF(J40="",AsOf,J40)-I40)/365.25,1))</f>
        <v/>
      </c>
      <c r="M40" s="8"/>
      <c r="N40" s="8"/>
      <c r="O40" s="8"/>
      <c r="P40" s="8"/>
      <c r="Q40" s="41"/>
      <c r="R40" s="43" t="str">
        <f aca="false">IF(OR(B40="",Q40=""),"",INT((AsOf-Q40)/365.25))</f>
        <v/>
      </c>
      <c r="S40" s="8"/>
      <c r="T40" s="40"/>
      <c r="U40" s="40"/>
      <c r="V40" s="40"/>
      <c r="W40" s="40"/>
      <c r="X40" s="8"/>
      <c r="Y40" s="8"/>
      <c r="Z40" s="8"/>
      <c r="AA40" s="8"/>
      <c r="AB40" s="8"/>
      <c r="AC40" s="8"/>
      <c r="AD40" s="8"/>
      <c r="AE40" s="40"/>
      <c r="AF40" s="8"/>
      <c r="AG40" s="40"/>
      <c r="AH40" s="40"/>
      <c r="AI40" s="8"/>
      <c r="AJ40" s="40"/>
      <c r="AK40" s="40"/>
      <c r="AL40" s="40"/>
      <c r="AM40" s="44"/>
      <c r="AN40" s="44"/>
      <c r="AO40" s="41"/>
      <c r="AP40" s="45" t="str">
        <f aca="false">IF(B40="","",IF(AND(ISNUMBER(AM40),ISNUMBER(AN40),AM40&gt;0,AN40&gt;0),AN40/AM40-1,""))</f>
        <v/>
      </c>
      <c r="AQ40" s="9" t="str">
        <f aca="false">IF(I40="","",(YEAR(I40)-IF(MONTH(I40)&lt;4,1,0))&amp;"-"&amp;RIGHT((YEAR(I40)-IF(MONTH(I40)&lt;4,1,0))+1,2))</f>
        <v/>
      </c>
      <c r="AR40" s="9" t="str">
        <f aca="false">IF(J40="","",(YEAR(J40)-IF(MONTH(J40)&lt;4,1,0))&amp;"-"&amp;RIGHT((YEAR(J40)-IF(MONTH(J40)&lt;4,1,0))+1,2))</f>
        <v/>
      </c>
      <c r="AS40" s="43" t="str">
        <f aca="false">IF(OR(B40="",Q40="",D40&lt;&gt;"Active"),"",DATE(YEAR(AsOf)+IF(DATE(YEAR(AsOf),MONTH(Q40),DAY(Q40))&lt;AsOf,1,0),MONTH(Q40),DAY(Q40))-AsOf)</f>
        <v/>
      </c>
      <c r="AT40" s="43" t="str">
        <f aca="false">IF(OR(B40="",I40="",D40&lt;&gt;"Active"),"",IF(YEAR(DATE(YEAR(AsOf)+IF(DATE(YEAR(AsOf),MONTH(I40),DAY(I40))&lt;AsOf,1,0),MONTH(I40),DAY(I40)))-YEAR(I40)&lt;1,"",DATE(YEAR(AsOf)+IF(DATE(YEAR(AsOf),MONTH(I40),DAY(I40))&lt;AsOf,1,0),MONTH(I40),DAY(I40))-AsOf))</f>
        <v/>
      </c>
      <c r="AU40" s="43" t="str">
        <f aca="false">IF(B40="","",IF(AV40="",0,LEN(AV40)-LEN(SUBSTITUTE(AV40,";",""))))</f>
        <v/>
      </c>
      <c r="AV40" s="9" t="str">
        <f aca="false">IF(B40="","",IF(COUNTIF($B$6:$B$505,B40)&gt;1,"Duplicate Emp Code; ","")&amp;IF(C40="","Name missing; ","")&amp;IF(I40="","DOJ missing; ","")&amp;IF(AND(J40&lt;&gt;"",I40&lt;&gt;"",J40&lt;I40),"Exit before DOJ; ","")&amp;IF(Q40="","DOB missing; ","")&amp;IF(T40="","Aadhaar missing; ",IF(LEN(T40)&lt;&gt;12,"Aadhaar not 12 digits; ",IF(COUNTIF($T$6:$T$505,T40)&gt;1,"Duplicate Aadhaar; ","")))&amp;IF(U40="","PAN missing; ",IF(LEN(U40)&lt;&gt;10,"PAN not 10 chars; ",""))&amp;IF(V40="","Mobile missing; ",IF(LEN(V40)&lt;&gt;10,"Mobile not 10 digits; ",""))&amp;IF(AG40="","Bank A/c missing; ","")&amp;IF(AH40="","IFSC missing; ",IF(LEN(AH40)&lt;&gt;11,"IFSC not 11 chars; ","")))</f>
        <v/>
      </c>
      <c r="AW40" s="46" t="str">
        <f aca="false">IF(AS40="","",AS40+ROW()/100000)</f>
        <v/>
      </c>
      <c r="AX40" s="46" t="str">
        <f aca="false">IF(AT40="","",AT40+ROW()/100000)</f>
        <v/>
      </c>
    </row>
    <row r="41" customFormat="false" ht="15" hidden="false" customHeight="false" outlineLevel="0" collapsed="false">
      <c r="A41" s="9" t="str">
        <f aca="false">IF(B41="","",ROW()-5)</f>
        <v/>
      </c>
      <c r="B41" s="40"/>
      <c r="C41" s="8"/>
      <c r="D41" s="9" t="str">
        <f aca="false">IF(B41="","",IF(J41="","Active","Exited"))</f>
        <v/>
      </c>
      <c r="E41" s="8"/>
      <c r="F41" s="8"/>
      <c r="G41" s="8"/>
      <c r="H41" s="9" t="str">
        <f aca="false">IF(OR(B41="",I41=""),"",IF(IF(J41="",AsOf,J41)-I41&gt;=Settings!$C$13,"Permanent","Probation"))</f>
        <v/>
      </c>
      <c r="I41" s="41"/>
      <c r="J41" s="41"/>
      <c r="K41" s="8"/>
      <c r="L41" s="42" t="str">
        <f aca="false">IF(OR(B41="",I41=""),"",ROUND((IF(J41="",AsOf,J41)-I41)/365.25,1))</f>
        <v/>
      </c>
      <c r="M41" s="8"/>
      <c r="N41" s="8"/>
      <c r="O41" s="8"/>
      <c r="P41" s="8"/>
      <c r="Q41" s="41"/>
      <c r="R41" s="43" t="str">
        <f aca="false">IF(OR(B41="",Q41=""),"",INT((AsOf-Q41)/365.25))</f>
        <v/>
      </c>
      <c r="S41" s="8"/>
      <c r="T41" s="40"/>
      <c r="U41" s="40"/>
      <c r="V41" s="40"/>
      <c r="W41" s="40"/>
      <c r="X41" s="8"/>
      <c r="Y41" s="8"/>
      <c r="Z41" s="8"/>
      <c r="AA41" s="8"/>
      <c r="AB41" s="8"/>
      <c r="AC41" s="8"/>
      <c r="AD41" s="8"/>
      <c r="AE41" s="40"/>
      <c r="AF41" s="8"/>
      <c r="AG41" s="40"/>
      <c r="AH41" s="40"/>
      <c r="AI41" s="8"/>
      <c r="AJ41" s="40"/>
      <c r="AK41" s="40"/>
      <c r="AL41" s="40"/>
      <c r="AM41" s="44"/>
      <c r="AN41" s="44"/>
      <c r="AO41" s="41"/>
      <c r="AP41" s="45" t="str">
        <f aca="false">IF(B41="","",IF(AND(ISNUMBER(AM41),ISNUMBER(AN41),AM41&gt;0,AN41&gt;0),AN41/AM41-1,""))</f>
        <v/>
      </c>
      <c r="AQ41" s="9" t="str">
        <f aca="false">IF(I41="","",(YEAR(I41)-IF(MONTH(I41)&lt;4,1,0))&amp;"-"&amp;RIGHT((YEAR(I41)-IF(MONTH(I41)&lt;4,1,0))+1,2))</f>
        <v/>
      </c>
      <c r="AR41" s="9" t="str">
        <f aca="false">IF(J41="","",(YEAR(J41)-IF(MONTH(J41)&lt;4,1,0))&amp;"-"&amp;RIGHT((YEAR(J41)-IF(MONTH(J41)&lt;4,1,0))+1,2))</f>
        <v/>
      </c>
      <c r="AS41" s="43" t="str">
        <f aca="false">IF(OR(B41="",Q41="",D41&lt;&gt;"Active"),"",DATE(YEAR(AsOf)+IF(DATE(YEAR(AsOf),MONTH(Q41),DAY(Q41))&lt;AsOf,1,0),MONTH(Q41),DAY(Q41))-AsOf)</f>
        <v/>
      </c>
      <c r="AT41" s="43" t="str">
        <f aca="false">IF(OR(B41="",I41="",D41&lt;&gt;"Active"),"",IF(YEAR(DATE(YEAR(AsOf)+IF(DATE(YEAR(AsOf),MONTH(I41),DAY(I41))&lt;AsOf,1,0),MONTH(I41),DAY(I41)))-YEAR(I41)&lt;1,"",DATE(YEAR(AsOf)+IF(DATE(YEAR(AsOf),MONTH(I41),DAY(I41))&lt;AsOf,1,0),MONTH(I41),DAY(I41))-AsOf))</f>
        <v/>
      </c>
      <c r="AU41" s="43" t="str">
        <f aca="false">IF(B41="","",IF(AV41="",0,LEN(AV41)-LEN(SUBSTITUTE(AV41,";",""))))</f>
        <v/>
      </c>
      <c r="AV41" s="9" t="str">
        <f aca="false">IF(B41="","",IF(COUNTIF($B$6:$B$505,B41)&gt;1,"Duplicate Emp Code; ","")&amp;IF(C41="","Name missing; ","")&amp;IF(I41="","DOJ missing; ","")&amp;IF(AND(J41&lt;&gt;"",I41&lt;&gt;"",J41&lt;I41),"Exit before DOJ; ","")&amp;IF(Q41="","DOB missing; ","")&amp;IF(T41="","Aadhaar missing; ",IF(LEN(T41)&lt;&gt;12,"Aadhaar not 12 digits; ",IF(COUNTIF($T$6:$T$505,T41)&gt;1,"Duplicate Aadhaar; ","")))&amp;IF(U41="","PAN missing; ",IF(LEN(U41)&lt;&gt;10,"PAN not 10 chars; ",""))&amp;IF(V41="","Mobile missing; ",IF(LEN(V41)&lt;&gt;10,"Mobile not 10 digits; ",""))&amp;IF(AG41="","Bank A/c missing; ","")&amp;IF(AH41="","IFSC missing; ",IF(LEN(AH41)&lt;&gt;11,"IFSC not 11 chars; ","")))</f>
        <v/>
      </c>
      <c r="AW41" s="46" t="str">
        <f aca="false">IF(AS41="","",AS41+ROW()/100000)</f>
        <v/>
      </c>
      <c r="AX41" s="46" t="str">
        <f aca="false">IF(AT41="","",AT41+ROW()/100000)</f>
        <v/>
      </c>
    </row>
    <row r="42" customFormat="false" ht="15" hidden="false" customHeight="false" outlineLevel="0" collapsed="false">
      <c r="A42" s="9" t="str">
        <f aca="false">IF(B42="","",ROW()-5)</f>
        <v/>
      </c>
      <c r="B42" s="40"/>
      <c r="C42" s="8"/>
      <c r="D42" s="9" t="str">
        <f aca="false">IF(B42="","",IF(J42="","Active","Exited"))</f>
        <v/>
      </c>
      <c r="E42" s="8"/>
      <c r="F42" s="8"/>
      <c r="G42" s="8"/>
      <c r="H42" s="9" t="str">
        <f aca="false">IF(OR(B42="",I42=""),"",IF(IF(J42="",AsOf,J42)-I42&gt;=Settings!$C$13,"Permanent","Probation"))</f>
        <v/>
      </c>
      <c r="I42" s="41"/>
      <c r="J42" s="41"/>
      <c r="K42" s="8"/>
      <c r="L42" s="42" t="str">
        <f aca="false">IF(OR(B42="",I42=""),"",ROUND((IF(J42="",AsOf,J42)-I42)/365.25,1))</f>
        <v/>
      </c>
      <c r="M42" s="8"/>
      <c r="N42" s="8"/>
      <c r="O42" s="8"/>
      <c r="P42" s="8"/>
      <c r="Q42" s="41"/>
      <c r="R42" s="43" t="str">
        <f aca="false">IF(OR(B42="",Q42=""),"",INT((AsOf-Q42)/365.25))</f>
        <v/>
      </c>
      <c r="S42" s="8"/>
      <c r="T42" s="40"/>
      <c r="U42" s="40"/>
      <c r="V42" s="40"/>
      <c r="W42" s="40"/>
      <c r="X42" s="8"/>
      <c r="Y42" s="8"/>
      <c r="Z42" s="8"/>
      <c r="AA42" s="8"/>
      <c r="AB42" s="8"/>
      <c r="AC42" s="8"/>
      <c r="AD42" s="8"/>
      <c r="AE42" s="40"/>
      <c r="AF42" s="8"/>
      <c r="AG42" s="40"/>
      <c r="AH42" s="40"/>
      <c r="AI42" s="8"/>
      <c r="AJ42" s="40"/>
      <c r="AK42" s="40"/>
      <c r="AL42" s="40"/>
      <c r="AM42" s="44"/>
      <c r="AN42" s="44"/>
      <c r="AO42" s="41"/>
      <c r="AP42" s="45" t="str">
        <f aca="false">IF(B42="","",IF(AND(ISNUMBER(AM42),ISNUMBER(AN42),AM42&gt;0,AN42&gt;0),AN42/AM42-1,""))</f>
        <v/>
      </c>
      <c r="AQ42" s="9" t="str">
        <f aca="false">IF(I42="","",(YEAR(I42)-IF(MONTH(I42)&lt;4,1,0))&amp;"-"&amp;RIGHT((YEAR(I42)-IF(MONTH(I42)&lt;4,1,0))+1,2))</f>
        <v/>
      </c>
      <c r="AR42" s="9" t="str">
        <f aca="false">IF(J42="","",(YEAR(J42)-IF(MONTH(J42)&lt;4,1,0))&amp;"-"&amp;RIGHT((YEAR(J42)-IF(MONTH(J42)&lt;4,1,0))+1,2))</f>
        <v/>
      </c>
      <c r="AS42" s="43" t="str">
        <f aca="false">IF(OR(B42="",Q42="",D42&lt;&gt;"Active"),"",DATE(YEAR(AsOf)+IF(DATE(YEAR(AsOf),MONTH(Q42),DAY(Q42))&lt;AsOf,1,0),MONTH(Q42),DAY(Q42))-AsOf)</f>
        <v/>
      </c>
      <c r="AT42" s="43" t="str">
        <f aca="false">IF(OR(B42="",I42="",D42&lt;&gt;"Active"),"",IF(YEAR(DATE(YEAR(AsOf)+IF(DATE(YEAR(AsOf),MONTH(I42),DAY(I42))&lt;AsOf,1,0),MONTH(I42),DAY(I42)))-YEAR(I42)&lt;1,"",DATE(YEAR(AsOf)+IF(DATE(YEAR(AsOf),MONTH(I42),DAY(I42))&lt;AsOf,1,0),MONTH(I42),DAY(I42))-AsOf))</f>
        <v/>
      </c>
      <c r="AU42" s="43" t="str">
        <f aca="false">IF(B42="","",IF(AV42="",0,LEN(AV42)-LEN(SUBSTITUTE(AV42,";",""))))</f>
        <v/>
      </c>
      <c r="AV42" s="9" t="str">
        <f aca="false">IF(B42="","",IF(COUNTIF($B$6:$B$505,B42)&gt;1,"Duplicate Emp Code; ","")&amp;IF(C42="","Name missing; ","")&amp;IF(I42="","DOJ missing; ","")&amp;IF(AND(J42&lt;&gt;"",I42&lt;&gt;"",J42&lt;I42),"Exit before DOJ; ","")&amp;IF(Q42="","DOB missing; ","")&amp;IF(T42="","Aadhaar missing; ",IF(LEN(T42)&lt;&gt;12,"Aadhaar not 12 digits; ",IF(COUNTIF($T$6:$T$505,T42)&gt;1,"Duplicate Aadhaar; ","")))&amp;IF(U42="","PAN missing; ",IF(LEN(U42)&lt;&gt;10,"PAN not 10 chars; ",""))&amp;IF(V42="","Mobile missing; ",IF(LEN(V42)&lt;&gt;10,"Mobile not 10 digits; ",""))&amp;IF(AG42="","Bank A/c missing; ","")&amp;IF(AH42="","IFSC missing; ",IF(LEN(AH42)&lt;&gt;11,"IFSC not 11 chars; ","")))</f>
        <v/>
      </c>
      <c r="AW42" s="46" t="str">
        <f aca="false">IF(AS42="","",AS42+ROW()/100000)</f>
        <v/>
      </c>
      <c r="AX42" s="46" t="str">
        <f aca="false">IF(AT42="","",AT42+ROW()/100000)</f>
        <v/>
      </c>
    </row>
    <row r="43" customFormat="false" ht="15" hidden="false" customHeight="false" outlineLevel="0" collapsed="false">
      <c r="A43" s="9" t="str">
        <f aca="false">IF(B43="","",ROW()-5)</f>
        <v/>
      </c>
      <c r="B43" s="40"/>
      <c r="C43" s="8"/>
      <c r="D43" s="9" t="str">
        <f aca="false">IF(B43="","",IF(J43="","Active","Exited"))</f>
        <v/>
      </c>
      <c r="E43" s="8"/>
      <c r="F43" s="8"/>
      <c r="G43" s="8"/>
      <c r="H43" s="9" t="str">
        <f aca="false">IF(OR(B43="",I43=""),"",IF(IF(J43="",AsOf,J43)-I43&gt;=Settings!$C$13,"Permanent","Probation"))</f>
        <v/>
      </c>
      <c r="I43" s="41"/>
      <c r="J43" s="41"/>
      <c r="K43" s="8"/>
      <c r="L43" s="42" t="str">
        <f aca="false">IF(OR(B43="",I43=""),"",ROUND((IF(J43="",AsOf,J43)-I43)/365.25,1))</f>
        <v/>
      </c>
      <c r="M43" s="8"/>
      <c r="N43" s="8"/>
      <c r="O43" s="8"/>
      <c r="P43" s="8"/>
      <c r="Q43" s="41"/>
      <c r="R43" s="43" t="str">
        <f aca="false">IF(OR(B43="",Q43=""),"",INT((AsOf-Q43)/365.25))</f>
        <v/>
      </c>
      <c r="S43" s="8"/>
      <c r="T43" s="40"/>
      <c r="U43" s="40"/>
      <c r="V43" s="40"/>
      <c r="W43" s="40"/>
      <c r="X43" s="8"/>
      <c r="Y43" s="8"/>
      <c r="Z43" s="8"/>
      <c r="AA43" s="8"/>
      <c r="AB43" s="8"/>
      <c r="AC43" s="8"/>
      <c r="AD43" s="8"/>
      <c r="AE43" s="40"/>
      <c r="AF43" s="8"/>
      <c r="AG43" s="40"/>
      <c r="AH43" s="40"/>
      <c r="AI43" s="8"/>
      <c r="AJ43" s="40"/>
      <c r="AK43" s="40"/>
      <c r="AL43" s="40"/>
      <c r="AM43" s="44"/>
      <c r="AN43" s="44"/>
      <c r="AO43" s="41"/>
      <c r="AP43" s="45" t="str">
        <f aca="false">IF(B43="","",IF(AND(ISNUMBER(AM43),ISNUMBER(AN43),AM43&gt;0,AN43&gt;0),AN43/AM43-1,""))</f>
        <v/>
      </c>
      <c r="AQ43" s="9" t="str">
        <f aca="false">IF(I43="","",(YEAR(I43)-IF(MONTH(I43)&lt;4,1,0))&amp;"-"&amp;RIGHT((YEAR(I43)-IF(MONTH(I43)&lt;4,1,0))+1,2))</f>
        <v/>
      </c>
      <c r="AR43" s="9" t="str">
        <f aca="false">IF(J43="","",(YEAR(J43)-IF(MONTH(J43)&lt;4,1,0))&amp;"-"&amp;RIGHT((YEAR(J43)-IF(MONTH(J43)&lt;4,1,0))+1,2))</f>
        <v/>
      </c>
      <c r="AS43" s="43" t="str">
        <f aca="false">IF(OR(B43="",Q43="",D43&lt;&gt;"Active"),"",DATE(YEAR(AsOf)+IF(DATE(YEAR(AsOf),MONTH(Q43),DAY(Q43))&lt;AsOf,1,0),MONTH(Q43),DAY(Q43))-AsOf)</f>
        <v/>
      </c>
      <c r="AT43" s="43" t="str">
        <f aca="false">IF(OR(B43="",I43="",D43&lt;&gt;"Active"),"",IF(YEAR(DATE(YEAR(AsOf)+IF(DATE(YEAR(AsOf),MONTH(I43),DAY(I43))&lt;AsOf,1,0),MONTH(I43),DAY(I43)))-YEAR(I43)&lt;1,"",DATE(YEAR(AsOf)+IF(DATE(YEAR(AsOf),MONTH(I43),DAY(I43))&lt;AsOf,1,0),MONTH(I43),DAY(I43))-AsOf))</f>
        <v/>
      </c>
      <c r="AU43" s="43" t="str">
        <f aca="false">IF(B43="","",IF(AV43="",0,LEN(AV43)-LEN(SUBSTITUTE(AV43,";",""))))</f>
        <v/>
      </c>
      <c r="AV43" s="9" t="str">
        <f aca="false">IF(B43="","",IF(COUNTIF($B$6:$B$505,B43)&gt;1,"Duplicate Emp Code; ","")&amp;IF(C43="","Name missing; ","")&amp;IF(I43="","DOJ missing; ","")&amp;IF(AND(J43&lt;&gt;"",I43&lt;&gt;"",J43&lt;I43),"Exit before DOJ; ","")&amp;IF(Q43="","DOB missing; ","")&amp;IF(T43="","Aadhaar missing; ",IF(LEN(T43)&lt;&gt;12,"Aadhaar not 12 digits; ",IF(COUNTIF($T$6:$T$505,T43)&gt;1,"Duplicate Aadhaar; ","")))&amp;IF(U43="","PAN missing; ",IF(LEN(U43)&lt;&gt;10,"PAN not 10 chars; ",""))&amp;IF(V43="","Mobile missing; ",IF(LEN(V43)&lt;&gt;10,"Mobile not 10 digits; ",""))&amp;IF(AG43="","Bank A/c missing; ","")&amp;IF(AH43="","IFSC missing; ",IF(LEN(AH43)&lt;&gt;11,"IFSC not 11 chars; ","")))</f>
        <v/>
      </c>
      <c r="AW43" s="46" t="str">
        <f aca="false">IF(AS43="","",AS43+ROW()/100000)</f>
        <v/>
      </c>
      <c r="AX43" s="46" t="str">
        <f aca="false">IF(AT43="","",AT43+ROW()/100000)</f>
        <v/>
      </c>
    </row>
    <row r="44" customFormat="false" ht="15" hidden="false" customHeight="false" outlineLevel="0" collapsed="false">
      <c r="A44" s="9" t="str">
        <f aca="false">IF(B44="","",ROW()-5)</f>
        <v/>
      </c>
      <c r="B44" s="40"/>
      <c r="C44" s="8"/>
      <c r="D44" s="9" t="str">
        <f aca="false">IF(B44="","",IF(J44="","Active","Exited"))</f>
        <v/>
      </c>
      <c r="E44" s="8"/>
      <c r="F44" s="8"/>
      <c r="G44" s="8"/>
      <c r="H44" s="9" t="str">
        <f aca="false">IF(OR(B44="",I44=""),"",IF(IF(J44="",AsOf,J44)-I44&gt;=Settings!$C$13,"Permanent","Probation"))</f>
        <v/>
      </c>
      <c r="I44" s="41"/>
      <c r="J44" s="41"/>
      <c r="K44" s="8"/>
      <c r="L44" s="42" t="str">
        <f aca="false">IF(OR(B44="",I44=""),"",ROUND((IF(J44="",AsOf,J44)-I44)/365.25,1))</f>
        <v/>
      </c>
      <c r="M44" s="8"/>
      <c r="N44" s="8"/>
      <c r="O44" s="8"/>
      <c r="P44" s="8"/>
      <c r="Q44" s="41"/>
      <c r="R44" s="43" t="str">
        <f aca="false">IF(OR(B44="",Q44=""),"",INT((AsOf-Q44)/365.25))</f>
        <v/>
      </c>
      <c r="S44" s="8"/>
      <c r="T44" s="40"/>
      <c r="U44" s="40"/>
      <c r="V44" s="40"/>
      <c r="W44" s="40"/>
      <c r="X44" s="8"/>
      <c r="Y44" s="8"/>
      <c r="Z44" s="8"/>
      <c r="AA44" s="8"/>
      <c r="AB44" s="8"/>
      <c r="AC44" s="8"/>
      <c r="AD44" s="8"/>
      <c r="AE44" s="40"/>
      <c r="AF44" s="8"/>
      <c r="AG44" s="40"/>
      <c r="AH44" s="40"/>
      <c r="AI44" s="8"/>
      <c r="AJ44" s="40"/>
      <c r="AK44" s="40"/>
      <c r="AL44" s="40"/>
      <c r="AM44" s="44"/>
      <c r="AN44" s="44"/>
      <c r="AO44" s="41"/>
      <c r="AP44" s="45" t="str">
        <f aca="false">IF(B44="","",IF(AND(ISNUMBER(AM44),ISNUMBER(AN44),AM44&gt;0,AN44&gt;0),AN44/AM44-1,""))</f>
        <v/>
      </c>
      <c r="AQ44" s="9" t="str">
        <f aca="false">IF(I44="","",(YEAR(I44)-IF(MONTH(I44)&lt;4,1,0))&amp;"-"&amp;RIGHT((YEAR(I44)-IF(MONTH(I44)&lt;4,1,0))+1,2))</f>
        <v/>
      </c>
      <c r="AR44" s="9" t="str">
        <f aca="false">IF(J44="","",(YEAR(J44)-IF(MONTH(J44)&lt;4,1,0))&amp;"-"&amp;RIGHT((YEAR(J44)-IF(MONTH(J44)&lt;4,1,0))+1,2))</f>
        <v/>
      </c>
      <c r="AS44" s="43" t="str">
        <f aca="false">IF(OR(B44="",Q44="",D44&lt;&gt;"Active"),"",DATE(YEAR(AsOf)+IF(DATE(YEAR(AsOf),MONTH(Q44),DAY(Q44))&lt;AsOf,1,0),MONTH(Q44),DAY(Q44))-AsOf)</f>
        <v/>
      </c>
      <c r="AT44" s="43" t="str">
        <f aca="false">IF(OR(B44="",I44="",D44&lt;&gt;"Active"),"",IF(YEAR(DATE(YEAR(AsOf)+IF(DATE(YEAR(AsOf),MONTH(I44),DAY(I44))&lt;AsOf,1,0),MONTH(I44),DAY(I44)))-YEAR(I44)&lt;1,"",DATE(YEAR(AsOf)+IF(DATE(YEAR(AsOf),MONTH(I44),DAY(I44))&lt;AsOf,1,0),MONTH(I44),DAY(I44))-AsOf))</f>
        <v/>
      </c>
      <c r="AU44" s="43" t="str">
        <f aca="false">IF(B44="","",IF(AV44="",0,LEN(AV44)-LEN(SUBSTITUTE(AV44,";",""))))</f>
        <v/>
      </c>
      <c r="AV44" s="9" t="str">
        <f aca="false">IF(B44="","",IF(COUNTIF($B$6:$B$505,B44)&gt;1,"Duplicate Emp Code; ","")&amp;IF(C44="","Name missing; ","")&amp;IF(I44="","DOJ missing; ","")&amp;IF(AND(J44&lt;&gt;"",I44&lt;&gt;"",J44&lt;I44),"Exit before DOJ; ","")&amp;IF(Q44="","DOB missing; ","")&amp;IF(T44="","Aadhaar missing; ",IF(LEN(T44)&lt;&gt;12,"Aadhaar not 12 digits; ",IF(COUNTIF($T$6:$T$505,T44)&gt;1,"Duplicate Aadhaar; ","")))&amp;IF(U44="","PAN missing; ",IF(LEN(U44)&lt;&gt;10,"PAN not 10 chars; ",""))&amp;IF(V44="","Mobile missing; ",IF(LEN(V44)&lt;&gt;10,"Mobile not 10 digits; ",""))&amp;IF(AG44="","Bank A/c missing; ","")&amp;IF(AH44="","IFSC missing; ",IF(LEN(AH44)&lt;&gt;11,"IFSC not 11 chars; ","")))</f>
        <v/>
      </c>
      <c r="AW44" s="46" t="str">
        <f aca="false">IF(AS44="","",AS44+ROW()/100000)</f>
        <v/>
      </c>
      <c r="AX44" s="46" t="str">
        <f aca="false">IF(AT44="","",AT44+ROW()/100000)</f>
        <v/>
      </c>
    </row>
    <row r="45" customFormat="false" ht="15" hidden="false" customHeight="false" outlineLevel="0" collapsed="false">
      <c r="A45" s="9" t="str">
        <f aca="false">IF(B45="","",ROW()-5)</f>
        <v/>
      </c>
      <c r="B45" s="40"/>
      <c r="C45" s="8"/>
      <c r="D45" s="9" t="str">
        <f aca="false">IF(B45="","",IF(J45="","Active","Exited"))</f>
        <v/>
      </c>
      <c r="E45" s="8"/>
      <c r="F45" s="8"/>
      <c r="G45" s="8"/>
      <c r="H45" s="9" t="str">
        <f aca="false">IF(OR(B45="",I45=""),"",IF(IF(J45="",AsOf,J45)-I45&gt;=Settings!$C$13,"Permanent","Probation"))</f>
        <v/>
      </c>
      <c r="I45" s="41"/>
      <c r="J45" s="41"/>
      <c r="K45" s="8"/>
      <c r="L45" s="42" t="str">
        <f aca="false">IF(OR(B45="",I45=""),"",ROUND((IF(J45="",AsOf,J45)-I45)/365.25,1))</f>
        <v/>
      </c>
      <c r="M45" s="8"/>
      <c r="N45" s="8"/>
      <c r="O45" s="8"/>
      <c r="P45" s="8"/>
      <c r="Q45" s="41"/>
      <c r="R45" s="43" t="str">
        <f aca="false">IF(OR(B45="",Q45=""),"",INT((AsOf-Q45)/365.25))</f>
        <v/>
      </c>
      <c r="S45" s="8"/>
      <c r="T45" s="40"/>
      <c r="U45" s="40"/>
      <c r="V45" s="40"/>
      <c r="W45" s="40"/>
      <c r="X45" s="8"/>
      <c r="Y45" s="8"/>
      <c r="Z45" s="8"/>
      <c r="AA45" s="8"/>
      <c r="AB45" s="8"/>
      <c r="AC45" s="8"/>
      <c r="AD45" s="8"/>
      <c r="AE45" s="40"/>
      <c r="AF45" s="8"/>
      <c r="AG45" s="40"/>
      <c r="AH45" s="40"/>
      <c r="AI45" s="8"/>
      <c r="AJ45" s="40"/>
      <c r="AK45" s="40"/>
      <c r="AL45" s="40"/>
      <c r="AM45" s="44"/>
      <c r="AN45" s="44"/>
      <c r="AO45" s="41"/>
      <c r="AP45" s="45" t="str">
        <f aca="false">IF(B45="","",IF(AND(ISNUMBER(AM45),ISNUMBER(AN45),AM45&gt;0,AN45&gt;0),AN45/AM45-1,""))</f>
        <v/>
      </c>
      <c r="AQ45" s="9" t="str">
        <f aca="false">IF(I45="","",(YEAR(I45)-IF(MONTH(I45)&lt;4,1,0))&amp;"-"&amp;RIGHT((YEAR(I45)-IF(MONTH(I45)&lt;4,1,0))+1,2))</f>
        <v/>
      </c>
      <c r="AR45" s="9" t="str">
        <f aca="false">IF(J45="","",(YEAR(J45)-IF(MONTH(J45)&lt;4,1,0))&amp;"-"&amp;RIGHT((YEAR(J45)-IF(MONTH(J45)&lt;4,1,0))+1,2))</f>
        <v/>
      </c>
      <c r="AS45" s="43" t="str">
        <f aca="false">IF(OR(B45="",Q45="",D45&lt;&gt;"Active"),"",DATE(YEAR(AsOf)+IF(DATE(YEAR(AsOf),MONTH(Q45),DAY(Q45))&lt;AsOf,1,0),MONTH(Q45),DAY(Q45))-AsOf)</f>
        <v/>
      </c>
      <c r="AT45" s="43" t="str">
        <f aca="false">IF(OR(B45="",I45="",D45&lt;&gt;"Active"),"",IF(YEAR(DATE(YEAR(AsOf)+IF(DATE(YEAR(AsOf),MONTH(I45),DAY(I45))&lt;AsOf,1,0),MONTH(I45),DAY(I45)))-YEAR(I45)&lt;1,"",DATE(YEAR(AsOf)+IF(DATE(YEAR(AsOf),MONTH(I45),DAY(I45))&lt;AsOf,1,0),MONTH(I45),DAY(I45))-AsOf))</f>
        <v/>
      </c>
      <c r="AU45" s="43" t="str">
        <f aca="false">IF(B45="","",IF(AV45="",0,LEN(AV45)-LEN(SUBSTITUTE(AV45,";",""))))</f>
        <v/>
      </c>
      <c r="AV45" s="9" t="str">
        <f aca="false">IF(B45="","",IF(COUNTIF($B$6:$B$505,B45)&gt;1,"Duplicate Emp Code; ","")&amp;IF(C45="","Name missing; ","")&amp;IF(I45="","DOJ missing; ","")&amp;IF(AND(J45&lt;&gt;"",I45&lt;&gt;"",J45&lt;I45),"Exit before DOJ; ","")&amp;IF(Q45="","DOB missing; ","")&amp;IF(T45="","Aadhaar missing; ",IF(LEN(T45)&lt;&gt;12,"Aadhaar not 12 digits; ",IF(COUNTIF($T$6:$T$505,T45)&gt;1,"Duplicate Aadhaar; ","")))&amp;IF(U45="","PAN missing; ",IF(LEN(U45)&lt;&gt;10,"PAN not 10 chars; ",""))&amp;IF(V45="","Mobile missing; ",IF(LEN(V45)&lt;&gt;10,"Mobile not 10 digits; ",""))&amp;IF(AG45="","Bank A/c missing; ","")&amp;IF(AH45="","IFSC missing; ",IF(LEN(AH45)&lt;&gt;11,"IFSC not 11 chars; ","")))</f>
        <v/>
      </c>
      <c r="AW45" s="46" t="str">
        <f aca="false">IF(AS45="","",AS45+ROW()/100000)</f>
        <v/>
      </c>
      <c r="AX45" s="46" t="str">
        <f aca="false">IF(AT45="","",AT45+ROW()/100000)</f>
        <v/>
      </c>
    </row>
    <row r="46" customFormat="false" ht="15" hidden="false" customHeight="false" outlineLevel="0" collapsed="false">
      <c r="A46" s="9" t="str">
        <f aca="false">IF(B46="","",ROW()-5)</f>
        <v/>
      </c>
      <c r="B46" s="40"/>
      <c r="C46" s="8"/>
      <c r="D46" s="9" t="str">
        <f aca="false">IF(B46="","",IF(J46="","Active","Exited"))</f>
        <v/>
      </c>
      <c r="E46" s="8"/>
      <c r="F46" s="8"/>
      <c r="G46" s="8"/>
      <c r="H46" s="9" t="str">
        <f aca="false">IF(OR(B46="",I46=""),"",IF(IF(J46="",AsOf,J46)-I46&gt;=Settings!$C$13,"Permanent","Probation"))</f>
        <v/>
      </c>
      <c r="I46" s="41"/>
      <c r="J46" s="41"/>
      <c r="K46" s="8"/>
      <c r="L46" s="42" t="str">
        <f aca="false">IF(OR(B46="",I46=""),"",ROUND((IF(J46="",AsOf,J46)-I46)/365.25,1))</f>
        <v/>
      </c>
      <c r="M46" s="8"/>
      <c r="N46" s="8"/>
      <c r="O46" s="8"/>
      <c r="P46" s="8"/>
      <c r="Q46" s="41"/>
      <c r="R46" s="43" t="str">
        <f aca="false">IF(OR(B46="",Q46=""),"",INT((AsOf-Q46)/365.25))</f>
        <v/>
      </c>
      <c r="S46" s="8"/>
      <c r="T46" s="40"/>
      <c r="U46" s="40"/>
      <c r="V46" s="40"/>
      <c r="W46" s="40"/>
      <c r="X46" s="8"/>
      <c r="Y46" s="8"/>
      <c r="Z46" s="8"/>
      <c r="AA46" s="8"/>
      <c r="AB46" s="8"/>
      <c r="AC46" s="8"/>
      <c r="AD46" s="8"/>
      <c r="AE46" s="40"/>
      <c r="AF46" s="8"/>
      <c r="AG46" s="40"/>
      <c r="AH46" s="40"/>
      <c r="AI46" s="8"/>
      <c r="AJ46" s="40"/>
      <c r="AK46" s="40"/>
      <c r="AL46" s="40"/>
      <c r="AM46" s="44"/>
      <c r="AN46" s="44"/>
      <c r="AO46" s="41"/>
      <c r="AP46" s="45" t="str">
        <f aca="false">IF(B46="","",IF(AND(ISNUMBER(AM46),ISNUMBER(AN46),AM46&gt;0,AN46&gt;0),AN46/AM46-1,""))</f>
        <v/>
      </c>
      <c r="AQ46" s="9" t="str">
        <f aca="false">IF(I46="","",(YEAR(I46)-IF(MONTH(I46)&lt;4,1,0))&amp;"-"&amp;RIGHT((YEAR(I46)-IF(MONTH(I46)&lt;4,1,0))+1,2))</f>
        <v/>
      </c>
      <c r="AR46" s="9" t="str">
        <f aca="false">IF(J46="","",(YEAR(J46)-IF(MONTH(J46)&lt;4,1,0))&amp;"-"&amp;RIGHT((YEAR(J46)-IF(MONTH(J46)&lt;4,1,0))+1,2))</f>
        <v/>
      </c>
      <c r="AS46" s="43" t="str">
        <f aca="false">IF(OR(B46="",Q46="",D46&lt;&gt;"Active"),"",DATE(YEAR(AsOf)+IF(DATE(YEAR(AsOf),MONTH(Q46),DAY(Q46))&lt;AsOf,1,0),MONTH(Q46),DAY(Q46))-AsOf)</f>
        <v/>
      </c>
      <c r="AT46" s="43" t="str">
        <f aca="false">IF(OR(B46="",I46="",D46&lt;&gt;"Active"),"",IF(YEAR(DATE(YEAR(AsOf)+IF(DATE(YEAR(AsOf),MONTH(I46),DAY(I46))&lt;AsOf,1,0),MONTH(I46),DAY(I46)))-YEAR(I46)&lt;1,"",DATE(YEAR(AsOf)+IF(DATE(YEAR(AsOf),MONTH(I46),DAY(I46))&lt;AsOf,1,0),MONTH(I46),DAY(I46))-AsOf))</f>
        <v/>
      </c>
      <c r="AU46" s="43" t="str">
        <f aca="false">IF(B46="","",IF(AV46="",0,LEN(AV46)-LEN(SUBSTITUTE(AV46,";",""))))</f>
        <v/>
      </c>
      <c r="AV46" s="9" t="str">
        <f aca="false">IF(B46="","",IF(COUNTIF($B$6:$B$505,B46)&gt;1,"Duplicate Emp Code; ","")&amp;IF(C46="","Name missing; ","")&amp;IF(I46="","DOJ missing; ","")&amp;IF(AND(J46&lt;&gt;"",I46&lt;&gt;"",J46&lt;I46),"Exit before DOJ; ","")&amp;IF(Q46="","DOB missing; ","")&amp;IF(T46="","Aadhaar missing; ",IF(LEN(T46)&lt;&gt;12,"Aadhaar not 12 digits; ",IF(COUNTIF($T$6:$T$505,T46)&gt;1,"Duplicate Aadhaar; ","")))&amp;IF(U46="","PAN missing; ",IF(LEN(U46)&lt;&gt;10,"PAN not 10 chars; ",""))&amp;IF(V46="","Mobile missing; ",IF(LEN(V46)&lt;&gt;10,"Mobile not 10 digits; ",""))&amp;IF(AG46="","Bank A/c missing; ","")&amp;IF(AH46="","IFSC missing; ",IF(LEN(AH46)&lt;&gt;11,"IFSC not 11 chars; ","")))</f>
        <v/>
      </c>
      <c r="AW46" s="46" t="str">
        <f aca="false">IF(AS46="","",AS46+ROW()/100000)</f>
        <v/>
      </c>
      <c r="AX46" s="46" t="str">
        <f aca="false">IF(AT46="","",AT46+ROW()/100000)</f>
        <v/>
      </c>
    </row>
    <row r="47" customFormat="false" ht="15" hidden="false" customHeight="false" outlineLevel="0" collapsed="false">
      <c r="A47" s="9" t="str">
        <f aca="false">IF(B47="","",ROW()-5)</f>
        <v/>
      </c>
      <c r="B47" s="40"/>
      <c r="C47" s="8"/>
      <c r="D47" s="9" t="str">
        <f aca="false">IF(B47="","",IF(J47="","Active","Exited"))</f>
        <v/>
      </c>
      <c r="E47" s="8"/>
      <c r="F47" s="8"/>
      <c r="G47" s="8"/>
      <c r="H47" s="9" t="str">
        <f aca="false">IF(OR(B47="",I47=""),"",IF(IF(J47="",AsOf,J47)-I47&gt;=Settings!$C$13,"Permanent","Probation"))</f>
        <v/>
      </c>
      <c r="I47" s="41"/>
      <c r="J47" s="41"/>
      <c r="K47" s="8"/>
      <c r="L47" s="42" t="str">
        <f aca="false">IF(OR(B47="",I47=""),"",ROUND((IF(J47="",AsOf,J47)-I47)/365.25,1))</f>
        <v/>
      </c>
      <c r="M47" s="8"/>
      <c r="N47" s="8"/>
      <c r="O47" s="8"/>
      <c r="P47" s="8"/>
      <c r="Q47" s="41"/>
      <c r="R47" s="43" t="str">
        <f aca="false">IF(OR(B47="",Q47=""),"",INT((AsOf-Q47)/365.25))</f>
        <v/>
      </c>
      <c r="S47" s="8"/>
      <c r="T47" s="40"/>
      <c r="U47" s="40"/>
      <c r="V47" s="40"/>
      <c r="W47" s="40"/>
      <c r="X47" s="8"/>
      <c r="Y47" s="8"/>
      <c r="Z47" s="8"/>
      <c r="AA47" s="8"/>
      <c r="AB47" s="8"/>
      <c r="AC47" s="8"/>
      <c r="AD47" s="8"/>
      <c r="AE47" s="40"/>
      <c r="AF47" s="8"/>
      <c r="AG47" s="40"/>
      <c r="AH47" s="40"/>
      <c r="AI47" s="8"/>
      <c r="AJ47" s="40"/>
      <c r="AK47" s="40"/>
      <c r="AL47" s="40"/>
      <c r="AM47" s="44"/>
      <c r="AN47" s="44"/>
      <c r="AO47" s="41"/>
      <c r="AP47" s="45" t="str">
        <f aca="false">IF(B47="","",IF(AND(ISNUMBER(AM47),ISNUMBER(AN47),AM47&gt;0,AN47&gt;0),AN47/AM47-1,""))</f>
        <v/>
      </c>
      <c r="AQ47" s="9" t="str">
        <f aca="false">IF(I47="","",(YEAR(I47)-IF(MONTH(I47)&lt;4,1,0))&amp;"-"&amp;RIGHT((YEAR(I47)-IF(MONTH(I47)&lt;4,1,0))+1,2))</f>
        <v/>
      </c>
      <c r="AR47" s="9" t="str">
        <f aca="false">IF(J47="","",(YEAR(J47)-IF(MONTH(J47)&lt;4,1,0))&amp;"-"&amp;RIGHT((YEAR(J47)-IF(MONTH(J47)&lt;4,1,0))+1,2))</f>
        <v/>
      </c>
      <c r="AS47" s="43" t="str">
        <f aca="false">IF(OR(B47="",Q47="",D47&lt;&gt;"Active"),"",DATE(YEAR(AsOf)+IF(DATE(YEAR(AsOf),MONTH(Q47),DAY(Q47))&lt;AsOf,1,0),MONTH(Q47),DAY(Q47))-AsOf)</f>
        <v/>
      </c>
      <c r="AT47" s="43" t="str">
        <f aca="false">IF(OR(B47="",I47="",D47&lt;&gt;"Active"),"",IF(YEAR(DATE(YEAR(AsOf)+IF(DATE(YEAR(AsOf),MONTH(I47),DAY(I47))&lt;AsOf,1,0),MONTH(I47),DAY(I47)))-YEAR(I47)&lt;1,"",DATE(YEAR(AsOf)+IF(DATE(YEAR(AsOf),MONTH(I47),DAY(I47))&lt;AsOf,1,0),MONTH(I47),DAY(I47))-AsOf))</f>
        <v/>
      </c>
      <c r="AU47" s="43" t="str">
        <f aca="false">IF(B47="","",IF(AV47="",0,LEN(AV47)-LEN(SUBSTITUTE(AV47,";",""))))</f>
        <v/>
      </c>
      <c r="AV47" s="9" t="str">
        <f aca="false">IF(B47="","",IF(COUNTIF($B$6:$B$505,B47)&gt;1,"Duplicate Emp Code; ","")&amp;IF(C47="","Name missing; ","")&amp;IF(I47="","DOJ missing; ","")&amp;IF(AND(J47&lt;&gt;"",I47&lt;&gt;"",J47&lt;I47),"Exit before DOJ; ","")&amp;IF(Q47="","DOB missing; ","")&amp;IF(T47="","Aadhaar missing; ",IF(LEN(T47)&lt;&gt;12,"Aadhaar not 12 digits; ",IF(COUNTIF($T$6:$T$505,T47)&gt;1,"Duplicate Aadhaar; ","")))&amp;IF(U47="","PAN missing; ",IF(LEN(U47)&lt;&gt;10,"PAN not 10 chars; ",""))&amp;IF(V47="","Mobile missing; ",IF(LEN(V47)&lt;&gt;10,"Mobile not 10 digits; ",""))&amp;IF(AG47="","Bank A/c missing; ","")&amp;IF(AH47="","IFSC missing; ",IF(LEN(AH47)&lt;&gt;11,"IFSC not 11 chars; ","")))</f>
        <v/>
      </c>
      <c r="AW47" s="46" t="str">
        <f aca="false">IF(AS47="","",AS47+ROW()/100000)</f>
        <v/>
      </c>
      <c r="AX47" s="46" t="str">
        <f aca="false">IF(AT47="","",AT47+ROW()/100000)</f>
        <v/>
      </c>
    </row>
    <row r="48" customFormat="false" ht="15" hidden="false" customHeight="false" outlineLevel="0" collapsed="false">
      <c r="A48" s="9" t="str">
        <f aca="false">IF(B48="","",ROW()-5)</f>
        <v/>
      </c>
      <c r="B48" s="40"/>
      <c r="C48" s="8"/>
      <c r="D48" s="9" t="str">
        <f aca="false">IF(B48="","",IF(J48="","Active","Exited"))</f>
        <v/>
      </c>
      <c r="E48" s="8"/>
      <c r="F48" s="8"/>
      <c r="G48" s="8"/>
      <c r="H48" s="9" t="str">
        <f aca="false">IF(OR(B48="",I48=""),"",IF(IF(J48="",AsOf,J48)-I48&gt;=Settings!$C$13,"Permanent","Probation"))</f>
        <v/>
      </c>
      <c r="I48" s="41"/>
      <c r="J48" s="41"/>
      <c r="K48" s="8"/>
      <c r="L48" s="42" t="str">
        <f aca="false">IF(OR(B48="",I48=""),"",ROUND((IF(J48="",AsOf,J48)-I48)/365.25,1))</f>
        <v/>
      </c>
      <c r="M48" s="8"/>
      <c r="N48" s="8"/>
      <c r="O48" s="8"/>
      <c r="P48" s="8"/>
      <c r="Q48" s="41"/>
      <c r="R48" s="43" t="str">
        <f aca="false">IF(OR(B48="",Q48=""),"",INT((AsOf-Q48)/365.25))</f>
        <v/>
      </c>
      <c r="S48" s="8"/>
      <c r="T48" s="40"/>
      <c r="U48" s="40"/>
      <c r="V48" s="40"/>
      <c r="W48" s="40"/>
      <c r="X48" s="8"/>
      <c r="Y48" s="8"/>
      <c r="Z48" s="8"/>
      <c r="AA48" s="8"/>
      <c r="AB48" s="8"/>
      <c r="AC48" s="8"/>
      <c r="AD48" s="8"/>
      <c r="AE48" s="40"/>
      <c r="AF48" s="8"/>
      <c r="AG48" s="40"/>
      <c r="AH48" s="40"/>
      <c r="AI48" s="8"/>
      <c r="AJ48" s="40"/>
      <c r="AK48" s="40"/>
      <c r="AL48" s="40"/>
      <c r="AM48" s="44"/>
      <c r="AN48" s="44"/>
      <c r="AO48" s="41"/>
      <c r="AP48" s="45" t="str">
        <f aca="false">IF(B48="","",IF(AND(ISNUMBER(AM48),ISNUMBER(AN48),AM48&gt;0,AN48&gt;0),AN48/AM48-1,""))</f>
        <v/>
      </c>
      <c r="AQ48" s="9" t="str">
        <f aca="false">IF(I48="","",(YEAR(I48)-IF(MONTH(I48)&lt;4,1,0))&amp;"-"&amp;RIGHT((YEAR(I48)-IF(MONTH(I48)&lt;4,1,0))+1,2))</f>
        <v/>
      </c>
      <c r="AR48" s="9" t="str">
        <f aca="false">IF(J48="","",(YEAR(J48)-IF(MONTH(J48)&lt;4,1,0))&amp;"-"&amp;RIGHT((YEAR(J48)-IF(MONTH(J48)&lt;4,1,0))+1,2))</f>
        <v/>
      </c>
      <c r="AS48" s="43" t="str">
        <f aca="false">IF(OR(B48="",Q48="",D48&lt;&gt;"Active"),"",DATE(YEAR(AsOf)+IF(DATE(YEAR(AsOf),MONTH(Q48),DAY(Q48))&lt;AsOf,1,0),MONTH(Q48),DAY(Q48))-AsOf)</f>
        <v/>
      </c>
      <c r="AT48" s="43" t="str">
        <f aca="false">IF(OR(B48="",I48="",D48&lt;&gt;"Active"),"",IF(YEAR(DATE(YEAR(AsOf)+IF(DATE(YEAR(AsOf),MONTH(I48),DAY(I48))&lt;AsOf,1,0),MONTH(I48),DAY(I48)))-YEAR(I48)&lt;1,"",DATE(YEAR(AsOf)+IF(DATE(YEAR(AsOf),MONTH(I48),DAY(I48))&lt;AsOf,1,0),MONTH(I48),DAY(I48))-AsOf))</f>
        <v/>
      </c>
      <c r="AU48" s="43" t="str">
        <f aca="false">IF(B48="","",IF(AV48="",0,LEN(AV48)-LEN(SUBSTITUTE(AV48,";",""))))</f>
        <v/>
      </c>
      <c r="AV48" s="9" t="str">
        <f aca="false">IF(B48="","",IF(COUNTIF($B$6:$B$505,B48)&gt;1,"Duplicate Emp Code; ","")&amp;IF(C48="","Name missing; ","")&amp;IF(I48="","DOJ missing; ","")&amp;IF(AND(J48&lt;&gt;"",I48&lt;&gt;"",J48&lt;I48),"Exit before DOJ; ","")&amp;IF(Q48="","DOB missing; ","")&amp;IF(T48="","Aadhaar missing; ",IF(LEN(T48)&lt;&gt;12,"Aadhaar not 12 digits; ",IF(COUNTIF($T$6:$T$505,T48)&gt;1,"Duplicate Aadhaar; ","")))&amp;IF(U48="","PAN missing; ",IF(LEN(U48)&lt;&gt;10,"PAN not 10 chars; ",""))&amp;IF(V48="","Mobile missing; ",IF(LEN(V48)&lt;&gt;10,"Mobile not 10 digits; ",""))&amp;IF(AG48="","Bank A/c missing; ","")&amp;IF(AH48="","IFSC missing; ",IF(LEN(AH48)&lt;&gt;11,"IFSC not 11 chars; ","")))</f>
        <v/>
      </c>
      <c r="AW48" s="46" t="str">
        <f aca="false">IF(AS48="","",AS48+ROW()/100000)</f>
        <v/>
      </c>
      <c r="AX48" s="46" t="str">
        <f aca="false">IF(AT48="","",AT48+ROW()/100000)</f>
        <v/>
      </c>
    </row>
    <row r="49" customFormat="false" ht="15" hidden="false" customHeight="false" outlineLevel="0" collapsed="false">
      <c r="A49" s="9" t="str">
        <f aca="false">IF(B49="","",ROW()-5)</f>
        <v/>
      </c>
      <c r="B49" s="40"/>
      <c r="C49" s="8"/>
      <c r="D49" s="9" t="str">
        <f aca="false">IF(B49="","",IF(J49="","Active","Exited"))</f>
        <v/>
      </c>
      <c r="E49" s="8"/>
      <c r="F49" s="8"/>
      <c r="G49" s="8"/>
      <c r="H49" s="9" t="str">
        <f aca="false">IF(OR(B49="",I49=""),"",IF(IF(J49="",AsOf,J49)-I49&gt;=Settings!$C$13,"Permanent","Probation"))</f>
        <v/>
      </c>
      <c r="I49" s="41"/>
      <c r="J49" s="41"/>
      <c r="K49" s="8"/>
      <c r="L49" s="42" t="str">
        <f aca="false">IF(OR(B49="",I49=""),"",ROUND((IF(J49="",AsOf,J49)-I49)/365.25,1))</f>
        <v/>
      </c>
      <c r="M49" s="8"/>
      <c r="N49" s="8"/>
      <c r="O49" s="8"/>
      <c r="P49" s="8"/>
      <c r="Q49" s="41"/>
      <c r="R49" s="43" t="str">
        <f aca="false">IF(OR(B49="",Q49=""),"",INT((AsOf-Q49)/365.25))</f>
        <v/>
      </c>
      <c r="S49" s="8"/>
      <c r="T49" s="40"/>
      <c r="U49" s="40"/>
      <c r="V49" s="40"/>
      <c r="W49" s="40"/>
      <c r="X49" s="8"/>
      <c r="Y49" s="8"/>
      <c r="Z49" s="8"/>
      <c r="AA49" s="8"/>
      <c r="AB49" s="8"/>
      <c r="AC49" s="8"/>
      <c r="AD49" s="8"/>
      <c r="AE49" s="40"/>
      <c r="AF49" s="8"/>
      <c r="AG49" s="40"/>
      <c r="AH49" s="40"/>
      <c r="AI49" s="8"/>
      <c r="AJ49" s="40"/>
      <c r="AK49" s="40"/>
      <c r="AL49" s="40"/>
      <c r="AM49" s="44"/>
      <c r="AN49" s="44"/>
      <c r="AO49" s="41"/>
      <c r="AP49" s="45" t="str">
        <f aca="false">IF(B49="","",IF(AND(ISNUMBER(AM49),ISNUMBER(AN49),AM49&gt;0,AN49&gt;0),AN49/AM49-1,""))</f>
        <v/>
      </c>
      <c r="AQ49" s="9" t="str">
        <f aca="false">IF(I49="","",(YEAR(I49)-IF(MONTH(I49)&lt;4,1,0))&amp;"-"&amp;RIGHT((YEAR(I49)-IF(MONTH(I49)&lt;4,1,0))+1,2))</f>
        <v/>
      </c>
      <c r="AR49" s="9" t="str">
        <f aca="false">IF(J49="","",(YEAR(J49)-IF(MONTH(J49)&lt;4,1,0))&amp;"-"&amp;RIGHT((YEAR(J49)-IF(MONTH(J49)&lt;4,1,0))+1,2))</f>
        <v/>
      </c>
      <c r="AS49" s="43" t="str">
        <f aca="false">IF(OR(B49="",Q49="",D49&lt;&gt;"Active"),"",DATE(YEAR(AsOf)+IF(DATE(YEAR(AsOf),MONTH(Q49),DAY(Q49))&lt;AsOf,1,0),MONTH(Q49),DAY(Q49))-AsOf)</f>
        <v/>
      </c>
      <c r="AT49" s="43" t="str">
        <f aca="false">IF(OR(B49="",I49="",D49&lt;&gt;"Active"),"",IF(YEAR(DATE(YEAR(AsOf)+IF(DATE(YEAR(AsOf),MONTH(I49),DAY(I49))&lt;AsOf,1,0),MONTH(I49),DAY(I49)))-YEAR(I49)&lt;1,"",DATE(YEAR(AsOf)+IF(DATE(YEAR(AsOf),MONTH(I49),DAY(I49))&lt;AsOf,1,0),MONTH(I49),DAY(I49))-AsOf))</f>
        <v/>
      </c>
      <c r="AU49" s="43" t="str">
        <f aca="false">IF(B49="","",IF(AV49="",0,LEN(AV49)-LEN(SUBSTITUTE(AV49,";",""))))</f>
        <v/>
      </c>
      <c r="AV49" s="9" t="str">
        <f aca="false">IF(B49="","",IF(COUNTIF($B$6:$B$505,B49)&gt;1,"Duplicate Emp Code; ","")&amp;IF(C49="","Name missing; ","")&amp;IF(I49="","DOJ missing; ","")&amp;IF(AND(J49&lt;&gt;"",I49&lt;&gt;"",J49&lt;I49),"Exit before DOJ; ","")&amp;IF(Q49="","DOB missing; ","")&amp;IF(T49="","Aadhaar missing; ",IF(LEN(T49)&lt;&gt;12,"Aadhaar not 12 digits; ",IF(COUNTIF($T$6:$T$505,T49)&gt;1,"Duplicate Aadhaar; ","")))&amp;IF(U49="","PAN missing; ",IF(LEN(U49)&lt;&gt;10,"PAN not 10 chars; ",""))&amp;IF(V49="","Mobile missing; ",IF(LEN(V49)&lt;&gt;10,"Mobile not 10 digits; ",""))&amp;IF(AG49="","Bank A/c missing; ","")&amp;IF(AH49="","IFSC missing; ",IF(LEN(AH49)&lt;&gt;11,"IFSC not 11 chars; ","")))</f>
        <v/>
      </c>
      <c r="AW49" s="46" t="str">
        <f aca="false">IF(AS49="","",AS49+ROW()/100000)</f>
        <v/>
      </c>
      <c r="AX49" s="46" t="str">
        <f aca="false">IF(AT49="","",AT49+ROW()/100000)</f>
        <v/>
      </c>
    </row>
    <row r="50" customFormat="false" ht="15" hidden="false" customHeight="false" outlineLevel="0" collapsed="false">
      <c r="A50" s="9" t="str">
        <f aca="false">IF(B50="","",ROW()-5)</f>
        <v/>
      </c>
      <c r="B50" s="40"/>
      <c r="C50" s="8"/>
      <c r="D50" s="9" t="str">
        <f aca="false">IF(B50="","",IF(J50="","Active","Exited"))</f>
        <v/>
      </c>
      <c r="E50" s="8"/>
      <c r="F50" s="8"/>
      <c r="G50" s="8"/>
      <c r="H50" s="9" t="str">
        <f aca="false">IF(OR(B50="",I50=""),"",IF(IF(J50="",AsOf,J50)-I50&gt;=Settings!$C$13,"Permanent","Probation"))</f>
        <v/>
      </c>
      <c r="I50" s="41"/>
      <c r="J50" s="41"/>
      <c r="K50" s="8"/>
      <c r="L50" s="42" t="str">
        <f aca="false">IF(OR(B50="",I50=""),"",ROUND((IF(J50="",AsOf,J50)-I50)/365.25,1))</f>
        <v/>
      </c>
      <c r="M50" s="8"/>
      <c r="N50" s="8"/>
      <c r="O50" s="8"/>
      <c r="P50" s="8"/>
      <c r="Q50" s="41"/>
      <c r="R50" s="43" t="str">
        <f aca="false">IF(OR(B50="",Q50=""),"",INT((AsOf-Q50)/365.25))</f>
        <v/>
      </c>
      <c r="S50" s="8"/>
      <c r="T50" s="40"/>
      <c r="U50" s="40"/>
      <c r="V50" s="40"/>
      <c r="W50" s="40"/>
      <c r="X50" s="8"/>
      <c r="Y50" s="8"/>
      <c r="Z50" s="8"/>
      <c r="AA50" s="8"/>
      <c r="AB50" s="8"/>
      <c r="AC50" s="8"/>
      <c r="AD50" s="8"/>
      <c r="AE50" s="40"/>
      <c r="AF50" s="8"/>
      <c r="AG50" s="40"/>
      <c r="AH50" s="40"/>
      <c r="AI50" s="8"/>
      <c r="AJ50" s="40"/>
      <c r="AK50" s="40"/>
      <c r="AL50" s="40"/>
      <c r="AM50" s="44"/>
      <c r="AN50" s="44"/>
      <c r="AO50" s="41"/>
      <c r="AP50" s="45" t="str">
        <f aca="false">IF(B50="","",IF(AND(ISNUMBER(AM50),ISNUMBER(AN50),AM50&gt;0,AN50&gt;0),AN50/AM50-1,""))</f>
        <v/>
      </c>
      <c r="AQ50" s="9" t="str">
        <f aca="false">IF(I50="","",(YEAR(I50)-IF(MONTH(I50)&lt;4,1,0))&amp;"-"&amp;RIGHT((YEAR(I50)-IF(MONTH(I50)&lt;4,1,0))+1,2))</f>
        <v/>
      </c>
      <c r="AR50" s="9" t="str">
        <f aca="false">IF(J50="","",(YEAR(J50)-IF(MONTH(J50)&lt;4,1,0))&amp;"-"&amp;RIGHT((YEAR(J50)-IF(MONTH(J50)&lt;4,1,0))+1,2))</f>
        <v/>
      </c>
      <c r="AS50" s="43" t="str">
        <f aca="false">IF(OR(B50="",Q50="",D50&lt;&gt;"Active"),"",DATE(YEAR(AsOf)+IF(DATE(YEAR(AsOf),MONTH(Q50),DAY(Q50))&lt;AsOf,1,0),MONTH(Q50),DAY(Q50))-AsOf)</f>
        <v/>
      </c>
      <c r="AT50" s="43" t="str">
        <f aca="false">IF(OR(B50="",I50="",D50&lt;&gt;"Active"),"",IF(YEAR(DATE(YEAR(AsOf)+IF(DATE(YEAR(AsOf),MONTH(I50),DAY(I50))&lt;AsOf,1,0),MONTH(I50),DAY(I50)))-YEAR(I50)&lt;1,"",DATE(YEAR(AsOf)+IF(DATE(YEAR(AsOf),MONTH(I50),DAY(I50))&lt;AsOf,1,0),MONTH(I50),DAY(I50))-AsOf))</f>
        <v/>
      </c>
      <c r="AU50" s="43" t="str">
        <f aca="false">IF(B50="","",IF(AV50="",0,LEN(AV50)-LEN(SUBSTITUTE(AV50,";",""))))</f>
        <v/>
      </c>
      <c r="AV50" s="9" t="str">
        <f aca="false">IF(B50="","",IF(COUNTIF($B$6:$B$505,B50)&gt;1,"Duplicate Emp Code; ","")&amp;IF(C50="","Name missing; ","")&amp;IF(I50="","DOJ missing; ","")&amp;IF(AND(J50&lt;&gt;"",I50&lt;&gt;"",J50&lt;I50),"Exit before DOJ; ","")&amp;IF(Q50="","DOB missing; ","")&amp;IF(T50="","Aadhaar missing; ",IF(LEN(T50)&lt;&gt;12,"Aadhaar not 12 digits; ",IF(COUNTIF($T$6:$T$505,T50)&gt;1,"Duplicate Aadhaar; ","")))&amp;IF(U50="","PAN missing; ",IF(LEN(U50)&lt;&gt;10,"PAN not 10 chars; ",""))&amp;IF(V50="","Mobile missing; ",IF(LEN(V50)&lt;&gt;10,"Mobile not 10 digits; ",""))&amp;IF(AG50="","Bank A/c missing; ","")&amp;IF(AH50="","IFSC missing; ",IF(LEN(AH50)&lt;&gt;11,"IFSC not 11 chars; ","")))</f>
        <v/>
      </c>
      <c r="AW50" s="46" t="str">
        <f aca="false">IF(AS50="","",AS50+ROW()/100000)</f>
        <v/>
      </c>
      <c r="AX50" s="46" t="str">
        <f aca="false">IF(AT50="","",AT50+ROW()/100000)</f>
        <v/>
      </c>
    </row>
    <row r="51" customFormat="false" ht="15" hidden="false" customHeight="false" outlineLevel="0" collapsed="false">
      <c r="A51" s="9" t="str">
        <f aca="false">IF(B51="","",ROW()-5)</f>
        <v/>
      </c>
      <c r="B51" s="40"/>
      <c r="C51" s="8"/>
      <c r="D51" s="9" t="str">
        <f aca="false">IF(B51="","",IF(J51="","Active","Exited"))</f>
        <v/>
      </c>
      <c r="E51" s="8"/>
      <c r="F51" s="8"/>
      <c r="G51" s="8"/>
      <c r="H51" s="9" t="str">
        <f aca="false">IF(OR(B51="",I51=""),"",IF(IF(J51="",AsOf,J51)-I51&gt;=Settings!$C$13,"Permanent","Probation"))</f>
        <v/>
      </c>
      <c r="I51" s="41"/>
      <c r="J51" s="41"/>
      <c r="K51" s="8"/>
      <c r="L51" s="42" t="str">
        <f aca="false">IF(OR(B51="",I51=""),"",ROUND((IF(J51="",AsOf,J51)-I51)/365.25,1))</f>
        <v/>
      </c>
      <c r="M51" s="8"/>
      <c r="N51" s="8"/>
      <c r="O51" s="8"/>
      <c r="P51" s="8"/>
      <c r="Q51" s="41"/>
      <c r="R51" s="43" t="str">
        <f aca="false">IF(OR(B51="",Q51=""),"",INT((AsOf-Q51)/365.25))</f>
        <v/>
      </c>
      <c r="S51" s="8"/>
      <c r="T51" s="40"/>
      <c r="U51" s="40"/>
      <c r="V51" s="40"/>
      <c r="W51" s="40"/>
      <c r="X51" s="8"/>
      <c r="Y51" s="8"/>
      <c r="Z51" s="8"/>
      <c r="AA51" s="8"/>
      <c r="AB51" s="8"/>
      <c r="AC51" s="8"/>
      <c r="AD51" s="8"/>
      <c r="AE51" s="40"/>
      <c r="AF51" s="8"/>
      <c r="AG51" s="40"/>
      <c r="AH51" s="40"/>
      <c r="AI51" s="8"/>
      <c r="AJ51" s="40"/>
      <c r="AK51" s="40"/>
      <c r="AL51" s="40"/>
      <c r="AM51" s="44"/>
      <c r="AN51" s="44"/>
      <c r="AO51" s="41"/>
      <c r="AP51" s="45" t="str">
        <f aca="false">IF(B51="","",IF(AND(ISNUMBER(AM51),ISNUMBER(AN51),AM51&gt;0,AN51&gt;0),AN51/AM51-1,""))</f>
        <v/>
      </c>
      <c r="AQ51" s="9" t="str">
        <f aca="false">IF(I51="","",(YEAR(I51)-IF(MONTH(I51)&lt;4,1,0))&amp;"-"&amp;RIGHT((YEAR(I51)-IF(MONTH(I51)&lt;4,1,0))+1,2))</f>
        <v/>
      </c>
      <c r="AR51" s="9" t="str">
        <f aca="false">IF(J51="","",(YEAR(J51)-IF(MONTH(J51)&lt;4,1,0))&amp;"-"&amp;RIGHT((YEAR(J51)-IF(MONTH(J51)&lt;4,1,0))+1,2))</f>
        <v/>
      </c>
      <c r="AS51" s="43" t="str">
        <f aca="false">IF(OR(B51="",Q51="",D51&lt;&gt;"Active"),"",DATE(YEAR(AsOf)+IF(DATE(YEAR(AsOf),MONTH(Q51),DAY(Q51))&lt;AsOf,1,0),MONTH(Q51),DAY(Q51))-AsOf)</f>
        <v/>
      </c>
      <c r="AT51" s="43" t="str">
        <f aca="false">IF(OR(B51="",I51="",D51&lt;&gt;"Active"),"",IF(YEAR(DATE(YEAR(AsOf)+IF(DATE(YEAR(AsOf),MONTH(I51),DAY(I51))&lt;AsOf,1,0),MONTH(I51),DAY(I51)))-YEAR(I51)&lt;1,"",DATE(YEAR(AsOf)+IF(DATE(YEAR(AsOf),MONTH(I51),DAY(I51))&lt;AsOf,1,0),MONTH(I51),DAY(I51))-AsOf))</f>
        <v/>
      </c>
      <c r="AU51" s="43" t="str">
        <f aca="false">IF(B51="","",IF(AV51="",0,LEN(AV51)-LEN(SUBSTITUTE(AV51,";",""))))</f>
        <v/>
      </c>
      <c r="AV51" s="9" t="str">
        <f aca="false">IF(B51="","",IF(COUNTIF($B$6:$B$505,B51)&gt;1,"Duplicate Emp Code; ","")&amp;IF(C51="","Name missing; ","")&amp;IF(I51="","DOJ missing; ","")&amp;IF(AND(J51&lt;&gt;"",I51&lt;&gt;"",J51&lt;I51),"Exit before DOJ; ","")&amp;IF(Q51="","DOB missing; ","")&amp;IF(T51="","Aadhaar missing; ",IF(LEN(T51)&lt;&gt;12,"Aadhaar not 12 digits; ",IF(COUNTIF($T$6:$T$505,T51)&gt;1,"Duplicate Aadhaar; ","")))&amp;IF(U51="","PAN missing; ",IF(LEN(U51)&lt;&gt;10,"PAN not 10 chars; ",""))&amp;IF(V51="","Mobile missing; ",IF(LEN(V51)&lt;&gt;10,"Mobile not 10 digits; ",""))&amp;IF(AG51="","Bank A/c missing; ","")&amp;IF(AH51="","IFSC missing; ",IF(LEN(AH51)&lt;&gt;11,"IFSC not 11 chars; ","")))</f>
        <v/>
      </c>
      <c r="AW51" s="46" t="str">
        <f aca="false">IF(AS51="","",AS51+ROW()/100000)</f>
        <v/>
      </c>
      <c r="AX51" s="46" t="str">
        <f aca="false">IF(AT51="","",AT51+ROW()/100000)</f>
        <v/>
      </c>
    </row>
    <row r="52" customFormat="false" ht="15" hidden="false" customHeight="false" outlineLevel="0" collapsed="false">
      <c r="A52" s="9" t="str">
        <f aca="false">IF(B52="","",ROW()-5)</f>
        <v/>
      </c>
      <c r="B52" s="40"/>
      <c r="C52" s="8"/>
      <c r="D52" s="9" t="str">
        <f aca="false">IF(B52="","",IF(J52="","Active","Exited"))</f>
        <v/>
      </c>
      <c r="E52" s="8"/>
      <c r="F52" s="8"/>
      <c r="G52" s="8"/>
      <c r="H52" s="9" t="str">
        <f aca="false">IF(OR(B52="",I52=""),"",IF(IF(J52="",AsOf,J52)-I52&gt;=Settings!$C$13,"Permanent","Probation"))</f>
        <v/>
      </c>
      <c r="I52" s="41"/>
      <c r="J52" s="41"/>
      <c r="K52" s="8"/>
      <c r="L52" s="42" t="str">
        <f aca="false">IF(OR(B52="",I52=""),"",ROUND((IF(J52="",AsOf,J52)-I52)/365.25,1))</f>
        <v/>
      </c>
      <c r="M52" s="8"/>
      <c r="N52" s="8"/>
      <c r="O52" s="8"/>
      <c r="P52" s="8"/>
      <c r="Q52" s="41"/>
      <c r="R52" s="43" t="str">
        <f aca="false">IF(OR(B52="",Q52=""),"",INT((AsOf-Q52)/365.25))</f>
        <v/>
      </c>
      <c r="S52" s="8"/>
      <c r="T52" s="40"/>
      <c r="U52" s="40"/>
      <c r="V52" s="40"/>
      <c r="W52" s="40"/>
      <c r="X52" s="8"/>
      <c r="Y52" s="8"/>
      <c r="Z52" s="8"/>
      <c r="AA52" s="8"/>
      <c r="AB52" s="8"/>
      <c r="AC52" s="8"/>
      <c r="AD52" s="8"/>
      <c r="AE52" s="40"/>
      <c r="AF52" s="8"/>
      <c r="AG52" s="40"/>
      <c r="AH52" s="40"/>
      <c r="AI52" s="8"/>
      <c r="AJ52" s="40"/>
      <c r="AK52" s="40"/>
      <c r="AL52" s="40"/>
      <c r="AM52" s="44"/>
      <c r="AN52" s="44"/>
      <c r="AO52" s="41"/>
      <c r="AP52" s="45" t="str">
        <f aca="false">IF(B52="","",IF(AND(ISNUMBER(AM52),ISNUMBER(AN52),AM52&gt;0,AN52&gt;0),AN52/AM52-1,""))</f>
        <v/>
      </c>
      <c r="AQ52" s="9" t="str">
        <f aca="false">IF(I52="","",(YEAR(I52)-IF(MONTH(I52)&lt;4,1,0))&amp;"-"&amp;RIGHT((YEAR(I52)-IF(MONTH(I52)&lt;4,1,0))+1,2))</f>
        <v/>
      </c>
      <c r="AR52" s="9" t="str">
        <f aca="false">IF(J52="","",(YEAR(J52)-IF(MONTH(J52)&lt;4,1,0))&amp;"-"&amp;RIGHT((YEAR(J52)-IF(MONTH(J52)&lt;4,1,0))+1,2))</f>
        <v/>
      </c>
      <c r="AS52" s="43" t="str">
        <f aca="false">IF(OR(B52="",Q52="",D52&lt;&gt;"Active"),"",DATE(YEAR(AsOf)+IF(DATE(YEAR(AsOf),MONTH(Q52),DAY(Q52))&lt;AsOf,1,0),MONTH(Q52),DAY(Q52))-AsOf)</f>
        <v/>
      </c>
      <c r="AT52" s="43" t="str">
        <f aca="false">IF(OR(B52="",I52="",D52&lt;&gt;"Active"),"",IF(YEAR(DATE(YEAR(AsOf)+IF(DATE(YEAR(AsOf),MONTH(I52),DAY(I52))&lt;AsOf,1,0),MONTH(I52),DAY(I52)))-YEAR(I52)&lt;1,"",DATE(YEAR(AsOf)+IF(DATE(YEAR(AsOf),MONTH(I52),DAY(I52))&lt;AsOf,1,0),MONTH(I52),DAY(I52))-AsOf))</f>
        <v/>
      </c>
      <c r="AU52" s="43" t="str">
        <f aca="false">IF(B52="","",IF(AV52="",0,LEN(AV52)-LEN(SUBSTITUTE(AV52,";",""))))</f>
        <v/>
      </c>
      <c r="AV52" s="9" t="str">
        <f aca="false">IF(B52="","",IF(COUNTIF($B$6:$B$505,B52)&gt;1,"Duplicate Emp Code; ","")&amp;IF(C52="","Name missing; ","")&amp;IF(I52="","DOJ missing; ","")&amp;IF(AND(J52&lt;&gt;"",I52&lt;&gt;"",J52&lt;I52),"Exit before DOJ; ","")&amp;IF(Q52="","DOB missing; ","")&amp;IF(T52="","Aadhaar missing; ",IF(LEN(T52)&lt;&gt;12,"Aadhaar not 12 digits; ",IF(COUNTIF($T$6:$T$505,T52)&gt;1,"Duplicate Aadhaar; ","")))&amp;IF(U52="","PAN missing; ",IF(LEN(U52)&lt;&gt;10,"PAN not 10 chars; ",""))&amp;IF(V52="","Mobile missing; ",IF(LEN(V52)&lt;&gt;10,"Mobile not 10 digits; ",""))&amp;IF(AG52="","Bank A/c missing; ","")&amp;IF(AH52="","IFSC missing; ",IF(LEN(AH52)&lt;&gt;11,"IFSC not 11 chars; ","")))</f>
        <v/>
      </c>
      <c r="AW52" s="46" t="str">
        <f aca="false">IF(AS52="","",AS52+ROW()/100000)</f>
        <v/>
      </c>
      <c r="AX52" s="46" t="str">
        <f aca="false">IF(AT52="","",AT52+ROW()/100000)</f>
        <v/>
      </c>
    </row>
    <row r="53" customFormat="false" ht="15" hidden="false" customHeight="false" outlineLevel="0" collapsed="false">
      <c r="A53" s="9" t="str">
        <f aca="false">IF(B53="","",ROW()-5)</f>
        <v/>
      </c>
      <c r="B53" s="40"/>
      <c r="C53" s="8"/>
      <c r="D53" s="9" t="str">
        <f aca="false">IF(B53="","",IF(J53="","Active","Exited"))</f>
        <v/>
      </c>
      <c r="E53" s="8"/>
      <c r="F53" s="8"/>
      <c r="G53" s="8"/>
      <c r="H53" s="9" t="str">
        <f aca="false">IF(OR(B53="",I53=""),"",IF(IF(J53="",AsOf,J53)-I53&gt;=Settings!$C$13,"Permanent","Probation"))</f>
        <v/>
      </c>
      <c r="I53" s="41"/>
      <c r="J53" s="41"/>
      <c r="K53" s="8"/>
      <c r="L53" s="42" t="str">
        <f aca="false">IF(OR(B53="",I53=""),"",ROUND((IF(J53="",AsOf,J53)-I53)/365.25,1))</f>
        <v/>
      </c>
      <c r="M53" s="8"/>
      <c r="N53" s="8"/>
      <c r="O53" s="8"/>
      <c r="P53" s="8"/>
      <c r="Q53" s="41"/>
      <c r="R53" s="43" t="str">
        <f aca="false">IF(OR(B53="",Q53=""),"",INT((AsOf-Q53)/365.25))</f>
        <v/>
      </c>
      <c r="S53" s="8"/>
      <c r="T53" s="40"/>
      <c r="U53" s="40"/>
      <c r="V53" s="40"/>
      <c r="W53" s="40"/>
      <c r="X53" s="8"/>
      <c r="Y53" s="8"/>
      <c r="Z53" s="8"/>
      <c r="AA53" s="8"/>
      <c r="AB53" s="8"/>
      <c r="AC53" s="8"/>
      <c r="AD53" s="8"/>
      <c r="AE53" s="40"/>
      <c r="AF53" s="8"/>
      <c r="AG53" s="40"/>
      <c r="AH53" s="40"/>
      <c r="AI53" s="8"/>
      <c r="AJ53" s="40"/>
      <c r="AK53" s="40"/>
      <c r="AL53" s="40"/>
      <c r="AM53" s="44"/>
      <c r="AN53" s="44"/>
      <c r="AO53" s="41"/>
      <c r="AP53" s="45" t="str">
        <f aca="false">IF(B53="","",IF(AND(ISNUMBER(AM53),ISNUMBER(AN53),AM53&gt;0,AN53&gt;0),AN53/AM53-1,""))</f>
        <v/>
      </c>
      <c r="AQ53" s="9" t="str">
        <f aca="false">IF(I53="","",(YEAR(I53)-IF(MONTH(I53)&lt;4,1,0))&amp;"-"&amp;RIGHT((YEAR(I53)-IF(MONTH(I53)&lt;4,1,0))+1,2))</f>
        <v/>
      </c>
      <c r="AR53" s="9" t="str">
        <f aca="false">IF(J53="","",(YEAR(J53)-IF(MONTH(J53)&lt;4,1,0))&amp;"-"&amp;RIGHT((YEAR(J53)-IF(MONTH(J53)&lt;4,1,0))+1,2))</f>
        <v/>
      </c>
      <c r="AS53" s="43" t="str">
        <f aca="false">IF(OR(B53="",Q53="",D53&lt;&gt;"Active"),"",DATE(YEAR(AsOf)+IF(DATE(YEAR(AsOf),MONTH(Q53),DAY(Q53))&lt;AsOf,1,0),MONTH(Q53),DAY(Q53))-AsOf)</f>
        <v/>
      </c>
      <c r="AT53" s="43" t="str">
        <f aca="false">IF(OR(B53="",I53="",D53&lt;&gt;"Active"),"",IF(YEAR(DATE(YEAR(AsOf)+IF(DATE(YEAR(AsOf),MONTH(I53),DAY(I53))&lt;AsOf,1,0),MONTH(I53),DAY(I53)))-YEAR(I53)&lt;1,"",DATE(YEAR(AsOf)+IF(DATE(YEAR(AsOf),MONTH(I53),DAY(I53))&lt;AsOf,1,0),MONTH(I53),DAY(I53))-AsOf))</f>
        <v/>
      </c>
      <c r="AU53" s="43" t="str">
        <f aca="false">IF(B53="","",IF(AV53="",0,LEN(AV53)-LEN(SUBSTITUTE(AV53,";",""))))</f>
        <v/>
      </c>
      <c r="AV53" s="9" t="str">
        <f aca="false">IF(B53="","",IF(COUNTIF($B$6:$B$505,B53)&gt;1,"Duplicate Emp Code; ","")&amp;IF(C53="","Name missing; ","")&amp;IF(I53="","DOJ missing; ","")&amp;IF(AND(J53&lt;&gt;"",I53&lt;&gt;"",J53&lt;I53),"Exit before DOJ; ","")&amp;IF(Q53="","DOB missing; ","")&amp;IF(T53="","Aadhaar missing; ",IF(LEN(T53)&lt;&gt;12,"Aadhaar not 12 digits; ",IF(COUNTIF($T$6:$T$505,T53)&gt;1,"Duplicate Aadhaar; ","")))&amp;IF(U53="","PAN missing; ",IF(LEN(U53)&lt;&gt;10,"PAN not 10 chars; ",""))&amp;IF(V53="","Mobile missing; ",IF(LEN(V53)&lt;&gt;10,"Mobile not 10 digits; ",""))&amp;IF(AG53="","Bank A/c missing; ","")&amp;IF(AH53="","IFSC missing; ",IF(LEN(AH53)&lt;&gt;11,"IFSC not 11 chars; ","")))</f>
        <v/>
      </c>
      <c r="AW53" s="46" t="str">
        <f aca="false">IF(AS53="","",AS53+ROW()/100000)</f>
        <v/>
      </c>
      <c r="AX53" s="46" t="str">
        <f aca="false">IF(AT53="","",AT53+ROW()/100000)</f>
        <v/>
      </c>
    </row>
    <row r="54" customFormat="false" ht="15" hidden="false" customHeight="false" outlineLevel="0" collapsed="false">
      <c r="A54" s="9" t="str">
        <f aca="false">IF(B54="","",ROW()-5)</f>
        <v/>
      </c>
      <c r="B54" s="40"/>
      <c r="C54" s="8"/>
      <c r="D54" s="9" t="str">
        <f aca="false">IF(B54="","",IF(J54="","Active","Exited"))</f>
        <v/>
      </c>
      <c r="E54" s="8"/>
      <c r="F54" s="8"/>
      <c r="G54" s="8"/>
      <c r="H54" s="9" t="str">
        <f aca="false">IF(OR(B54="",I54=""),"",IF(IF(J54="",AsOf,J54)-I54&gt;=Settings!$C$13,"Permanent","Probation"))</f>
        <v/>
      </c>
      <c r="I54" s="41"/>
      <c r="J54" s="41"/>
      <c r="K54" s="8"/>
      <c r="L54" s="42" t="str">
        <f aca="false">IF(OR(B54="",I54=""),"",ROUND((IF(J54="",AsOf,J54)-I54)/365.25,1))</f>
        <v/>
      </c>
      <c r="M54" s="8"/>
      <c r="N54" s="8"/>
      <c r="O54" s="8"/>
      <c r="P54" s="8"/>
      <c r="Q54" s="41"/>
      <c r="R54" s="43" t="str">
        <f aca="false">IF(OR(B54="",Q54=""),"",INT((AsOf-Q54)/365.25))</f>
        <v/>
      </c>
      <c r="S54" s="8"/>
      <c r="T54" s="40"/>
      <c r="U54" s="40"/>
      <c r="V54" s="40"/>
      <c r="W54" s="40"/>
      <c r="X54" s="8"/>
      <c r="Y54" s="8"/>
      <c r="Z54" s="8"/>
      <c r="AA54" s="8"/>
      <c r="AB54" s="8"/>
      <c r="AC54" s="8"/>
      <c r="AD54" s="8"/>
      <c r="AE54" s="40"/>
      <c r="AF54" s="8"/>
      <c r="AG54" s="40"/>
      <c r="AH54" s="40"/>
      <c r="AI54" s="8"/>
      <c r="AJ54" s="40"/>
      <c r="AK54" s="40"/>
      <c r="AL54" s="40"/>
      <c r="AM54" s="44"/>
      <c r="AN54" s="44"/>
      <c r="AO54" s="41"/>
      <c r="AP54" s="45" t="str">
        <f aca="false">IF(B54="","",IF(AND(ISNUMBER(AM54),ISNUMBER(AN54),AM54&gt;0,AN54&gt;0),AN54/AM54-1,""))</f>
        <v/>
      </c>
      <c r="AQ54" s="9" t="str">
        <f aca="false">IF(I54="","",(YEAR(I54)-IF(MONTH(I54)&lt;4,1,0))&amp;"-"&amp;RIGHT((YEAR(I54)-IF(MONTH(I54)&lt;4,1,0))+1,2))</f>
        <v/>
      </c>
      <c r="AR54" s="9" t="str">
        <f aca="false">IF(J54="","",(YEAR(J54)-IF(MONTH(J54)&lt;4,1,0))&amp;"-"&amp;RIGHT((YEAR(J54)-IF(MONTH(J54)&lt;4,1,0))+1,2))</f>
        <v/>
      </c>
      <c r="AS54" s="43" t="str">
        <f aca="false">IF(OR(B54="",Q54="",D54&lt;&gt;"Active"),"",DATE(YEAR(AsOf)+IF(DATE(YEAR(AsOf),MONTH(Q54),DAY(Q54))&lt;AsOf,1,0),MONTH(Q54),DAY(Q54))-AsOf)</f>
        <v/>
      </c>
      <c r="AT54" s="43" t="str">
        <f aca="false">IF(OR(B54="",I54="",D54&lt;&gt;"Active"),"",IF(YEAR(DATE(YEAR(AsOf)+IF(DATE(YEAR(AsOf),MONTH(I54),DAY(I54))&lt;AsOf,1,0),MONTH(I54),DAY(I54)))-YEAR(I54)&lt;1,"",DATE(YEAR(AsOf)+IF(DATE(YEAR(AsOf),MONTH(I54),DAY(I54))&lt;AsOf,1,0),MONTH(I54),DAY(I54))-AsOf))</f>
        <v/>
      </c>
      <c r="AU54" s="43" t="str">
        <f aca="false">IF(B54="","",IF(AV54="",0,LEN(AV54)-LEN(SUBSTITUTE(AV54,";",""))))</f>
        <v/>
      </c>
      <c r="AV54" s="9" t="str">
        <f aca="false">IF(B54="","",IF(COUNTIF($B$6:$B$505,B54)&gt;1,"Duplicate Emp Code; ","")&amp;IF(C54="","Name missing; ","")&amp;IF(I54="","DOJ missing; ","")&amp;IF(AND(J54&lt;&gt;"",I54&lt;&gt;"",J54&lt;I54),"Exit before DOJ; ","")&amp;IF(Q54="","DOB missing; ","")&amp;IF(T54="","Aadhaar missing; ",IF(LEN(T54)&lt;&gt;12,"Aadhaar not 12 digits; ",IF(COUNTIF($T$6:$T$505,T54)&gt;1,"Duplicate Aadhaar; ","")))&amp;IF(U54="","PAN missing; ",IF(LEN(U54)&lt;&gt;10,"PAN not 10 chars; ",""))&amp;IF(V54="","Mobile missing; ",IF(LEN(V54)&lt;&gt;10,"Mobile not 10 digits; ",""))&amp;IF(AG54="","Bank A/c missing; ","")&amp;IF(AH54="","IFSC missing; ",IF(LEN(AH54)&lt;&gt;11,"IFSC not 11 chars; ","")))</f>
        <v/>
      </c>
      <c r="AW54" s="46" t="str">
        <f aca="false">IF(AS54="","",AS54+ROW()/100000)</f>
        <v/>
      </c>
      <c r="AX54" s="46" t="str">
        <f aca="false">IF(AT54="","",AT54+ROW()/100000)</f>
        <v/>
      </c>
    </row>
    <row r="55" customFormat="false" ht="15" hidden="false" customHeight="false" outlineLevel="0" collapsed="false">
      <c r="A55" s="9" t="str">
        <f aca="false">IF(B55="","",ROW()-5)</f>
        <v/>
      </c>
      <c r="B55" s="40"/>
      <c r="C55" s="8"/>
      <c r="D55" s="9" t="str">
        <f aca="false">IF(B55="","",IF(J55="","Active","Exited"))</f>
        <v/>
      </c>
      <c r="E55" s="8"/>
      <c r="F55" s="8"/>
      <c r="G55" s="8"/>
      <c r="H55" s="9" t="str">
        <f aca="false">IF(OR(B55="",I55=""),"",IF(IF(J55="",AsOf,J55)-I55&gt;=Settings!$C$13,"Permanent","Probation"))</f>
        <v/>
      </c>
      <c r="I55" s="41"/>
      <c r="J55" s="41"/>
      <c r="K55" s="8"/>
      <c r="L55" s="42" t="str">
        <f aca="false">IF(OR(B55="",I55=""),"",ROUND((IF(J55="",AsOf,J55)-I55)/365.25,1))</f>
        <v/>
      </c>
      <c r="M55" s="8"/>
      <c r="N55" s="8"/>
      <c r="O55" s="8"/>
      <c r="P55" s="8"/>
      <c r="Q55" s="41"/>
      <c r="R55" s="43" t="str">
        <f aca="false">IF(OR(B55="",Q55=""),"",INT((AsOf-Q55)/365.25))</f>
        <v/>
      </c>
      <c r="S55" s="8"/>
      <c r="T55" s="40"/>
      <c r="U55" s="40"/>
      <c r="V55" s="40"/>
      <c r="W55" s="40"/>
      <c r="X55" s="8"/>
      <c r="Y55" s="8"/>
      <c r="Z55" s="8"/>
      <c r="AA55" s="8"/>
      <c r="AB55" s="8"/>
      <c r="AC55" s="8"/>
      <c r="AD55" s="8"/>
      <c r="AE55" s="40"/>
      <c r="AF55" s="8"/>
      <c r="AG55" s="40"/>
      <c r="AH55" s="40"/>
      <c r="AI55" s="8"/>
      <c r="AJ55" s="40"/>
      <c r="AK55" s="40"/>
      <c r="AL55" s="40"/>
      <c r="AM55" s="44"/>
      <c r="AN55" s="44"/>
      <c r="AO55" s="41"/>
      <c r="AP55" s="45" t="str">
        <f aca="false">IF(B55="","",IF(AND(ISNUMBER(AM55),ISNUMBER(AN55),AM55&gt;0,AN55&gt;0),AN55/AM55-1,""))</f>
        <v/>
      </c>
      <c r="AQ55" s="9" t="str">
        <f aca="false">IF(I55="","",(YEAR(I55)-IF(MONTH(I55)&lt;4,1,0))&amp;"-"&amp;RIGHT((YEAR(I55)-IF(MONTH(I55)&lt;4,1,0))+1,2))</f>
        <v/>
      </c>
      <c r="AR55" s="9" t="str">
        <f aca="false">IF(J55="","",(YEAR(J55)-IF(MONTH(J55)&lt;4,1,0))&amp;"-"&amp;RIGHT((YEAR(J55)-IF(MONTH(J55)&lt;4,1,0))+1,2))</f>
        <v/>
      </c>
      <c r="AS55" s="43" t="str">
        <f aca="false">IF(OR(B55="",Q55="",D55&lt;&gt;"Active"),"",DATE(YEAR(AsOf)+IF(DATE(YEAR(AsOf),MONTH(Q55),DAY(Q55))&lt;AsOf,1,0),MONTH(Q55),DAY(Q55))-AsOf)</f>
        <v/>
      </c>
      <c r="AT55" s="43" t="str">
        <f aca="false">IF(OR(B55="",I55="",D55&lt;&gt;"Active"),"",IF(YEAR(DATE(YEAR(AsOf)+IF(DATE(YEAR(AsOf),MONTH(I55),DAY(I55))&lt;AsOf,1,0),MONTH(I55),DAY(I55)))-YEAR(I55)&lt;1,"",DATE(YEAR(AsOf)+IF(DATE(YEAR(AsOf),MONTH(I55),DAY(I55))&lt;AsOf,1,0),MONTH(I55),DAY(I55))-AsOf))</f>
        <v/>
      </c>
      <c r="AU55" s="43" t="str">
        <f aca="false">IF(B55="","",IF(AV55="",0,LEN(AV55)-LEN(SUBSTITUTE(AV55,";",""))))</f>
        <v/>
      </c>
      <c r="AV55" s="9" t="str">
        <f aca="false">IF(B55="","",IF(COUNTIF($B$6:$B$505,B55)&gt;1,"Duplicate Emp Code; ","")&amp;IF(C55="","Name missing; ","")&amp;IF(I55="","DOJ missing; ","")&amp;IF(AND(J55&lt;&gt;"",I55&lt;&gt;"",J55&lt;I55),"Exit before DOJ; ","")&amp;IF(Q55="","DOB missing; ","")&amp;IF(T55="","Aadhaar missing; ",IF(LEN(T55)&lt;&gt;12,"Aadhaar not 12 digits; ",IF(COUNTIF($T$6:$T$505,T55)&gt;1,"Duplicate Aadhaar; ","")))&amp;IF(U55="","PAN missing; ",IF(LEN(U55)&lt;&gt;10,"PAN not 10 chars; ",""))&amp;IF(V55="","Mobile missing; ",IF(LEN(V55)&lt;&gt;10,"Mobile not 10 digits; ",""))&amp;IF(AG55="","Bank A/c missing; ","")&amp;IF(AH55="","IFSC missing; ",IF(LEN(AH55)&lt;&gt;11,"IFSC not 11 chars; ","")))</f>
        <v/>
      </c>
      <c r="AW55" s="46" t="str">
        <f aca="false">IF(AS55="","",AS55+ROW()/100000)</f>
        <v/>
      </c>
      <c r="AX55" s="46" t="str">
        <f aca="false">IF(AT55="","",AT55+ROW()/100000)</f>
        <v/>
      </c>
    </row>
    <row r="56" customFormat="false" ht="15" hidden="false" customHeight="false" outlineLevel="0" collapsed="false">
      <c r="A56" s="9" t="str">
        <f aca="false">IF(B56="","",ROW()-5)</f>
        <v/>
      </c>
      <c r="B56" s="40"/>
      <c r="C56" s="8"/>
      <c r="D56" s="9" t="str">
        <f aca="false">IF(B56="","",IF(J56="","Active","Exited"))</f>
        <v/>
      </c>
      <c r="E56" s="8"/>
      <c r="F56" s="8"/>
      <c r="G56" s="8"/>
      <c r="H56" s="9" t="str">
        <f aca="false">IF(OR(B56="",I56=""),"",IF(IF(J56="",AsOf,J56)-I56&gt;=Settings!$C$13,"Permanent","Probation"))</f>
        <v/>
      </c>
      <c r="I56" s="41"/>
      <c r="J56" s="41"/>
      <c r="K56" s="8"/>
      <c r="L56" s="42" t="str">
        <f aca="false">IF(OR(B56="",I56=""),"",ROUND((IF(J56="",AsOf,J56)-I56)/365.25,1))</f>
        <v/>
      </c>
      <c r="M56" s="8"/>
      <c r="N56" s="8"/>
      <c r="O56" s="8"/>
      <c r="P56" s="8"/>
      <c r="Q56" s="41"/>
      <c r="R56" s="43" t="str">
        <f aca="false">IF(OR(B56="",Q56=""),"",INT((AsOf-Q56)/365.25))</f>
        <v/>
      </c>
      <c r="S56" s="8"/>
      <c r="T56" s="40"/>
      <c r="U56" s="40"/>
      <c r="V56" s="40"/>
      <c r="W56" s="40"/>
      <c r="X56" s="8"/>
      <c r="Y56" s="8"/>
      <c r="Z56" s="8"/>
      <c r="AA56" s="8"/>
      <c r="AB56" s="8"/>
      <c r="AC56" s="8"/>
      <c r="AD56" s="8"/>
      <c r="AE56" s="40"/>
      <c r="AF56" s="8"/>
      <c r="AG56" s="40"/>
      <c r="AH56" s="40"/>
      <c r="AI56" s="8"/>
      <c r="AJ56" s="40"/>
      <c r="AK56" s="40"/>
      <c r="AL56" s="40"/>
      <c r="AM56" s="44"/>
      <c r="AN56" s="44"/>
      <c r="AO56" s="41"/>
      <c r="AP56" s="45" t="str">
        <f aca="false">IF(B56="","",IF(AND(ISNUMBER(AM56),ISNUMBER(AN56),AM56&gt;0,AN56&gt;0),AN56/AM56-1,""))</f>
        <v/>
      </c>
      <c r="AQ56" s="9" t="str">
        <f aca="false">IF(I56="","",(YEAR(I56)-IF(MONTH(I56)&lt;4,1,0))&amp;"-"&amp;RIGHT((YEAR(I56)-IF(MONTH(I56)&lt;4,1,0))+1,2))</f>
        <v/>
      </c>
      <c r="AR56" s="9" t="str">
        <f aca="false">IF(J56="","",(YEAR(J56)-IF(MONTH(J56)&lt;4,1,0))&amp;"-"&amp;RIGHT((YEAR(J56)-IF(MONTH(J56)&lt;4,1,0))+1,2))</f>
        <v/>
      </c>
      <c r="AS56" s="43" t="str">
        <f aca="false">IF(OR(B56="",Q56="",D56&lt;&gt;"Active"),"",DATE(YEAR(AsOf)+IF(DATE(YEAR(AsOf),MONTH(Q56),DAY(Q56))&lt;AsOf,1,0),MONTH(Q56),DAY(Q56))-AsOf)</f>
        <v/>
      </c>
      <c r="AT56" s="43" t="str">
        <f aca="false">IF(OR(B56="",I56="",D56&lt;&gt;"Active"),"",IF(YEAR(DATE(YEAR(AsOf)+IF(DATE(YEAR(AsOf),MONTH(I56),DAY(I56))&lt;AsOf,1,0),MONTH(I56),DAY(I56)))-YEAR(I56)&lt;1,"",DATE(YEAR(AsOf)+IF(DATE(YEAR(AsOf),MONTH(I56),DAY(I56))&lt;AsOf,1,0),MONTH(I56),DAY(I56))-AsOf))</f>
        <v/>
      </c>
      <c r="AU56" s="43" t="str">
        <f aca="false">IF(B56="","",IF(AV56="",0,LEN(AV56)-LEN(SUBSTITUTE(AV56,";",""))))</f>
        <v/>
      </c>
      <c r="AV56" s="9" t="str">
        <f aca="false">IF(B56="","",IF(COUNTIF($B$6:$B$505,B56)&gt;1,"Duplicate Emp Code; ","")&amp;IF(C56="","Name missing; ","")&amp;IF(I56="","DOJ missing; ","")&amp;IF(AND(J56&lt;&gt;"",I56&lt;&gt;"",J56&lt;I56),"Exit before DOJ; ","")&amp;IF(Q56="","DOB missing; ","")&amp;IF(T56="","Aadhaar missing; ",IF(LEN(T56)&lt;&gt;12,"Aadhaar not 12 digits; ",IF(COUNTIF($T$6:$T$505,T56)&gt;1,"Duplicate Aadhaar; ","")))&amp;IF(U56="","PAN missing; ",IF(LEN(U56)&lt;&gt;10,"PAN not 10 chars; ",""))&amp;IF(V56="","Mobile missing; ",IF(LEN(V56)&lt;&gt;10,"Mobile not 10 digits; ",""))&amp;IF(AG56="","Bank A/c missing; ","")&amp;IF(AH56="","IFSC missing; ",IF(LEN(AH56)&lt;&gt;11,"IFSC not 11 chars; ","")))</f>
        <v/>
      </c>
      <c r="AW56" s="46" t="str">
        <f aca="false">IF(AS56="","",AS56+ROW()/100000)</f>
        <v/>
      </c>
      <c r="AX56" s="46" t="str">
        <f aca="false">IF(AT56="","",AT56+ROW()/100000)</f>
        <v/>
      </c>
    </row>
    <row r="57" customFormat="false" ht="15" hidden="false" customHeight="false" outlineLevel="0" collapsed="false">
      <c r="A57" s="9" t="str">
        <f aca="false">IF(B57="","",ROW()-5)</f>
        <v/>
      </c>
      <c r="B57" s="40"/>
      <c r="C57" s="8"/>
      <c r="D57" s="9" t="str">
        <f aca="false">IF(B57="","",IF(J57="","Active","Exited"))</f>
        <v/>
      </c>
      <c r="E57" s="8"/>
      <c r="F57" s="8"/>
      <c r="G57" s="8"/>
      <c r="H57" s="9" t="str">
        <f aca="false">IF(OR(B57="",I57=""),"",IF(IF(J57="",AsOf,J57)-I57&gt;=Settings!$C$13,"Permanent","Probation"))</f>
        <v/>
      </c>
      <c r="I57" s="41"/>
      <c r="J57" s="41"/>
      <c r="K57" s="8"/>
      <c r="L57" s="42" t="str">
        <f aca="false">IF(OR(B57="",I57=""),"",ROUND((IF(J57="",AsOf,J57)-I57)/365.25,1))</f>
        <v/>
      </c>
      <c r="M57" s="8"/>
      <c r="N57" s="8"/>
      <c r="O57" s="8"/>
      <c r="P57" s="8"/>
      <c r="Q57" s="41"/>
      <c r="R57" s="43" t="str">
        <f aca="false">IF(OR(B57="",Q57=""),"",INT((AsOf-Q57)/365.25))</f>
        <v/>
      </c>
      <c r="S57" s="8"/>
      <c r="T57" s="40"/>
      <c r="U57" s="40"/>
      <c r="V57" s="40"/>
      <c r="W57" s="40"/>
      <c r="X57" s="8"/>
      <c r="Y57" s="8"/>
      <c r="Z57" s="8"/>
      <c r="AA57" s="8"/>
      <c r="AB57" s="8"/>
      <c r="AC57" s="8"/>
      <c r="AD57" s="8"/>
      <c r="AE57" s="40"/>
      <c r="AF57" s="8"/>
      <c r="AG57" s="40"/>
      <c r="AH57" s="40"/>
      <c r="AI57" s="8"/>
      <c r="AJ57" s="40"/>
      <c r="AK57" s="40"/>
      <c r="AL57" s="40"/>
      <c r="AM57" s="44"/>
      <c r="AN57" s="44"/>
      <c r="AO57" s="41"/>
      <c r="AP57" s="45" t="str">
        <f aca="false">IF(B57="","",IF(AND(ISNUMBER(AM57),ISNUMBER(AN57),AM57&gt;0,AN57&gt;0),AN57/AM57-1,""))</f>
        <v/>
      </c>
      <c r="AQ57" s="9" t="str">
        <f aca="false">IF(I57="","",(YEAR(I57)-IF(MONTH(I57)&lt;4,1,0))&amp;"-"&amp;RIGHT((YEAR(I57)-IF(MONTH(I57)&lt;4,1,0))+1,2))</f>
        <v/>
      </c>
      <c r="AR57" s="9" t="str">
        <f aca="false">IF(J57="","",(YEAR(J57)-IF(MONTH(J57)&lt;4,1,0))&amp;"-"&amp;RIGHT((YEAR(J57)-IF(MONTH(J57)&lt;4,1,0))+1,2))</f>
        <v/>
      </c>
      <c r="AS57" s="43" t="str">
        <f aca="false">IF(OR(B57="",Q57="",D57&lt;&gt;"Active"),"",DATE(YEAR(AsOf)+IF(DATE(YEAR(AsOf),MONTH(Q57),DAY(Q57))&lt;AsOf,1,0),MONTH(Q57),DAY(Q57))-AsOf)</f>
        <v/>
      </c>
      <c r="AT57" s="43" t="str">
        <f aca="false">IF(OR(B57="",I57="",D57&lt;&gt;"Active"),"",IF(YEAR(DATE(YEAR(AsOf)+IF(DATE(YEAR(AsOf),MONTH(I57),DAY(I57))&lt;AsOf,1,0),MONTH(I57),DAY(I57)))-YEAR(I57)&lt;1,"",DATE(YEAR(AsOf)+IF(DATE(YEAR(AsOf),MONTH(I57),DAY(I57))&lt;AsOf,1,0),MONTH(I57),DAY(I57))-AsOf))</f>
        <v/>
      </c>
      <c r="AU57" s="43" t="str">
        <f aca="false">IF(B57="","",IF(AV57="",0,LEN(AV57)-LEN(SUBSTITUTE(AV57,";",""))))</f>
        <v/>
      </c>
      <c r="AV57" s="9" t="str">
        <f aca="false">IF(B57="","",IF(COUNTIF($B$6:$B$505,B57)&gt;1,"Duplicate Emp Code; ","")&amp;IF(C57="","Name missing; ","")&amp;IF(I57="","DOJ missing; ","")&amp;IF(AND(J57&lt;&gt;"",I57&lt;&gt;"",J57&lt;I57),"Exit before DOJ; ","")&amp;IF(Q57="","DOB missing; ","")&amp;IF(T57="","Aadhaar missing; ",IF(LEN(T57)&lt;&gt;12,"Aadhaar not 12 digits; ",IF(COUNTIF($T$6:$T$505,T57)&gt;1,"Duplicate Aadhaar; ","")))&amp;IF(U57="","PAN missing; ",IF(LEN(U57)&lt;&gt;10,"PAN not 10 chars; ",""))&amp;IF(V57="","Mobile missing; ",IF(LEN(V57)&lt;&gt;10,"Mobile not 10 digits; ",""))&amp;IF(AG57="","Bank A/c missing; ","")&amp;IF(AH57="","IFSC missing; ",IF(LEN(AH57)&lt;&gt;11,"IFSC not 11 chars; ","")))</f>
        <v/>
      </c>
      <c r="AW57" s="46" t="str">
        <f aca="false">IF(AS57="","",AS57+ROW()/100000)</f>
        <v/>
      </c>
      <c r="AX57" s="46" t="str">
        <f aca="false">IF(AT57="","",AT57+ROW()/100000)</f>
        <v/>
      </c>
    </row>
    <row r="58" customFormat="false" ht="15" hidden="false" customHeight="false" outlineLevel="0" collapsed="false">
      <c r="A58" s="9" t="str">
        <f aca="false">IF(B58="","",ROW()-5)</f>
        <v/>
      </c>
      <c r="B58" s="40"/>
      <c r="C58" s="8"/>
      <c r="D58" s="9" t="str">
        <f aca="false">IF(B58="","",IF(J58="","Active","Exited"))</f>
        <v/>
      </c>
      <c r="E58" s="8"/>
      <c r="F58" s="8"/>
      <c r="G58" s="8"/>
      <c r="H58" s="9" t="str">
        <f aca="false">IF(OR(B58="",I58=""),"",IF(IF(J58="",AsOf,J58)-I58&gt;=Settings!$C$13,"Permanent","Probation"))</f>
        <v/>
      </c>
      <c r="I58" s="41"/>
      <c r="J58" s="41"/>
      <c r="K58" s="8"/>
      <c r="L58" s="42" t="str">
        <f aca="false">IF(OR(B58="",I58=""),"",ROUND((IF(J58="",AsOf,J58)-I58)/365.25,1))</f>
        <v/>
      </c>
      <c r="M58" s="8"/>
      <c r="N58" s="8"/>
      <c r="O58" s="8"/>
      <c r="P58" s="8"/>
      <c r="Q58" s="41"/>
      <c r="R58" s="43" t="str">
        <f aca="false">IF(OR(B58="",Q58=""),"",INT((AsOf-Q58)/365.25))</f>
        <v/>
      </c>
      <c r="S58" s="8"/>
      <c r="T58" s="40"/>
      <c r="U58" s="40"/>
      <c r="V58" s="40"/>
      <c r="W58" s="40"/>
      <c r="X58" s="8"/>
      <c r="Y58" s="8"/>
      <c r="Z58" s="8"/>
      <c r="AA58" s="8"/>
      <c r="AB58" s="8"/>
      <c r="AC58" s="8"/>
      <c r="AD58" s="8"/>
      <c r="AE58" s="40"/>
      <c r="AF58" s="8"/>
      <c r="AG58" s="40"/>
      <c r="AH58" s="40"/>
      <c r="AI58" s="8"/>
      <c r="AJ58" s="40"/>
      <c r="AK58" s="40"/>
      <c r="AL58" s="40"/>
      <c r="AM58" s="44"/>
      <c r="AN58" s="44"/>
      <c r="AO58" s="41"/>
      <c r="AP58" s="45" t="str">
        <f aca="false">IF(B58="","",IF(AND(ISNUMBER(AM58),ISNUMBER(AN58),AM58&gt;0,AN58&gt;0),AN58/AM58-1,""))</f>
        <v/>
      </c>
      <c r="AQ58" s="9" t="str">
        <f aca="false">IF(I58="","",(YEAR(I58)-IF(MONTH(I58)&lt;4,1,0))&amp;"-"&amp;RIGHT((YEAR(I58)-IF(MONTH(I58)&lt;4,1,0))+1,2))</f>
        <v/>
      </c>
      <c r="AR58" s="9" t="str">
        <f aca="false">IF(J58="","",(YEAR(J58)-IF(MONTH(J58)&lt;4,1,0))&amp;"-"&amp;RIGHT((YEAR(J58)-IF(MONTH(J58)&lt;4,1,0))+1,2))</f>
        <v/>
      </c>
      <c r="AS58" s="43" t="str">
        <f aca="false">IF(OR(B58="",Q58="",D58&lt;&gt;"Active"),"",DATE(YEAR(AsOf)+IF(DATE(YEAR(AsOf),MONTH(Q58),DAY(Q58))&lt;AsOf,1,0),MONTH(Q58),DAY(Q58))-AsOf)</f>
        <v/>
      </c>
      <c r="AT58" s="43" t="str">
        <f aca="false">IF(OR(B58="",I58="",D58&lt;&gt;"Active"),"",IF(YEAR(DATE(YEAR(AsOf)+IF(DATE(YEAR(AsOf),MONTH(I58),DAY(I58))&lt;AsOf,1,0),MONTH(I58),DAY(I58)))-YEAR(I58)&lt;1,"",DATE(YEAR(AsOf)+IF(DATE(YEAR(AsOf),MONTH(I58),DAY(I58))&lt;AsOf,1,0),MONTH(I58),DAY(I58))-AsOf))</f>
        <v/>
      </c>
      <c r="AU58" s="43" t="str">
        <f aca="false">IF(B58="","",IF(AV58="",0,LEN(AV58)-LEN(SUBSTITUTE(AV58,";",""))))</f>
        <v/>
      </c>
      <c r="AV58" s="9" t="str">
        <f aca="false">IF(B58="","",IF(COUNTIF($B$6:$B$505,B58)&gt;1,"Duplicate Emp Code; ","")&amp;IF(C58="","Name missing; ","")&amp;IF(I58="","DOJ missing; ","")&amp;IF(AND(J58&lt;&gt;"",I58&lt;&gt;"",J58&lt;I58),"Exit before DOJ; ","")&amp;IF(Q58="","DOB missing; ","")&amp;IF(T58="","Aadhaar missing; ",IF(LEN(T58)&lt;&gt;12,"Aadhaar not 12 digits; ",IF(COUNTIF($T$6:$T$505,T58)&gt;1,"Duplicate Aadhaar; ","")))&amp;IF(U58="","PAN missing; ",IF(LEN(U58)&lt;&gt;10,"PAN not 10 chars; ",""))&amp;IF(V58="","Mobile missing; ",IF(LEN(V58)&lt;&gt;10,"Mobile not 10 digits; ",""))&amp;IF(AG58="","Bank A/c missing; ","")&amp;IF(AH58="","IFSC missing; ",IF(LEN(AH58)&lt;&gt;11,"IFSC not 11 chars; ","")))</f>
        <v/>
      </c>
      <c r="AW58" s="46" t="str">
        <f aca="false">IF(AS58="","",AS58+ROW()/100000)</f>
        <v/>
      </c>
      <c r="AX58" s="46" t="str">
        <f aca="false">IF(AT58="","",AT58+ROW()/100000)</f>
        <v/>
      </c>
    </row>
    <row r="59" customFormat="false" ht="15" hidden="false" customHeight="false" outlineLevel="0" collapsed="false">
      <c r="A59" s="9" t="str">
        <f aca="false">IF(B59="","",ROW()-5)</f>
        <v/>
      </c>
      <c r="B59" s="40"/>
      <c r="C59" s="8"/>
      <c r="D59" s="9" t="str">
        <f aca="false">IF(B59="","",IF(J59="","Active","Exited"))</f>
        <v/>
      </c>
      <c r="E59" s="8"/>
      <c r="F59" s="8"/>
      <c r="G59" s="8"/>
      <c r="H59" s="9" t="str">
        <f aca="false">IF(OR(B59="",I59=""),"",IF(IF(J59="",AsOf,J59)-I59&gt;=Settings!$C$13,"Permanent","Probation"))</f>
        <v/>
      </c>
      <c r="I59" s="41"/>
      <c r="J59" s="41"/>
      <c r="K59" s="8"/>
      <c r="L59" s="42" t="str">
        <f aca="false">IF(OR(B59="",I59=""),"",ROUND((IF(J59="",AsOf,J59)-I59)/365.25,1))</f>
        <v/>
      </c>
      <c r="M59" s="8"/>
      <c r="N59" s="8"/>
      <c r="O59" s="8"/>
      <c r="P59" s="8"/>
      <c r="Q59" s="41"/>
      <c r="R59" s="43" t="str">
        <f aca="false">IF(OR(B59="",Q59=""),"",INT((AsOf-Q59)/365.25))</f>
        <v/>
      </c>
      <c r="S59" s="8"/>
      <c r="T59" s="40"/>
      <c r="U59" s="40"/>
      <c r="V59" s="40"/>
      <c r="W59" s="40"/>
      <c r="X59" s="8"/>
      <c r="Y59" s="8"/>
      <c r="Z59" s="8"/>
      <c r="AA59" s="8"/>
      <c r="AB59" s="8"/>
      <c r="AC59" s="8"/>
      <c r="AD59" s="8"/>
      <c r="AE59" s="40"/>
      <c r="AF59" s="8"/>
      <c r="AG59" s="40"/>
      <c r="AH59" s="40"/>
      <c r="AI59" s="8"/>
      <c r="AJ59" s="40"/>
      <c r="AK59" s="40"/>
      <c r="AL59" s="40"/>
      <c r="AM59" s="44"/>
      <c r="AN59" s="44"/>
      <c r="AO59" s="41"/>
      <c r="AP59" s="45" t="str">
        <f aca="false">IF(B59="","",IF(AND(ISNUMBER(AM59),ISNUMBER(AN59),AM59&gt;0,AN59&gt;0),AN59/AM59-1,""))</f>
        <v/>
      </c>
      <c r="AQ59" s="9" t="str">
        <f aca="false">IF(I59="","",(YEAR(I59)-IF(MONTH(I59)&lt;4,1,0))&amp;"-"&amp;RIGHT((YEAR(I59)-IF(MONTH(I59)&lt;4,1,0))+1,2))</f>
        <v/>
      </c>
      <c r="AR59" s="9" t="str">
        <f aca="false">IF(J59="","",(YEAR(J59)-IF(MONTH(J59)&lt;4,1,0))&amp;"-"&amp;RIGHT((YEAR(J59)-IF(MONTH(J59)&lt;4,1,0))+1,2))</f>
        <v/>
      </c>
      <c r="AS59" s="43" t="str">
        <f aca="false">IF(OR(B59="",Q59="",D59&lt;&gt;"Active"),"",DATE(YEAR(AsOf)+IF(DATE(YEAR(AsOf),MONTH(Q59),DAY(Q59))&lt;AsOf,1,0),MONTH(Q59),DAY(Q59))-AsOf)</f>
        <v/>
      </c>
      <c r="AT59" s="43" t="str">
        <f aca="false">IF(OR(B59="",I59="",D59&lt;&gt;"Active"),"",IF(YEAR(DATE(YEAR(AsOf)+IF(DATE(YEAR(AsOf),MONTH(I59),DAY(I59))&lt;AsOf,1,0),MONTH(I59),DAY(I59)))-YEAR(I59)&lt;1,"",DATE(YEAR(AsOf)+IF(DATE(YEAR(AsOf),MONTH(I59),DAY(I59))&lt;AsOf,1,0),MONTH(I59),DAY(I59))-AsOf))</f>
        <v/>
      </c>
      <c r="AU59" s="43" t="str">
        <f aca="false">IF(B59="","",IF(AV59="",0,LEN(AV59)-LEN(SUBSTITUTE(AV59,";",""))))</f>
        <v/>
      </c>
      <c r="AV59" s="9" t="str">
        <f aca="false">IF(B59="","",IF(COUNTIF($B$6:$B$505,B59)&gt;1,"Duplicate Emp Code; ","")&amp;IF(C59="","Name missing; ","")&amp;IF(I59="","DOJ missing; ","")&amp;IF(AND(J59&lt;&gt;"",I59&lt;&gt;"",J59&lt;I59),"Exit before DOJ; ","")&amp;IF(Q59="","DOB missing; ","")&amp;IF(T59="","Aadhaar missing; ",IF(LEN(T59)&lt;&gt;12,"Aadhaar not 12 digits; ",IF(COUNTIF($T$6:$T$505,T59)&gt;1,"Duplicate Aadhaar; ","")))&amp;IF(U59="","PAN missing; ",IF(LEN(U59)&lt;&gt;10,"PAN not 10 chars; ",""))&amp;IF(V59="","Mobile missing; ",IF(LEN(V59)&lt;&gt;10,"Mobile not 10 digits; ",""))&amp;IF(AG59="","Bank A/c missing; ","")&amp;IF(AH59="","IFSC missing; ",IF(LEN(AH59)&lt;&gt;11,"IFSC not 11 chars; ","")))</f>
        <v/>
      </c>
      <c r="AW59" s="46" t="str">
        <f aca="false">IF(AS59="","",AS59+ROW()/100000)</f>
        <v/>
      </c>
      <c r="AX59" s="46" t="str">
        <f aca="false">IF(AT59="","",AT59+ROW()/100000)</f>
        <v/>
      </c>
    </row>
    <row r="60" customFormat="false" ht="15" hidden="false" customHeight="false" outlineLevel="0" collapsed="false">
      <c r="A60" s="9" t="str">
        <f aca="false">IF(B60="","",ROW()-5)</f>
        <v/>
      </c>
      <c r="B60" s="40"/>
      <c r="C60" s="8"/>
      <c r="D60" s="9" t="str">
        <f aca="false">IF(B60="","",IF(J60="","Active","Exited"))</f>
        <v/>
      </c>
      <c r="E60" s="8"/>
      <c r="F60" s="8"/>
      <c r="G60" s="8"/>
      <c r="H60" s="9" t="str">
        <f aca="false">IF(OR(B60="",I60=""),"",IF(IF(J60="",AsOf,J60)-I60&gt;=Settings!$C$13,"Permanent","Probation"))</f>
        <v/>
      </c>
      <c r="I60" s="41"/>
      <c r="J60" s="41"/>
      <c r="K60" s="8"/>
      <c r="L60" s="42" t="str">
        <f aca="false">IF(OR(B60="",I60=""),"",ROUND((IF(J60="",AsOf,J60)-I60)/365.25,1))</f>
        <v/>
      </c>
      <c r="M60" s="8"/>
      <c r="N60" s="8"/>
      <c r="O60" s="8"/>
      <c r="P60" s="8"/>
      <c r="Q60" s="41"/>
      <c r="R60" s="43" t="str">
        <f aca="false">IF(OR(B60="",Q60=""),"",INT((AsOf-Q60)/365.25))</f>
        <v/>
      </c>
      <c r="S60" s="8"/>
      <c r="T60" s="40"/>
      <c r="U60" s="40"/>
      <c r="V60" s="40"/>
      <c r="W60" s="40"/>
      <c r="X60" s="8"/>
      <c r="Y60" s="8"/>
      <c r="Z60" s="8"/>
      <c r="AA60" s="8"/>
      <c r="AB60" s="8"/>
      <c r="AC60" s="8"/>
      <c r="AD60" s="8"/>
      <c r="AE60" s="40"/>
      <c r="AF60" s="8"/>
      <c r="AG60" s="40"/>
      <c r="AH60" s="40"/>
      <c r="AI60" s="8"/>
      <c r="AJ60" s="40"/>
      <c r="AK60" s="40"/>
      <c r="AL60" s="40"/>
      <c r="AM60" s="44"/>
      <c r="AN60" s="44"/>
      <c r="AO60" s="41"/>
      <c r="AP60" s="45" t="str">
        <f aca="false">IF(B60="","",IF(AND(ISNUMBER(AM60),ISNUMBER(AN60),AM60&gt;0,AN60&gt;0),AN60/AM60-1,""))</f>
        <v/>
      </c>
      <c r="AQ60" s="9" t="str">
        <f aca="false">IF(I60="","",(YEAR(I60)-IF(MONTH(I60)&lt;4,1,0))&amp;"-"&amp;RIGHT((YEAR(I60)-IF(MONTH(I60)&lt;4,1,0))+1,2))</f>
        <v/>
      </c>
      <c r="AR60" s="9" t="str">
        <f aca="false">IF(J60="","",(YEAR(J60)-IF(MONTH(J60)&lt;4,1,0))&amp;"-"&amp;RIGHT((YEAR(J60)-IF(MONTH(J60)&lt;4,1,0))+1,2))</f>
        <v/>
      </c>
      <c r="AS60" s="43" t="str">
        <f aca="false">IF(OR(B60="",Q60="",D60&lt;&gt;"Active"),"",DATE(YEAR(AsOf)+IF(DATE(YEAR(AsOf),MONTH(Q60),DAY(Q60))&lt;AsOf,1,0),MONTH(Q60),DAY(Q60))-AsOf)</f>
        <v/>
      </c>
      <c r="AT60" s="43" t="str">
        <f aca="false">IF(OR(B60="",I60="",D60&lt;&gt;"Active"),"",IF(YEAR(DATE(YEAR(AsOf)+IF(DATE(YEAR(AsOf),MONTH(I60),DAY(I60))&lt;AsOf,1,0),MONTH(I60),DAY(I60)))-YEAR(I60)&lt;1,"",DATE(YEAR(AsOf)+IF(DATE(YEAR(AsOf),MONTH(I60),DAY(I60))&lt;AsOf,1,0),MONTH(I60),DAY(I60))-AsOf))</f>
        <v/>
      </c>
      <c r="AU60" s="43" t="str">
        <f aca="false">IF(B60="","",IF(AV60="",0,LEN(AV60)-LEN(SUBSTITUTE(AV60,";",""))))</f>
        <v/>
      </c>
      <c r="AV60" s="9" t="str">
        <f aca="false">IF(B60="","",IF(COUNTIF($B$6:$B$505,B60)&gt;1,"Duplicate Emp Code; ","")&amp;IF(C60="","Name missing; ","")&amp;IF(I60="","DOJ missing; ","")&amp;IF(AND(J60&lt;&gt;"",I60&lt;&gt;"",J60&lt;I60),"Exit before DOJ; ","")&amp;IF(Q60="","DOB missing; ","")&amp;IF(T60="","Aadhaar missing; ",IF(LEN(T60)&lt;&gt;12,"Aadhaar not 12 digits; ",IF(COUNTIF($T$6:$T$505,T60)&gt;1,"Duplicate Aadhaar; ","")))&amp;IF(U60="","PAN missing; ",IF(LEN(U60)&lt;&gt;10,"PAN not 10 chars; ",""))&amp;IF(V60="","Mobile missing; ",IF(LEN(V60)&lt;&gt;10,"Mobile not 10 digits; ",""))&amp;IF(AG60="","Bank A/c missing; ","")&amp;IF(AH60="","IFSC missing; ",IF(LEN(AH60)&lt;&gt;11,"IFSC not 11 chars; ","")))</f>
        <v/>
      </c>
      <c r="AW60" s="46" t="str">
        <f aca="false">IF(AS60="","",AS60+ROW()/100000)</f>
        <v/>
      </c>
      <c r="AX60" s="46" t="str">
        <f aca="false">IF(AT60="","",AT60+ROW()/100000)</f>
        <v/>
      </c>
    </row>
    <row r="61" customFormat="false" ht="15" hidden="false" customHeight="false" outlineLevel="0" collapsed="false">
      <c r="A61" s="9" t="str">
        <f aca="false">IF(B61="","",ROW()-5)</f>
        <v/>
      </c>
      <c r="B61" s="40"/>
      <c r="C61" s="8"/>
      <c r="D61" s="9" t="str">
        <f aca="false">IF(B61="","",IF(J61="","Active","Exited"))</f>
        <v/>
      </c>
      <c r="E61" s="8"/>
      <c r="F61" s="8"/>
      <c r="G61" s="8"/>
      <c r="H61" s="9" t="str">
        <f aca="false">IF(OR(B61="",I61=""),"",IF(IF(J61="",AsOf,J61)-I61&gt;=Settings!$C$13,"Permanent","Probation"))</f>
        <v/>
      </c>
      <c r="I61" s="41"/>
      <c r="J61" s="41"/>
      <c r="K61" s="8"/>
      <c r="L61" s="42" t="str">
        <f aca="false">IF(OR(B61="",I61=""),"",ROUND((IF(J61="",AsOf,J61)-I61)/365.25,1))</f>
        <v/>
      </c>
      <c r="M61" s="8"/>
      <c r="N61" s="8"/>
      <c r="O61" s="8"/>
      <c r="P61" s="8"/>
      <c r="Q61" s="41"/>
      <c r="R61" s="43" t="str">
        <f aca="false">IF(OR(B61="",Q61=""),"",INT((AsOf-Q61)/365.25))</f>
        <v/>
      </c>
      <c r="S61" s="8"/>
      <c r="T61" s="40"/>
      <c r="U61" s="40"/>
      <c r="V61" s="40"/>
      <c r="W61" s="40"/>
      <c r="X61" s="8"/>
      <c r="Y61" s="8"/>
      <c r="Z61" s="8"/>
      <c r="AA61" s="8"/>
      <c r="AB61" s="8"/>
      <c r="AC61" s="8"/>
      <c r="AD61" s="8"/>
      <c r="AE61" s="40"/>
      <c r="AF61" s="8"/>
      <c r="AG61" s="40"/>
      <c r="AH61" s="40"/>
      <c r="AI61" s="8"/>
      <c r="AJ61" s="40"/>
      <c r="AK61" s="40"/>
      <c r="AL61" s="40"/>
      <c r="AM61" s="44"/>
      <c r="AN61" s="44"/>
      <c r="AO61" s="41"/>
      <c r="AP61" s="45" t="str">
        <f aca="false">IF(B61="","",IF(AND(ISNUMBER(AM61),ISNUMBER(AN61),AM61&gt;0,AN61&gt;0),AN61/AM61-1,""))</f>
        <v/>
      </c>
      <c r="AQ61" s="9" t="str">
        <f aca="false">IF(I61="","",(YEAR(I61)-IF(MONTH(I61)&lt;4,1,0))&amp;"-"&amp;RIGHT((YEAR(I61)-IF(MONTH(I61)&lt;4,1,0))+1,2))</f>
        <v/>
      </c>
      <c r="AR61" s="9" t="str">
        <f aca="false">IF(J61="","",(YEAR(J61)-IF(MONTH(J61)&lt;4,1,0))&amp;"-"&amp;RIGHT((YEAR(J61)-IF(MONTH(J61)&lt;4,1,0))+1,2))</f>
        <v/>
      </c>
      <c r="AS61" s="43" t="str">
        <f aca="false">IF(OR(B61="",Q61="",D61&lt;&gt;"Active"),"",DATE(YEAR(AsOf)+IF(DATE(YEAR(AsOf),MONTH(Q61),DAY(Q61))&lt;AsOf,1,0),MONTH(Q61),DAY(Q61))-AsOf)</f>
        <v/>
      </c>
      <c r="AT61" s="43" t="str">
        <f aca="false">IF(OR(B61="",I61="",D61&lt;&gt;"Active"),"",IF(YEAR(DATE(YEAR(AsOf)+IF(DATE(YEAR(AsOf),MONTH(I61),DAY(I61))&lt;AsOf,1,0),MONTH(I61),DAY(I61)))-YEAR(I61)&lt;1,"",DATE(YEAR(AsOf)+IF(DATE(YEAR(AsOf),MONTH(I61),DAY(I61))&lt;AsOf,1,0),MONTH(I61),DAY(I61))-AsOf))</f>
        <v/>
      </c>
      <c r="AU61" s="43" t="str">
        <f aca="false">IF(B61="","",IF(AV61="",0,LEN(AV61)-LEN(SUBSTITUTE(AV61,";",""))))</f>
        <v/>
      </c>
      <c r="AV61" s="9" t="str">
        <f aca="false">IF(B61="","",IF(COUNTIF($B$6:$B$505,B61)&gt;1,"Duplicate Emp Code; ","")&amp;IF(C61="","Name missing; ","")&amp;IF(I61="","DOJ missing; ","")&amp;IF(AND(J61&lt;&gt;"",I61&lt;&gt;"",J61&lt;I61),"Exit before DOJ; ","")&amp;IF(Q61="","DOB missing; ","")&amp;IF(T61="","Aadhaar missing; ",IF(LEN(T61)&lt;&gt;12,"Aadhaar not 12 digits; ",IF(COUNTIF($T$6:$T$505,T61)&gt;1,"Duplicate Aadhaar; ","")))&amp;IF(U61="","PAN missing; ",IF(LEN(U61)&lt;&gt;10,"PAN not 10 chars; ",""))&amp;IF(V61="","Mobile missing; ",IF(LEN(V61)&lt;&gt;10,"Mobile not 10 digits; ",""))&amp;IF(AG61="","Bank A/c missing; ","")&amp;IF(AH61="","IFSC missing; ",IF(LEN(AH61)&lt;&gt;11,"IFSC not 11 chars; ","")))</f>
        <v/>
      </c>
      <c r="AW61" s="46" t="str">
        <f aca="false">IF(AS61="","",AS61+ROW()/100000)</f>
        <v/>
      </c>
      <c r="AX61" s="46" t="str">
        <f aca="false">IF(AT61="","",AT61+ROW()/100000)</f>
        <v/>
      </c>
    </row>
    <row r="62" customFormat="false" ht="15" hidden="false" customHeight="false" outlineLevel="0" collapsed="false">
      <c r="A62" s="9" t="str">
        <f aca="false">IF(B62="","",ROW()-5)</f>
        <v/>
      </c>
      <c r="B62" s="40"/>
      <c r="C62" s="8"/>
      <c r="D62" s="9" t="str">
        <f aca="false">IF(B62="","",IF(J62="","Active","Exited"))</f>
        <v/>
      </c>
      <c r="E62" s="8"/>
      <c r="F62" s="8"/>
      <c r="G62" s="8"/>
      <c r="H62" s="9" t="str">
        <f aca="false">IF(OR(B62="",I62=""),"",IF(IF(J62="",AsOf,J62)-I62&gt;=Settings!$C$13,"Permanent","Probation"))</f>
        <v/>
      </c>
      <c r="I62" s="41"/>
      <c r="J62" s="41"/>
      <c r="K62" s="8"/>
      <c r="L62" s="42" t="str">
        <f aca="false">IF(OR(B62="",I62=""),"",ROUND((IF(J62="",AsOf,J62)-I62)/365.25,1))</f>
        <v/>
      </c>
      <c r="M62" s="8"/>
      <c r="N62" s="8"/>
      <c r="O62" s="8"/>
      <c r="P62" s="8"/>
      <c r="Q62" s="41"/>
      <c r="R62" s="43" t="str">
        <f aca="false">IF(OR(B62="",Q62=""),"",INT((AsOf-Q62)/365.25))</f>
        <v/>
      </c>
      <c r="S62" s="8"/>
      <c r="T62" s="40"/>
      <c r="U62" s="40"/>
      <c r="V62" s="40"/>
      <c r="W62" s="40"/>
      <c r="X62" s="8"/>
      <c r="Y62" s="8"/>
      <c r="Z62" s="8"/>
      <c r="AA62" s="8"/>
      <c r="AB62" s="8"/>
      <c r="AC62" s="8"/>
      <c r="AD62" s="8"/>
      <c r="AE62" s="40"/>
      <c r="AF62" s="8"/>
      <c r="AG62" s="40"/>
      <c r="AH62" s="40"/>
      <c r="AI62" s="8"/>
      <c r="AJ62" s="40"/>
      <c r="AK62" s="40"/>
      <c r="AL62" s="40"/>
      <c r="AM62" s="44"/>
      <c r="AN62" s="44"/>
      <c r="AO62" s="41"/>
      <c r="AP62" s="45" t="str">
        <f aca="false">IF(B62="","",IF(AND(ISNUMBER(AM62),ISNUMBER(AN62),AM62&gt;0,AN62&gt;0),AN62/AM62-1,""))</f>
        <v/>
      </c>
      <c r="AQ62" s="9" t="str">
        <f aca="false">IF(I62="","",(YEAR(I62)-IF(MONTH(I62)&lt;4,1,0))&amp;"-"&amp;RIGHT((YEAR(I62)-IF(MONTH(I62)&lt;4,1,0))+1,2))</f>
        <v/>
      </c>
      <c r="AR62" s="9" t="str">
        <f aca="false">IF(J62="","",(YEAR(J62)-IF(MONTH(J62)&lt;4,1,0))&amp;"-"&amp;RIGHT((YEAR(J62)-IF(MONTH(J62)&lt;4,1,0))+1,2))</f>
        <v/>
      </c>
      <c r="AS62" s="43" t="str">
        <f aca="false">IF(OR(B62="",Q62="",D62&lt;&gt;"Active"),"",DATE(YEAR(AsOf)+IF(DATE(YEAR(AsOf),MONTH(Q62),DAY(Q62))&lt;AsOf,1,0),MONTH(Q62),DAY(Q62))-AsOf)</f>
        <v/>
      </c>
      <c r="AT62" s="43" t="str">
        <f aca="false">IF(OR(B62="",I62="",D62&lt;&gt;"Active"),"",IF(YEAR(DATE(YEAR(AsOf)+IF(DATE(YEAR(AsOf),MONTH(I62),DAY(I62))&lt;AsOf,1,0),MONTH(I62),DAY(I62)))-YEAR(I62)&lt;1,"",DATE(YEAR(AsOf)+IF(DATE(YEAR(AsOf),MONTH(I62),DAY(I62))&lt;AsOf,1,0),MONTH(I62),DAY(I62))-AsOf))</f>
        <v/>
      </c>
      <c r="AU62" s="43" t="str">
        <f aca="false">IF(B62="","",IF(AV62="",0,LEN(AV62)-LEN(SUBSTITUTE(AV62,";",""))))</f>
        <v/>
      </c>
      <c r="AV62" s="9" t="str">
        <f aca="false">IF(B62="","",IF(COUNTIF($B$6:$B$505,B62)&gt;1,"Duplicate Emp Code; ","")&amp;IF(C62="","Name missing; ","")&amp;IF(I62="","DOJ missing; ","")&amp;IF(AND(J62&lt;&gt;"",I62&lt;&gt;"",J62&lt;I62),"Exit before DOJ; ","")&amp;IF(Q62="","DOB missing; ","")&amp;IF(T62="","Aadhaar missing; ",IF(LEN(T62)&lt;&gt;12,"Aadhaar not 12 digits; ",IF(COUNTIF($T$6:$T$505,T62)&gt;1,"Duplicate Aadhaar; ","")))&amp;IF(U62="","PAN missing; ",IF(LEN(U62)&lt;&gt;10,"PAN not 10 chars; ",""))&amp;IF(V62="","Mobile missing; ",IF(LEN(V62)&lt;&gt;10,"Mobile not 10 digits; ",""))&amp;IF(AG62="","Bank A/c missing; ","")&amp;IF(AH62="","IFSC missing; ",IF(LEN(AH62)&lt;&gt;11,"IFSC not 11 chars; ","")))</f>
        <v/>
      </c>
      <c r="AW62" s="46" t="str">
        <f aca="false">IF(AS62="","",AS62+ROW()/100000)</f>
        <v/>
      </c>
      <c r="AX62" s="46" t="str">
        <f aca="false">IF(AT62="","",AT62+ROW()/100000)</f>
        <v/>
      </c>
    </row>
    <row r="63" customFormat="false" ht="15" hidden="false" customHeight="false" outlineLevel="0" collapsed="false">
      <c r="A63" s="9" t="str">
        <f aca="false">IF(B63="","",ROW()-5)</f>
        <v/>
      </c>
      <c r="B63" s="40"/>
      <c r="C63" s="8"/>
      <c r="D63" s="9" t="str">
        <f aca="false">IF(B63="","",IF(J63="","Active","Exited"))</f>
        <v/>
      </c>
      <c r="E63" s="8"/>
      <c r="F63" s="8"/>
      <c r="G63" s="8"/>
      <c r="H63" s="9" t="str">
        <f aca="false">IF(OR(B63="",I63=""),"",IF(IF(J63="",AsOf,J63)-I63&gt;=Settings!$C$13,"Permanent","Probation"))</f>
        <v/>
      </c>
      <c r="I63" s="41"/>
      <c r="J63" s="41"/>
      <c r="K63" s="8"/>
      <c r="L63" s="42" t="str">
        <f aca="false">IF(OR(B63="",I63=""),"",ROUND((IF(J63="",AsOf,J63)-I63)/365.25,1))</f>
        <v/>
      </c>
      <c r="M63" s="8"/>
      <c r="N63" s="8"/>
      <c r="O63" s="8"/>
      <c r="P63" s="8"/>
      <c r="Q63" s="41"/>
      <c r="R63" s="43" t="str">
        <f aca="false">IF(OR(B63="",Q63=""),"",INT((AsOf-Q63)/365.25))</f>
        <v/>
      </c>
      <c r="S63" s="8"/>
      <c r="T63" s="40"/>
      <c r="U63" s="40"/>
      <c r="V63" s="40"/>
      <c r="W63" s="40"/>
      <c r="X63" s="8"/>
      <c r="Y63" s="8"/>
      <c r="Z63" s="8"/>
      <c r="AA63" s="8"/>
      <c r="AB63" s="8"/>
      <c r="AC63" s="8"/>
      <c r="AD63" s="8"/>
      <c r="AE63" s="40"/>
      <c r="AF63" s="8"/>
      <c r="AG63" s="40"/>
      <c r="AH63" s="40"/>
      <c r="AI63" s="8"/>
      <c r="AJ63" s="40"/>
      <c r="AK63" s="40"/>
      <c r="AL63" s="40"/>
      <c r="AM63" s="44"/>
      <c r="AN63" s="44"/>
      <c r="AO63" s="41"/>
      <c r="AP63" s="45" t="str">
        <f aca="false">IF(B63="","",IF(AND(ISNUMBER(AM63),ISNUMBER(AN63),AM63&gt;0,AN63&gt;0),AN63/AM63-1,""))</f>
        <v/>
      </c>
      <c r="AQ63" s="9" t="str">
        <f aca="false">IF(I63="","",(YEAR(I63)-IF(MONTH(I63)&lt;4,1,0))&amp;"-"&amp;RIGHT((YEAR(I63)-IF(MONTH(I63)&lt;4,1,0))+1,2))</f>
        <v/>
      </c>
      <c r="AR63" s="9" t="str">
        <f aca="false">IF(J63="","",(YEAR(J63)-IF(MONTH(J63)&lt;4,1,0))&amp;"-"&amp;RIGHT((YEAR(J63)-IF(MONTH(J63)&lt;4,1,0))+1,2))</f>
        <v/>
      </c>
      <c r="AS63" s="43" t="str">
        <f aca="false">IF(OR(B63="",Q63="",D63&lt;&gt;"Active"),"",DATE(YEAR(AsOf)+IF(DATE(YEAR(AsOf),MONTH(Q63),DAY(Q63))&lt;AsOf,1,0),MONTH(Q63),DAY(Q63))-AsOf)</f>
        <v/>
      </c>
      <c r="AT63" s="43" t="str">
        <f aca="false">IF(OR(B63="",I63="",D63&lt;&gt;"Active"),"",IF(YEAR(DATE(YEAR(AsOf)+IF(DATE(YEAR(AsOf),MONTH(I63),DAY(I63))&lt;AsOf,1,0),MONTH(I63),DAY(I63)))-YEAR(I63)&lt;1,"",DATE(YEAR(AsOf)+IF(DATE(YEAR(AsOf),MONTH(I63),DAY(I63))&lt;AsOf,1,0),MONTH(I63),DAY(I63))-AsOf))</f>
        <v/>
      </c>
      <c r="AU63" s="43" t="str">
        <f aca="false">IF(B63="","",IF(AV63="",0,LEN(AV63)-LEN(SUBSTITUTE(AV63,";",""))))</f>
        <v/>
      </c>
      <c r="AV63" s="9" t="str">
        <f aca="false">IF(B63="","",IF(COUNTIF($B$6:$B$505,B63)&gt;1,"Duplicate Emp Code; ","")&amp;IF(C63="","Name missing; ","")&amp;IF(I63="","DOJ missing; ","")&amp;IF(AND(J63&lt;&gt;"",I63&lt;&gt;"",J63&lt;I63),"Exit before DOJ; ","")&amp;IF(Q63="","DOB missing; ","")&amp;IF(T63="","Aadhaar missing; ",IF(LEN(T63)&lt;&gt;12,"Aadhaar not 12 digits; ",IF(COUNTIF($T$6:$T$505,T63)&gt;1,"Duplicate Aadhaar; ","")))&amp;IF(U63="","PAN missing; ",IF(LEN(U63)&lt;&gt;10,"PAN not 10 chars; ",""))&amp;IF(V63="","Mobile missing; ",IF(LEN(V63)&lt;&gt;10,"Mobile not 10 digits; ",""))&amp;IF(AG63="","Bank A/c missing; ","")&amp;IF(AH63="","IFSC missing; ",IF(LEN(AH63)&lt;&gt;11,"IFSC not 11 chars; ","")))</f>
        <v/>
      </c>
      <c r="AW63" s="46" t="str">
        <f aca="false">IF(AS63="","",AS63+ROW()/100000)</f>
        <v/>
      </c>
      <c r="AX63" s="46" t="str">
        <f aca="false">IF(AT63="","",AT63+ROW()/100000)</f>
        <v/>
      </c>
    </row>
    <row r="64" customFormat="false" ht="15" hidden="false" customHeight="false" outlineLevel="0" collapsed="false">
      <c r="A64" s="9" t="str">
        <f aca="false">IF(B64="","",ROW()-5)</f>
        <v/>
      </c>
      <c r="B64" s="40"/>
      <c r="C64" s="8"/>
      <c r="D64" s="9" t="str">
        <f aca="false">IF(B64="","",IF(J64="","Active","Exited"))</f>
        <v/>
      </c>
      <c r="E64" s="8"/>
      <c r="F64" s="8"/>
      <c r="G64" s="8"/>
      <c r="H64" s="9" t="str">
        <f aca="false">IF(OR(B64="",I64=""),"",IF(IF(J64="",AsOf,J64)-I64&gt;=Settings!$C$13,"Permanent","Probation"))</f>
        <v/>
      </c>
      <c r="I64" s="41"/>
      <c r="J64" s="41"/>
      <c r="K64" s="8"/>
      <c r="L64" s="42" t="str">
        <f aca="false">IF(OR(B64="",I64=""),"",ROUND((IF(J64="",AsOf,J64)-I64)/365.25,1))</f>
        <v/>
      </c>
      <c r="M64" s="8"/>
      <c r="N64" s="8"/>
      <c r="O64" s="8"/>
      <c r="P64" s="8"/>
      <c r="Q64" s="41"/>
      <c r="R64" s="43" t="str">
        <f aca="false">IF(OR(B64="",Q64=""),"",INT((AsOf-Q64)/365.25))</f>
        <v/>
      </c>
      <c r="S64" s="8"/>
      <c r="T64" s="40"/>
      <c r="U64" s="40"/>
      <c r="V64" s="40"/>
      <c r="W64" s="40"/>
      <c r="X64" s="8"/>
      <c r="Y64" s="8"/>
      <c r="Z64" s="8"/>
      <c r="AA64" s="8"/>
      <c r="AB64" s="8"/>
      <c r="AC64" s="8"/>
      <c r="AD64" s="8"/>
      <c r="AE64" s="40"/>
      <c r="AF64" s="8"/>
      <c r="AG64" s="40"/>
      <c r="AH64" s="40"/>
      <c r="AI64" s="8"/>
      <c r="AJ64" s="40"/>
      <c r="AK64" s="40"/>
      <c r="AL64" s="40"/>
      <c r="AM64" s="44"/>
      <c r="AN64" s="44"/>
      <c r="AO64" s="41"/>
      <c r="AP64" s="45" t="str">
        <f aca="false">IF(B64="","",IF(AND(ISNUMBER(AM64),ISNUMBER(AN64),AM64&gt;0,AN64&gt;0),AN64/AM64-1,""))</f>
        <v/>
      </c>
      <c r="AQ64" s="9" t="str">
        <f aca="false">IF(I64="","",(YEAR(I64)-IF(MONTH(I64)&lt;4,1,0))&amp;"-"&amp;RIGHT((YEAR(I64)-IF(MONTH(I64)&lt;4,1,0))+1,2))</f>
        <v/>
      </c>
      <c r="AR64" s="9" t="str">
        <f aca="false">IF(J64="","",(YEAR(J64)-IF(MONTH(J64)&lt;4,1,0))&amp;"-"&amp;RIGHT((YEAR(J64)-IF(MONTH(J64)&lt;4,1,0))+1,2))</f>
        <v/>
      </c>
      <c r="AS64" s="43" t="str">
        <f aca="false">IF(OR(B64="",Q64="",D64&lt;&gt;"Active"),"",DATE(YEAR(AsOf)+IF(DATE(YEAR(AsOf),MONTH(Q64),DAY(Q64))&lt;AsOf,1,0),MONTH(Q64),DAY(Q64))-AsOf)</f>
        <v/>
      </c>
      <c r="AT64" s="43" t="str">
        <f aca="false">IF(OR(B64="",I64="",D64&lt;&gt;"Active"),"",IF(YEAR(DATE(YEAR(AsOf)+IF(DATE(YEAR(AsOf),MONTH(I64),DAY(I64))&lt;AsOf,1,0),MONTH(I64),DAY(I64)))-YEAR(I64)&lt;1,"",DATE(YEAR(AsOf)+IF(DATE(YEAR(AsOf),MONTH(I64),DAY(I64))&lt;AsOf,1,0),MONTH(I64),DAY(I64))-AsOf))</f>
        <v/>
      </c>
      <c r="AU64" s="43" t="str">
        <f aca="false">IF(B64="","",IF(AV64="",0,LEN(AV64)-LEN(SUBSTITUTE(AV64,";",""))))</f>
        <v/>
      </c>
      <c r="AV64" s="9" t="str">
        <f aca="false">IF(B64="","",IF(COUNTIF($B$6:$B$505,B64)&gt;1,"Duplicate Emp Code; ","")&amp;IF(C64="","Name missing; ","")&amp;IF(I64="","DOJ missing; ","")&amp;IF(AND(J64&lt;&gt;"",I64&lt;&gt;"",J64&lt;I64),"Exit before DOJ; ","")&amp;IF(Q64="","DOB missing; ","")&amp;IF(T64="","Aadhaar missing; ",IF(LEN(T64)&lt;&gt;12,"Aadhaar not 12 digits; ",IF(COUNTIF($T$6:$T$505,T64)&gt;1,"Duplicate Aadhaar; ","")))&amp;IF(U64="","PAN missing; ",IF(LEN(U64)&lt;&gt;10,"PAN not 10 chars; ",""))&amp;IF(V64="","Mobile missing; ",IF(LEN(V64)&lt;&gt;10,"Mobile not 10 digits; ",""))&amp;IF(AG64="","Bank A/c missing; ","")&amp;IF(AH64="","IFSC missing; ",IF(LEN(AH64)&lt;&gt;11,"IFSC not 11 chars; ","")))</f>
        <v/>
      </c>
      <c r="AW64" s="46" t="str">
        <f aca="false">IF(AS64="","",AS64+ROW()/100000)</f>
        <v/>
      </c>
      <c r="AX64" s="46" t="str">
        <f aca="false">IF(AT64="","",AT64+ROW()/100000)</f>
        <v/>
      </c>
    </row>
    <row r="65" customFormat="false" ht="15" hidden="false" customHeight="false" outlineLevel="0" collapsed="false">
      <c r="A65" s="9" t="str">
        <f aca="false">IF(B65="","",ROW()-5)</f>
        <v/>
      </c>
      <c r="B65" s="40"/>
      <c r="C65" s="8"/>
      <c r="D65" s="9" t="str">
        <f aca="false">IF(B65="","",IF(J65="","Active","Exited"))</f>
        <v/>
      </c>
      <c r="E65" s="8"/>
      <c r="F65" s="8"/>
      <c r="G65" s="8"/>
      <c r="H65" s="9" t="str">
        <f aca="false">IF(OR(B65="",I65=""),"",IF(IF(J65="",AsOf,J65)-I65&gt;=Settings!$C$13,"Permanent","Probation"))</f>
        <v/>
      </c>
      <c r="I65" s="41"/>
      <c r="J65" s="41"/>
      <c r="K65" s="8"/>
      <c r="L65" s="42" t="str">
        <f aca="false">IF(OR(B65="",I65=""),"",ROUND((IF(J65="",AsOf,J65)-I65)/365.25,1))</f>
        <v/>
      </c>
      <c r="M65" s="8"/>
      <c r="N65" s="8"/>
      <c r="O65" s="8"/>
      <c r="P65" s="8"/>
      <c r="Q65" s="41"/>
      <c r="R65" s="43" t="str">
        <f aca="false">IF(OR(B65="",Q65=""),"",INT((AsOf-Q65)/365.25))</f>
        <v/>
      </c>
      <c r="S65" s="8"/>
      <c r="T65" s="40"/>
      <c r="U65" s="40"/>
      <c r="V65" s="40"/>
      <c r="W65" s="40"/>
      <c r="X65" s="8"/>
      <c r="Y65" s="8"/>
      <c r="Z65" s="8"/>
      <c r="AA65" s="8"/>
      <c r="AB65" s="8"/>
      <c r="AC65" s="8"/>
      <c r="AD65" s="8"/>
      <c r="AE65" s="40"/>
      <c r="AF65" s="8"/>
      <c r="AG65" s="40"/>
      <c r="AH65" s="40"/>
      <c r="AI65" s="8"/>
      <c r="AJ65" s="40"/>
      <c r="AK65" s="40"/>
      <c r="AL65" s="40"/>
      <c r="AM65" s="44"/>
      <c r="AN65" s="44"/>
      <c r="AO65" s="41"/>
      <c r="AP65" s="45" t="str">
        <f aca="false">IF(B65="","",IF(AND(ISNUMBER(AM65),ISNUMBER(AN65),AM65&gt;0,AN65&gt;0),AN65/AM65-1,""))</f>
        <v/>
      </c>
      <c r="AQ65" s="9" t="str">
        <f aca="false">IF(I65="","",(YEAR(I65)-IF(MONTH(I65)&lt;4,1,0))&amp;"-"&amp;RIGHT((YEAR(I65)-IF(MONTH(I65)&lt;4,1,0))+1,2))</f>
        <v/>
      </c>
      <c r="AR65" s="9" t="str">
        <f aca="false">IF(J65="","",(YEAR(J65)-IF(MONTH(J65)&lt;4,1,0))&amp;"-"&amp;RIGHT((YEAR(J65)-IF(MONTH(J65)&lt;4,1,0))+1,2))</f>
        <v/>
      </c>
      <c r="AS65" s="43" t="str">
        <f aca="false">IF(OR(B65="",Q65="",D65&lt;&gt;"Active"),"",DATE(YEAR(AsOf)+IF(DATE(YEAR(AsOf),MONTH(Q65),DAY(Q65))&lt;AsOf,1,0),MONTH(Q65),DAY(Q65))-AsOf)</f>
        <v/>
      </c>
      <c r="AT65" s="43" t="str">
        <f aca="false">IF(OR(B65="",I65="",D65&lt;&gt;"Active"),"",IF(YEAR(DATE(YEAR(AsOf)+IF(DATE(YEAR(AsOf),MONTH(I65),DAY(I65))&lt;AsOf,1,0),MONTH(I65),DAY(I65)))-YEAR(I65)&lt;1,"",DATE(YEAR(AsOf)+IF(DATE(YEAR(AsOf),MONTH(I65),DAY(I65))&lt;AsOf,1,0),MONTH(I65),DAY(I65))-AsOf))</f>
        <v/>
      </c>
      <c r="AU65" s="43" t="str">
        <f aca="false">IF(B65="","",IF(AV65="",0,LEN(AV65)-LEN(SUBSTITUTE(AV65,";",""))))</f>
        <v/>
      </c>
      <c r="AV65" s="9" t="str">
        <f aca="false">IF(B65="","",IF(COUNTIF($B$6:$B$505,B65)&gt;1,"Duplicate Emp Code; ","")&amp;IF(C65="","Name missing; ","")&amp;IF(I65="","DOJ missing; ","")&amp;IF(AND(J65&lt;&gt;"",I65&lt;&gt;"",J65&lt;I65),"Exit before DOJ; ","")&amp;IF(Q65="","DOB missing; ","")&amp;IF(T65="","Aadhaar missing; ",IF(LEN(T65)&lt;&gt;12,"Aadhaar not 12 digits; ",IF(COUNTIF($T$6:$T$505,T65)&gt;1,"Duplicate Aadhaar; ","")))&amp;IF(U65="","PAN missing; ",IF(LEN(U65)&lt;&gt;10,"PAN not 10 chars; ",""))&amp;IF(V65="","Mobile missing; ",IF(LEN(V65)&lt;&gt;10,"Mobile not 10 digits; ",""))&amp;IF(AG65="","Bank A/c missing; ","")&amp;IF(AH65="","IFSC missing; ",IF(LEN(AH65)&lt;&gt;11,"IFSC not 11 chars; ","")))</f>
        <v/>
      </c>
      <c r="AW65" s="46" t="str">
        <f aca="false">IF(AS65="","",AS65+ROW()/100000)</f>
        <v/>
      </c>
      <c r="AX65" s="46" t="str">
        <f aca="false">IF(AT65="","",AT65+ROW()/100000)</f>
        <v/>
      </c>
    </row>
    <row r="66" customFormat="false" ht="15" hidden="false" customHeight="false" outlineLevel="0" collapsed="false">
      <c r="A66" s="9" t="str">
        <f aca="false">IF(B66="","",ROW()-5)</f>
        <v/>
      </c>
      <c r="B66" s="40"/>
      <c r="C66" s="8"/>
      <c r="D66" s="9" t="str">
        <f aca="false">IF(B66="","",IF(J66="","Active","Exited"))</f>
        <v/>
      </c>
      <c r="E66" s="8"/>
      <c r="F66" s="8"/>
      <c r="G66" s="8"/>
      <c r="H66" s="9" t="str">
        <f aca="false">IF(OR(B66="",I66=""),"",IF(IF(J66="",AsOf,J66)-I66&gt;=Settings!$C$13,"Permanent","Probation"))</f>
        <v/>
      </c>
      <c r="I66" s="41"/>
      <c r="J66" s="41"/>
      <c r="K66" s="8"/>
      <c r="L66" s="42" t="str">
        <f aca="false">IF(OR(B66="",I66=""),"",ROUND((IF(J66="",AsOf,J66)-I66)/365.25,1))</f>
        <v/>
      </c>
      <c r="M66" s="8"/>
      <c r="N66" s="8"/>
      <c r="O66" s="8"/>
      <c r="P66" s="8"/>
      <c r="Q66" s="41"/>
      <c r="R66" s="43" t="str">
        <f aca="false">IF(OR(B66="",Q66=""),"",INT((AsOf-Q66)/365.25))</f>
        <v/>
      </c>
      <c r="S66" s="8"/>
      <c r="T66" s="40"/>
      <c r="U66" s="40"/>
      <c r="V66" s="40"/>
      <c r="W66" s="40"/>
      <c r="X66" s="8"/>
      <c r="Y66" s="8"/>
      <c r="Z66" s="8"/>
      <c r="AA66" s="8"/>
      <c r="AB66" s="8"/>
      <c r="AC66" s="8"/>
      <c r="AD66" s="8"/>
      <c r="AE66" s="40"/>
      <c r="AF66" s="8"/>
      <c r="AG66" s="40"/>
      <c r="AH66" s="40"/>
      <c r="AI66" s="8"/>
      <c r="AJ66" s="40"/>
      <c r="AK66" s="40"/>
      <c r="AL66" s="40"/>
      <c r="AM66" s="44"/>
      <c r="AN66" s="44"/>
      <c r="AO66" s="41"/>
      <c r="AP66" s="45" t="str">
        <f aca="false">IF(B66="","",IF(AND(ISNUMBER(AM66),ISNUMBER(AN66),AM66&gt;0,AN66&gt;0),AN66/AM66-1,""))</f>
        <v/>
      </c>
      <c r="AQ66" s="9" t="str">
        <f aca="false">IF(I66="","",(YEAR(I66)-IF(MONTH(I66)&lt;4,1,0))&amp;"-"&amp;RIGHT((YEAR(I66)-IF(MONTH(I66)&lt;4,1,0))+1,2))</f>
        <v/>
      </c>
      <c r="AR66" s="9" t="str">
        <f aca="false">IF(J66="","",(YEAR(J66)-IF(MONTH(J66)&lt;4,1,0))&amp;"-"&amp;RIGHT((YEAR(J66)-IF(MONTH(J66)&lt;4,1,0))+1,2))</f>
        <v/>
      </c>
      <c r="AS66" s="43" t="str">
        <f aca="false">IF(OR(B66="",Q66="",D66&lt;&gt;"Active"),"",DATE(YEAR(AsOf)+IF(DATE(YEAR(AsOf),MONTH(Q66),DAY(Q66))&lt;AsOf,1,0),MONTH(Q66),DAY(Q66))-AsOf)</f>
        <v/>
      </c>
      <c r="AT66" s="43" t="str">
        <f aca="false">IF(OR(B66="",I66="",D66&lt;&gt;"Active"),"",IF(YEAR(DATE(YEAR(AsOf)+IF(DATE(YEAR(AsOf),MONTH(I66),DAY(I66))&lt;AsOf,1,0),MONTH(I66),DAY(I66)))-YEAR(I66)&lt;1,"",DATE(YEAR(AsOf)+IF(DATE(YEAR(AsOf),MONTH(I66),DAY(I66))&lt;AsOf,1,0),MONTH(I66),DAY(I66))-AsOf))</f>
        <v/>
      </c>
      <c r="AU66" s="43" t="str">
        <f aca="false">IF(B66="","",IF(AV66="",0,LEN(AV66)-LEN(SUBSTITUTE(AV66,";",""))))</f>
        <v/>
      </c>
      <c r="AV66" s="9" t="str">
        <f aca="false">IF(B66="","",IF(COUNTIF($B$6:$B$505,B66)&gt;1,"Duplicate Emp Code; ","")&amp;IF(C66="","Name missing; ","")&amp;IF(I66="","DOJ missing; ","")&amp;IF(AND(J66&lt;&gt;"",I66&lt;&gt;"",J66&lt;I66),"Exit before DOJ; ","")&amp;IF(Q66="","DOB missing; ","")&amp;IF(T66="","Aadhaar missing; ",IF(LEN(T66)&lt;&gt;12,"Aadhaar not 12 digits; ",IF(COUNTIF($T$6:$T$505,T66)&gt;1,"Duplicate Aadhaar; ","")))&amp;IF(U66="","PAN missing; ",IF(LEN(U66)&lt;&gt;10,"PAN not 10 chars; ",""))&amp;IF(V66="","Mobile missing; ",IF(LEN(V66)&lt;&gt;10,"Mobile not 10 digits; ",""))&amp;IF(AG66="","Bank A/c missing; ","")&amp;IF(AH66="","IFSC missing; ",IF(LEN(AH66)&lt;&gt;11,"IFSC not 11 chars; ","")))</f>
        <v/>
      </c>
      <c r="AW66" s="46" t="str">
        <f aca="false">IF(AS66="","",AS66+ROW()/100000)</f>
        <v/>
      </c>
      <c r="AX66" s="46" t="str">
        <f aca="false">IF(AT66="","",AT66+ROW()/100000)</f>
        <v/>
      </c>
    </row>
    <row r="67" customFormat="false" ht="15" hidden="false" customHeight="false" outlineLevel="0" collapsed="false">
      <c r="A67" s="9" t="str">
        <f aca="false">IF(B67="","",ROW()-5)</f>
        <v/>
      </c>
      <c r="B67" s="40"/>
      <c r="C67" s="8"/>
      <c r="D67" s="9" t="str">
        <f aca="false">IF(B67="","",IF(J67="","Active","Exited"))</f>
        <v/>
      </c>
      <c r="E67" s="8"/>
      <c r="F67" s="8"/>
      <c r="G67" s="8"/>
      <c r="H67" s="9" t="str">
        <f aca="false">IF(OR(B67="",I67=""),"",IF(IF(J67="",AsOf,J67)-I67&gt;=Settings!$C$13,"Permanent","Probation"))</f>
        <v/>
      </c>
      <c r="I67" s="41"/>
      <c r="J67" s="41"/>
      <c r="K67" s="8"/>
      <c r="L67" s="42" t="str">
        <f aca="false">IF(OR(B67="",I67=""),"",ROUND((IF(J67="",AsOf,J67)-I67)/365.25,1))</f>
        <v/>
      </c>
      <c r="M67" s="8"/>
      <c r="N67" s="8"/>
      <c r="O67" s="8"/>
      <c r="P67" s="8"/>
      <c r="Q67" s="41"/>
      <c r="R67" s="43" t="str">
        <f aca="false">IF(OR(B67="",Q67=""),"",INT((AsOf-Q67)/365.25))</f>
        <v/>
      </c>
      <c r="S67" s="8"/>
      <c r="T67" s="40"/>
      <c r="U67" s="40"/>
      <c r="V67" s="40"/>
      <c r="W67" s="40"/>
      <c r="X67" s="8"/>
      <c r="Y67" s="8"/>
      <c r="Z67" s="8"/>
      <c r="AA67" s="8"/>
      <c r="AB67" s="8"/>
      <c r="AC67" s="8"/>
      <c r="AD67" s="8"/>
      <c r="AE67" s="40"/>
      <c r="AF67" s="8"/>
      <c r="AG67" s="40"/>
      <c r="AH67" s="40"/>
      <c r="AI67" s="8"/>
      <c r="AJ67" s="40"/>
      <c r="AK67" s="40"/>
      <c r="AL67" s="40"/>
      <c r="AM67" s="44"/>
      <c r="AN67" s="44"/>
      <c r="AO67" s="41"/>
      <c r="AP67" s="45" t="str">
        <f aca="false">IF(B67="","",IF(AND(ISNUMBER(AM67),ISNUMBER(AN67),AM67&gt;0,AN67&gt;0),AN67/AM67-1,""))</f>
        <v/>
      </c>
      <c r="AQ67" s="9" t="str">
        <f aca="false">IF(I67="","",(YEAR(I67)-IF(MONTH(I67)&lt;4,1,0))&amp;"-"&amp;RIGHT((YEAR(I67)-IF(MONTH(I67)&lt;4,1,0))+1,2))</f>
        <v/>
      </c>
      <c r="AR67" s="9" t="str">
        <f aca="false">IF(J67="","",(YEAR(J67)-IF(MONTH(J67)&lt;4,1,0))&amp;"-"&amp;RIGHT((YEAR(J67)-IF(MONTH(J67)&lt;4,1,0))+1,2))</f>
        <v/>
      </c>
      <c r="AS67" s="43" t="str">
        <f aca="false">IF(OR(B67="",Q67="",D67&lt;&gt;"Active"),"",DATE(YEAR(AsOf)+IF(DATE(YEAR(AsOf),MONTH(Q67),DAY(Q67))&lt;AsOf,1,0),MONTH(Q67),DAY(Q67))-AsOf)</f>
        <v/>
      </c>
      <c r="AT67" s="43" t="str">
        <f aca="false">IF(OR(B67="",I67="",D67&lt;&gt;"Active"),"",IF(YEAR(DATE(YEAR(AsOf)+IF(DATE(YEAR(AsOf),MONTH(I67),DAY(I67))&lt;AsOf,1,0),MONTH(I67),DAY(I67)))-YEAR(I67)&lt;1,"",DATE(YEAR(AsOf)+IF(DATE(YEAR(AsOf),MONTH(I67),DAY(I67))&lt;AsOf,1,0),MONTH(I67),DAY(I67))-AsOf))</f>
        <v/>
      </c>
      <c r="AU67" s="43" t="str">
        <f aca="false">IF(B67="","",IF(AV67="",0,LEN(AV67)-LEN(SUBSTITUTE(AV67,";",""))))</f>
        <v/>
      </c>
      <c r="AV67" s="9" t="str">
        <f aca="false">IF(B67="","",IF(COUNTIF($B$6:$B$505,B67)&gt;1,"Duplicate Emp Code; ","")&amp;IF(C67="","Name missing; ","")&amp;IF(I67="","DOJ missing; ","")&amp;IF(AND(J67&lt;&gt;"",I67&lt;&gt;"",J67&lt;I67),"Exit before DOJ; ","")&amp;IF(Q67="","DOB missing; ","")&amp;IF(T67="","Aadhaar missing; ",IF(LEN(T67)&lt;&gt;12,"Aadhaar not 12 digits; ",IF(COUNTIF($T$6:$T$505,T67)&gt;1,"Duplicate Aadhaar; ","")))&amp;IF(U67="","PAN missing; ",IF(LEN(U67)&lt;&gt;10,"PAN not 10 chars; ",""))&amp;IF(V67="","Mobile missing; ",IF(LEN(V67)&lt;&gt;10,"Mobile not 10 digits; ",""))&amp;IF(AG67="","Bank A/c missing; ","")&amp;IF(AH67="","IFSC missing; ",IF(LEN(AH67)&lt;&gt;11,"IFSC not 11 chars; ","")))</f>
        <v/>
      </c>
      <c r="AW67" s="46" t="str">
        <f aca="false">IF(AS67="","",AS67+ROW()/100000)</f>
        <v/>
      </c>
      <c r="AX67" s="46" t="str">
        <f aca="false">IF(AT67="","",AT67+ROW()/100000)</f>
        <v/>
      </c>
    </row>
    <row r="68" customFormat="false" ht="15" hidden="false" customHeight="false" outlineLevel="0" collapsed="false">
      <c r="A68" s="9" t="str">
        <f aca="false">IF(B68="","",ROW()-5)</f>
        <v/>
      </c>
      <c r="B68" s="40"/>
      <c r="C68" s="8"/>
      <c r="D68" s="9" t="str">
        <f aca="false">IF(B68="","",IF(J68="","Active","Exited"))</f>
        <v/>
      </c>
      <c r="E68" s="8"/>
      <c r="F68" s="8"/>
      <c r="G68" s="8"/>
      <c r="H68" s="9" t="str">
        <f aca="false">IF(OR(B68="",I68=""),"",IF(IF(J68="",AsOf,J68)-I68&gt;=Settings!$C$13,"Permanent","Probation"))</f>
        <v/>
      </c>
      <c r="I68" s="41"/>
      <c r="J68" s="41"/>
      <c r="K68" s="8"/>
      <c r="L68" s="42" t="str">
        <f aca="false">IF(OR(B68="",I68=""),"",ROUND((IF(J68="",AsOf,J68)-I68)/365.25,1))</f>
        <v/>
      </c>
      <c r="M68" s="8"/>
      <c r="N68" s="8"/>
      <c r="O68" s="8"/>
      <c r="P68" s="8"/>
      <c r="Q68" s="41"/>
      <c r="R68" s="43" t="str">
        <f aca="false">IF(OR(B68="",Q68=""),"",INT((AsOf-Q68)/365.25))</f>
        <v/>
      </c>
      <c r="S68" s="8"/>
      <c r="T68" s="40"/>
      <c r="U68" s="40"/>
      <c r="V68" s="40"/>
      <c r="W68" s="40"/>
      <c r="X68" s="8"/>
      <c r="Y68" s="8"/>
      <c r="Z68" s="8"/>
      <c r="AA68" s="8"/>
      <c r="AB68" s="8"/>
      <c r="AC68" s="8"/>
      <c r="AD68" s="8"/>
      <c r="AE68" s="40"/>
      <c r="AF68" s="8"/>
      <c r="AG68" s="40"/>
      <c r="AH68" s="40"/>
      <c r="AI68" s="8"/>
      <c r="AJ68" s="40"/>
      <c r="AK68" s="40"/>
      <c r="AL68" s="40"/>
      <c r="AM68" s="44"/>
      <c r="AN68" s="44"/>
      <c r="AO68" s="41"/>
      <c r="AP68" s="45" t="str">
        <f aca="false">IF(B68="","",IF(AND(ISNUMBER(AM68),ISNUMBER(AN68),AM68&gt;0,AN68&gt;0),AN68/AM68-1,""))</f>
        <v/>
      </c>
      <c r="AQ68" s="9" t="str">
        <f aca="false">IF(I68="","",(YEAR(I68)-IF(MONTH(I68)&lt;4,1,0))&amp;"-"&amp;RIGHT((YEAR(I68)-IF(MONTH(I68)&lt;4,1,0))+1,2))</f>
        <v/>
      </c>
      <c r="AR68" s="9" t="str">
        <f aca="false">IF(J68="","",(YEAR(J68)-IF(MONTH(J68)&lt;4,1,0))&amp;"-"&amp;RIGHT((YEAR(J68)-IF(MONTH(J68)&lt;4,1,0))+1,2))</f>
        <v/>
      </c>
      <c r="AS68" s="43" t="str">
        <f aca="false">IF(OR(B68="",Q68="",D68&lt;&gt;"Active"),"",DATE(YEAR(AsOf)+IF(DATE(YEAR(AsOf),MONTH(Q68),DAY(Q68))&lt;AsOf,1,0),MONTH(Q68),DAY(Q68))-AsOf)</f>
        <v/>
      </c>
      <c r="AT68" s="43" t="str">
        <f aca="false">IF(OR(B68="",I68="",D68&lt;&gt;"Active"),"",IF(YEAR(DATE(YEAR(AsOf)+IF(DATE(YEAR(AsOf),MONTH(I68),DAY(I68))&lt;AsOf,1,0),MONTH(I68),DAY(I68)))-YEAR(I68)&lt;1,"",DATE(YEAR(AsOf)+IF(DATE(YEAR(AsOf),MONTH(I68),DAY(I68))&lt;AsOf,1,0),MONTH(I68),DAY(I68))-AsOf))</f>
        <v/>
      </c>
      <c r="AU68" s="43" t="str">
        <f aca="false">IF(B68="","",IF(AV68="",0,LEN(AV68)-LEN(SUBSTITUTE(AV68,";",""))))</f>
        <v/>
      </c>
      <c r="AV68" s="9" t="str">
        <f aca="false">IF(B68="","",IF(COUNTIF($B$6:$B$505,B68)&gt;1,"Duplicate Emp Code; ","")&amp;IF(C68="","Name missing; ","")&amp;IF(I68="","DOJ missing; ","")&amp;IF(AND(J68&lt;&gt;"",I68&lt;&gt;"",J68&lt;I68),"Exit before DOJ; ","")&amp;IF(Q68="","DOB missing; ","")&amp;IF(T68="","Aadhaar missing; ",IF(LEN(T68)&lt;&gt;12,"Aadhaar not 12 digits; ",IF(COUNTIF($T$6:$T$505,T68)&gt;1,"Duplicate Aadhaar; ","")))&amp;IF(U68="","PAN missing; ",IF(LEN(U68)&lt;&gt;10,"PAN not 10 chars; ",""))&amp;IF(V68="","Mobile missing; ",IF(LEN(V68)&lt;&gt;10,"Mobile not 10 digits; ",""))&amp;IF(AG68="","Bank A/c missing; ","")&amp;IF(AH68="","IFSC missing; ",IF(LEN(AH68)&lt;&gt;11,"IFSC not 11 chars; ","")))</f>
        <v/>
      </c>
      <c r="AW68" s="46" t="str">
        <f aca="false">IF(AS68="","",AS68+ROW()/100000)</f>
        <v/>
      </c>
      <c r="AX68" s="46" t="str">
        <f aca="false">IF(AT68="","",AT68+ROW()/100000)</f>
        <v/>
      </c>
    </row>
    <row r="69" customFormat="false" ht="15" hidden="false" customHeight="false" outlineLevel="0" collapsed="false">
      <c r="A69" s="9" t="str">
        <f aca="false">IF(B69="","",ROW()-5)</f>
        <v/>
      </c>
      <c r="B69" s="40"/>
      <c r="C69" s="8"/>
      <c r="D69" s="9" t="str">
        <f aca="false">IF(B69="","",IF(J69="","Active","Exited"))</f>
        <v/>
      </c>
      <c r="E69" s="8"/>
      <c r="F69" s="8"/>
      <c r="G69" s="8"/>
      <c r="H69" s="9" t="str">
        <f aca="false">IF(OR(B69="",I69=""),"",IF(IF(J69="",AsOf,J69)-I69&gt;=Settings!$C$13,"Permanent","Probation"))</f>
        <v/>
      </c>
      <c r="I69" s="41"/>
      <c r="J69" s="41"/>
      <c r="K69" s="8"/>
      <c r="L69" s="42" t="str">
        <f aca="false">IF(OR(B69="",I69=""),"",ROUND((IF(J69="",AsOf,J69)-I69)/365.25,1))</f>
        <v/>
      </c>
      <c r="M69" s="8"/>
      <c r="N69" s="8"/>
      <c r="O69" s="8"/>
      <c r="P69" s="8"/>
      <c r="Q69" s="41"/>
      <c r="R69" s="43" t="str">
        <f aca="false">IF(OR(B69="",Q69=""),"",INT((AsOf-Q69)/365.25))</f>
        <v/>
      </c>
      <c r="S69" s="8"/>
      <c r="T69" s="40"/>
      <c r="U69" s="40"/>
      <c r="V69" s="40"/>
      <c r="W69" s="40"/>
      <c r="X69" s="8"/>
      <c r="Y69" s="8"/>
      <c r="Z69" s="8"/>
      <c r="AA69" s="8"/>
      <c r="AB69" s="8"/>
      <c r="AC69" s="8"/>
      <c r="AD69" s="8"/>
      <c r="AE69" s="40"/>
      <c r="AF69" s="8"/>
      <c r="AG69" s="40"/>
      <c r="AH69" s="40"/>
      <c r="AI69" s="8"/>
      <c r="AJ69" s="40"/>
      <c r="AK69" s="40"/>
      <c r="AL69" s="40"/>
      <c r="AM69" s="44"/>
      <c r="AN69" s="44"/>
      <c r="AO69" s="41"/>
      <c r="AP69" s="45" t="str">
        <f aca="false">IF(B69="","",IF(AND(ISNUMBER(AM69),ISNUMBER(AN69),AM69&gt;0,AN69&gt;0),AN69/AM69-1,""))</f>
        <v/>
      </c>
      <c r="AQ69" s="9" t="str">
        <f aca="false">IF(I69="","",(YEAR(I69)-IF(MONTH(I69)&lt;4,1,0))&amp;"-"&amp;RIGHT((YEAR(I69)-IF(MONTH(I69)&lt;4,1,0))+1,2))</f>
        <v/>
      </c>
      <c r="AR69" s="9" t="str">
        <f aca="false">IF(J69="","",(YEAR(J69)-IF(MONTH(J69)&lt;4,1,0))&amp;"-"&amp;RIGHT((YEAR(J69)-IF(MONTH(J69)&lt;4,1,0))+1,2))</f>
        <v/>
      </c>
      <c r="AS69" s="43" t="str">
        <f aca="false">IF(OR(B69="",Q69="",D69&lt;&gt;"Active"),"",DATE(YEAR(AsOf)+IF(DATE(YEAR(AsOf),MONTH(Q69),DAY(Q69))&lt;AsOf,1,0),MONTH(Q69),DAY(Q69))-AsOf)</f>
        <v/>
      </c>
      <c r="AT69" s="43" t="str">
        <f aca="false">IF(OR(B69="",I69="",D69&lt;&gt;"Active"),"",IF(YEAR(DATE(YEAR(AsOf)+IF(DATE(YEAR(AsOf),MONTH(I69),DAY(I69))&lt;AsOf,1,0),MONTH(I69),DAY(I69)))-YEAR(I69)&lt;1,"",DATE(YEAR(AsOf)+IF(DATE(YEAR(AsOf),MONTH(I69),DAY(I69))&lt;AsOf,1,0),MONTH(I69),DAY(I69))-AsOf))</f>
        <v/>
      </c>
      <c r="AU69" s="43" t="str">
        <f aca="false">IF(B69="","",IF(AV69="",0,LEN(AV69)-LEN(SUBSTITUTE(AV69,";",""))))</f>
        <v/>
      </c>
      <c r="AV69" s="9" t="str">
        <f aca="false">IF(B69="","",IF(COUNTIF($B$6:$B$505,B69)&gt;1,"Duplicate Emp Code; ","")&amp;IF(C69="","Name missing; ","")&amp;IF(I69="","DOJ missing; ","")&amp;IF(AND(J69&lt;&gt;"",I69&lt;&gt;"",J69&lt;I69),"Exit before DOJ; ","")&amp;IF(Q69="","DOB missing; ","")&amp;IF(T69="","Aadhaar missing; ",IF(LEN(T69)&lt;&gt;12,"Aadhaar not 12 digits; ",IF(COUNTIF($T$6:$T$505,T69)&gt;1,"Duplicate Aadhaar; ","")))&amp;IF(U69="","PAN missing; ",IF(LEN(U69)&lt;&gt;10,"PAN not 10 chars; ",""))&amp;IF(V69="","Mobile missing; ",IF(LEN(V69)&lt;&gt;10,"Mobile not 10 digits; ",""))&amp;IF(AG69="","Bank A/c missing; ","")&amp;IF(AH69="","IFSC missing; ",IF(LEN(AH69)&lt;&gt;11,"IFSC not 11 chars; ","")))</f>
        <v/>
      </c>
      <c r="AW69" s="46" t="str">
        <f aca="false">IF(AS69="","",AS69+ROW()/100000)</f>
        <v/>
      </c>
      <c r="AX69" s="46" t="str">
        <f aca="false">IF(AT69="","",AT69+ROW()/100000)</f>
        <v/>
      </c>
    </row>
    <row r="70" customFormat="false" ht="15" hidden="false" customHeight="false" outlineLevel="0" collapsed="false">
      <c r="A70" s="9" t="str">
        <f aca="false">IF(B70="","",ROW()-5)</f>
        <v/>
      </c>
      <c r="B70" s="40"/>
      <c r="C70" s="8"/>
      <c r="D70" s="9" t="str">
        <f aca="false">IF(B70="","",IF(J70="","Active","Exited"))</f>
        <v/>
      </c>
      <c r="E70" s="8"/>
      <c r="F70" s="8"/>
      <c r="G70" s="8"/>
      <c r="H70" s="9" t="str">
        <f aca="false">IF(OR(B70="",I70=""),"",IF(IF(J70="",AsOf,J70)-I70&gt;=Settings!$C$13,"Permanent","Probation"))</f>
        <v/>
      </c>
      <c r="I70" s="41"/>
      <c r="J70" s="41"/>
      <c r="K70" s="8"/>
      <c r="L70" s="42" t="str">
        <f aca="false">IF(OR(B70="",I70=""),"",ROUND((IF(J70="",AsOf,J70)-I70)/365.25,1))</f>
        <v/>
      </c>
      <c r="M70" s="8"/>
      <c r="N70" s="8"/>
      <c r="O70" s="8"/>
      <c r="P70" s="8"/>
      <c r="Q70" s="41"/>
      <c r="R70" s="43" t="str">
        <f aca="false">IF(OR(B70="",Q70=""),"",INT((AsOf-Q70)/365.25))</f>
        <v/>
      </c>
      <c r="S70" s="8"/>
      <c r="T70" s="40"/>
      <c r="U70" s="40"/>
      <c r="V70" s="40"/>
      <c r="W70" s="40"/>
      <c r="X70" s="8"/>
      <c r="Y70" s="8"/>
      <c r="Z70" s="8"/>
      <c r="AA70" s="8"/>
      <c r="AB70" s="8"/>
      <c r="AC70" s="8"/>
      <c r="AD70" s="8"/>
      <c r="AE70" s="40"/>
      <c r="AF70" s="8"/>
      <c r="AG70" s="40"/>
      <c r="AH70" s="40"/>
      <c r="AI70" s="8"/>
      <c r="AJ70" s="40"/>
      <c r="AK70" s="40"/>
      <c r="AL70" s="40"/>
      <c r="AM70" s="44"/>
      <c r="AN70" s="44"/>
      <c r="AO70" s="41"/>
      <c r="AP70" s="45" t="str">
        <f aca="false">IF(B70="","",IF(AND(ISNUMBER(AM70),ISNUMBER(AN70),AM70&gt;0,AN70&gt;0),AN70/AM70-1,""))</f>
        <v/>
      </c>
      <c r="AQ70" s="9" t="str">
        <f aca="false">IF(I70="","",(YEAR(I70)-IF(MONTH(I70)&lt;4,1,0))&amp;"-"&amp;RIGHT((YEAR(I70)-IF(MONTH(I70)&lt;4,1,0))+1,2))</f>
        <v/>
      </c>
      <c r="AR70" s="9" t="str">
        <f aca="false">IF(J70="","",(YEAR(J70)-IF(MONTH(J70)&lt;4,1,0))&amp;"-"&amp;RIGHT((YEAR(J70)-IF(MONTH(J70)&lt;4,1,0))+1,2))</f>
        <v/>
      </c>
      <c r="AS70" s="43" t="str">
        <f aca="false">IF(OR(B70="",Q70="",D70&lt;&gt;"Active"),"",DATE(YEAR(AsOf)+IF(DATE(YEAR(AsOf),MONTH(Q70),DAY(Q70))&lt;AsOf,1,0),MONTH(Q70),DAY(Q70))-AsOf)</f>
        <v/>
      </c>
      <c r="AT70" s="43" t="str">
        <f aca="false">IF(OR(B70="",I70="",D70&lt;&gt;"Active"),"",IF(YEAR(DATE(YEAR(AsOf)+IF(DATE(YEAR(AsOf),MONTH(I70),DAY(I70))&lt;AsOf,1,0),MONTH(I70),DAY(I70)))-YEAR(I70)&lt;1,"",DATE(YEAR(AsOf)+IF(DATE(YEAR(AsOf),MONTH(I70),DAY(I70))&lt;AsOf,1,0),MONTH(I70),DAY(I70))-AsOf))</f>
        <v/>
      </c>
      <c r="AU70" s="43" t="str">
        <f aca="false">IF(B70="","",IF(AV70="",0,LEN(AV70)-LEN(SUBSTITUTE(AV70,";",""))))</f>
        <v/>
      </c>
      <c r="AV70" s="9" t="str">
        <f aca="false">IF(B70="","",IF(COUNTIF($B$6:$B$505,B70)&gt;1,"Duplicate Emp Code; ","")&amp;IF(C70="","Name missing; ","")&amp;IF(I70="","DOJ missing; ","")&amp;IF(AND(J70&lt;&gt;"",I70&lt;&gt;"",J70&lt;I70),"Exit before DOJ; ","")&amp;IF(Q70="","DOB missing; ","")&amp;IF(T70="","Aadhaar missing; ",IF(LEN(T70)&lt;&gt;12,"Aadhaar not 12 digits; ",IF(COUNTIF($T$6:$T$505,T70)&gt;1,"Duplicate Aadhaar; ","")))&amp;IF(U70="","PAN missing; ",IF(LEN(U70)&lt;&gt;10,"PAN not 10 chars; ",""))&amp;IF(V70="","Mobile missing; ",IF(LEN(V70)&lt;&gt;10,"Mobile not 10 digits; ",""))&amp;IF(AG70="","Bank A/c missing; ","")&amp;IF(AH70="","IFSC missing; ",IF(LEN(AH70)&lt;&gt;11,"IFSC not 11 chars; ","")))</f>
        <v/>
      </c>
      <c r="AW70" s="46" t="str">
        <f aca="false">IF(AS70="","",AS70+ROW()/100000)</f>
        <v/>
      </c>
      <c r="AX70" s="46" t="str">
        <f aca="false">IF(AT70="","",AT70+ROW()/100000)</f>
        <v/>
      </c>
    </row>
    <row r="71" customFormat="false" ht="15" hidden="false" customHeight="false" outlineLevel="0" collapsed="false">
      <c r="A71" s="9" t="str">
        <f aca="false">IF(B71="","",ROW()-5)</f>
        <v/>
      </c>
      <c r="B71" s="40"/>
      <c r="C71" s="8"/>
      <c r="D71" s="9" t="str">
        <f aca="false">IF(B71="","",IF(J71="","Active","Exited"))</f>
        <v/>
      </c>
      <c r="E71" s="8"/>
      <c r="F71" s="8"/>
      <c r="G71" s="8"/>
      <c r="H71" s="9" t="str">
        <f aca="false">IF(OR(B71="",I71=""),"",IF(IF(J71="",AsOf,J71)-I71&gt;=Settings!$C$13,"Permanent","Probation"))</f>
        <v/>
      </c>
      <c r="I71" s="41"/>
      <c r="J71" s="41"/>
      <c r="K71" s="8"/>
      <c r="L71" s="42" t="str">
        <f aca="false">IF(OR(B71="",I71=""),"",ROUND((IF(J71="",AsOf,J71)-I71)/365.25,1))</f>
        <v/>
      </c>
      <c r="M71" s="8"/>
      <c r="N71" s="8"/>
      <c r="O71" s="8"/>
      <c r="P71" s="8"/>
      <c r="Q71" s="41"/>
      <c r="R71" s="43" t="str">
        <f aca="false">IF(OR(B71="",Q71=""),"",INT((AsOf-Q71)/365.25))</f>
        <v/>
      </c>
      <c r="S71" s="8"/>
      <c r="T71" s="40"/>
      <c r="U71" s="40"/>
      <c r="V71" s="40"/>
      <c r="W71" s="40"/>
      <c r="X71" s="8"/>
      <c r="Y71" s="8"/>
      <c r="Z71" s="8"/>
      <c r="AA71" s="8"/>
      <c r="AB71" s="8"/>
      <c r="AC71" s="8"/>
      <c r="AD71" s="8"/>
      <c r="AE71" s="40"/>
      <c r="AF71" s="8"/>
      <c r="AG71" s="40"/>
      <c r="AH71" s="40"/>
      <c r="AI71" s="8"/>
      <c r="AJ71" s="40"/>
      <c r="AK71" s="40"/>
      <c r="AL71" s="40"/>
      <c r="AM71" s="44"/>
      <c r="AN71" s="44"/>
      <c r="AO71" s="41"/>
      <c r="AP71" s="45" t="str">
        <f aca="false">IF(B71="","",IF(AND(ISNUMBER(AM71),ISNUMBER(AN71),AM71&gt;0,AN71&gt;0),AN71/AM71-1,""))</f>
        <v/>
      </c>
      <c r="AQ71" s="9" t="str">
        <f aca="false">IF(I71="","",(YEAR(I71)-IF(MONTH(I71)&lt;4,1,0))&amp;"-"&amp;RIGHT((YEAR(I71)-IF(MONTH(I71)&lt;4,1,0))+1,2))</f>
        <v/>
      </c>
      <c r="AR71" s="9" t="str">
        <f aca="false">IF(J71="","",(YEAR(J71)-IF(MONTH(J71)&lt;4,1,0))&amp;"-"&amp;RIGHT((YEAR(J71)-IF(MONTH(J71)&lt;4,1,0))+1,2))</f>
        <v/>
      </c>
      <c r="AS71" s="43" t="str">
        <f aca="false">IF(OR(B71="",Q71="",D71&lt;&gt;"Active"),"",DATE(YEAR(AsOf)+IF(DATE(YEAR(AsOf),MONTH(Q71),DAY(Q71))&lt;AsOf,1,0),MONTH(Q71),DAY(Q71))-AsOf)</f>
        <v/>
      </c>
      <c r="AT71" s="43" t="str">
        <f aca="false">IF(OR(B71="",I71="",D71&lt;&gt;"Active"),"",IF(YEAR(DATE(YEAR(AsOf)+IF(DATE(YEAR(AsOf),MONTH(I71),DAY(I71))&lt;AsOf,1,0),MONTH(I71),DAY(I71)))-YEAR(I71)&lt;1,"",DATE(YEAR(AsOf)+IF(DATE(YEAR(AsOf),MONTH(I71),DAY(I71))&lt;AsOf,1,0),MONTH(I71),DAY(I71))-AsOf))</f>
        <v/>
      </c>
      <c r="AU71" s="43" t="str">
        <f aca="false">IF(B71="","",IF(AV71="",0,LEN(AV71)-LEN(SUBSTITUTE(AV71,";",""))))</f>
        <v/>
      </c>
      <c r="AV71" s="9" t="str">
        <f aca="false">IF(B71="","",IF(COUNTIF($B$6:$B$505,B71)&gt;1,"Duplicate Emp Code; ","")&amp;IF(C71="","Name missing; ","")&amp;IF(I71="","DOJ missing; ","")&amp;IF(AND(J71&lt;&gt;"",I71&lt;&gt;"",J71&lt;I71),"Exit before DOJ; ","")&amp;IF(Q71="","DOB missing; ","")&amp;IF(T71="","Aadhaar missing; ",IF(LEN(T71)&lt;&gt;12,"Aadhaar not 12 digits; ",IF(COUNTIF($T$6:$T$505,T71)&gt;1,"Duplicate Aadhaar; ","")))&amp;IF(U71="","PAN missing; ",IF(LEN(U71)&lt;&gt;10,"PAN not 10 chars; ",""))&amp;IF(V71="","Mobile missing; ",IF(LEN(V71)&lt;&gt;10,"Mobile not 10 digits; ",""))&amp;IF(AG71="","Bank A/c missing; ","")&amp;IF(AH71="","IFSC missing; ",IF(LEN(AH71)&lt;&gt;11,"IFSC not 11 chars; ","")))</f>
        <v/>
      </c>
      <c r="AW71" s="46" t="str">
        <f aca="false">IF(AS71="","",AS71+ROW()/100000)</f>
        <v/>
      </c>
      <c r="AX71" s="46" t="str">
        <f aca="false">IF(AT71="","",AT71+ROW()/100000)</f>
        <v/>
      </c>
    </row>
    <row r="72" customFormat="false" ht="15" hidden="false" customHeight="false" outlineLevel="0" collapsed="false">
      <c r="A72" s="9" t="str">
        <f aca="false">IF(B72="","",ROW()-5)</f>
        <v/>
      </c>
      <c r="B72" s="40"/>
      <c r="C72" s="8"/>
      <c r="D72" s="9" t="str">
        <f aca="false">IF(B72="","",IF(J72="","Active","Exited"))</f>
        <v/>
      </c>
      <c r="E72" s="8"/>
      <c r="F72" s="8"/>
      <c r="G72" s="8"/>
      <c r="H72" s="9" t="str">
        <f aca="false">IF(OR(B72="",I72=""),"",IF(IF(J72="",AsOf,J72)-I72&gt;=Settings!$C$13,"Permanent","Probation"))</f>
        <v/>
      </c>
      <c r="I72" s="41"/>
      <c r="J72" s="41"/>
      <c r="K72" s="8"/>
      <c r="L72" s="42" t="str">
        <f aca="false">IF(OR(B72="",I72=""),"",ROUND((IF(J72="",AsOf,J72)-I72)/365.25,1))</f>
        <v/>
      </c>
      <c r="M72" s="8"/>
      <c r="N72" s="8"/>
      <c r="O72" s="8"/>
      <c r="P72" s="8"/>
      <c r="Q72" s="41"/>
      <c r="R72" s="43" t="str">
        <f aca="false">IF(OR(B72="",Q72=""),"",INT((AsOf-Q72)/365.25))</f>
        <v/>
      </c>
      <c r="S72" s="8"/>
      <c r="T72" s="40"/>
      <c r="U72" s="40"/>
      <c r="V72" s="40"/>
      <c r="W72" s="40"/>
      <c r="X72" s="8"/>
      <c r="Y72" s="8"/>
      <c r="Z72" s="8"/>
      <c r="AA72" s="8"/>
      <c r="AB72" s="8"/>
      <c r="AC72" s="8"/>
      <c r="AD72" s="8"/>
      <c r="AE72" s="40"/>
      <c r="AF72" s="8"/>
      <c r="AG72" s="40"/>
      <c r="AH72" s="40"/>
      <c r="AI72" s="8"/>
      <c r="AJ72" s="40"/>
      <c r="AK72" s="40"/>
      <c r="AL72" s="40"/>
      <c r="AM72" s="44"/>
      <c r="AN72" s="44"/>
      <c r="AO72" s="41"/>
      <c r="AP72" s="45" t="str">
        <f aca="false">IF(B72="","",IF(AND(ISNUMBER(AM72),ISNUMBER(AN72),AM72&gt;0,AN72&gt;0),AN72/AM72-1,""))</f>
        <v/>
      </c>
      <c r="AQ72" s="9" t="str">
        <f aca="false">IF(I72="","",(YEAR(I72)-IF(MONTH(I72)&lt;4,1,0))&amp;"-"&amp;RIGHT((YEAR(I72)-IF(MONTH(I72)&lt;4,1,0))+1,2))</f>
        <v/>
      </c>
      <c r="AR72" s="9" t="str">
        <f aca="false">IF(J72="","",(YEAR(J72)-IF(MONTH(J72)&lt;4,1,0))&amp;"-"&amp;RIGHT((YEAR(J72)-IF(MONTH(J72)&lt;4,1,0))+1,2))</f>
        <v/>
      </c>
      <c r="AS72" s="43" t="str">
        <f aca="false">IF(OR(B72="",Q72="",D72&lt;&gt;"Active"),"",DATE(YEAR(AsOf)+IF(DATE(YEAR(AsOf),MONTH(Q72),DAY(Q72))&lt;AsOf,1,0),MONTH(Q72),DAY(Q72))-AsOf)</f>
        <v/>
      </c>
      <c r="AT72" s="43" t="str">
        <f aca="false">IF(OR(B72="",I72="",D72&lt;&gt;"Active"),"",IF(YEAR(DATE(YEAR(AsOf)+IF(DATE(YEAR(AsOf),MONTH(I72),DAY(I72))&lt;AsOf,1,0),MONTH(I72),DAY(I72)))-YEAR(I72)&lt;1,"",DATE(YEAR(AsOf)+IF(DATE(YEAR(AsOf),MONTH(I72),DAY(I72))&lt;AsOf,1,0),MONTH(I72),DAY(I72))-AsOf))</f>
        <v/>
      </c>
      <c r="AU72" s="43" t="str">
        <f aca="false">IF(B72="","",IF(AV72="",0,LEN(AV72)-LEN(SUBSTITUTE(AV72,";",""))))</f>
        <v/>
      </c>
      <c r="AV72" s="9" t="str">
        <f aca="false">IF(B72="","",IF(COUNTIF($B$6:$B$505,B72)&gt;1,"Duplicate Emp Code; ","")&amp;IF(C72="","Name missing; ","")&amp;IF(I72="","DOJ missing; ","")&amp;IF(AND(J72&lt;&gt;"",I72&lt;&gt;"",J72&lt;I72),"Exit before DOJ; ","")&amp;IF(Q72="","DOB missing; ","")&amp;IF(T72="","Aadhaar missing; ",IF(LEN(T72)&lt;&gt;12,"Aadhaar not 12 digits; ",IF(COUNTIF($T$6:$T$505,T72)&gt;1,"Duplicate Aadhaar; ","")))&amp;IF(U72="","PAN missing; ",IF(LEN(U72)&lt;&gt;10,"PAN not 10 chars; ",""))&amp;IF(V72="","Mobile missing; ",IF(LEN(V72)&lt;&gt;10,"Mobile not 10 digits; ",""))&amp;IF(AG72="","Bank A/c missing; ","")&amp;IF(AH72="","IFSC missing; ",IF(LEN(AH72)&lt;&gt;11,"IFSC not 11 chars; ","")))</f>
        <v/>
      </c>
      <c r="AW72" s="46" t="str">
        <f aca="false">IF(AS72="","",AS72+ROW()/100000)</f>
        <v/>
      </c>
      <c r="AX72" s="46" t="str">
        <f aca="false">IF(AT72="","",AT72+ROW()/100000)</f>
        <v/>
      </c>
    </row>
    <row r="73" customFormat="false" ht="15" hidden="false" customHeight="false" outlineLevel="0" collapsed="false">
      <c r="A73" s="9" t="str">
        <f aca="false">IF(B73="","",ROW()-5)</f>
        <v/>
      </c>
      <c r="B73" s="40"/>
      <c r="C73" s="8"/>
      <c r="D73" s="9" t="str">
        <f aca="false">IF(B73="","",IF(J73="","Active","Exited"))</f>
        <v/>
      </c>
      <c r="E73" s="8"/>
      <c r="F73" s="8"/>
      <c r="G73" s="8"/>
      <c r="H73" s="9" t="str">
        <f aca="false">IF(OR(B73="",I73=""),"",IF(IF(J73="",AsOf,J73)-I73&gt;=Settings!$C$13,"Permanent","Probation"))</f>
        <v/>
      </c>
      <c r="I73" s="41"/>
      <c r="J73" s="41"/>
      <c r="K73" s="8"/>
      <c r="L73" s="42" t="str">
        <f aca="false">IF(OR(B73="",I73=""),"",ROUND((IF(J73="",AsOf,J73)-I73)/365.25,1))</f>
        <v/>
      </c>
      <c r="M73" s="8"/>
      <c r="N73" s="8"/>
      <c r="O73" s="8"/>
      <c r="P73" s="8"/>
      <c r="Q73" s="41"/>
      <c r="R73" s="43" t="str">
        <f aca="false">IF(OR(B73="",Q73=""),"",INT((AsOf-Q73)/365.25))</f>
        <v/>
      </c>
      <c r="S73" s="8"/>
      <c r="T73" s="40"/>
      <c r="U73" s="40"/>
      <c r="V73" s="40"/>
      <c r="W73" s="40"/>
      <c r="X73" s="8"/>
      <c r="Y73" s="8"/>
      <c r="Z73" s="8"/>
      <c r="AA73" s="8"/>
      <c r="AB73" s="8"/>
      <c r="AC73" s="8"/>
      <c r="AD73" s="8"/>
      <c r="AE73" s="40"/>
      <c r="AF73" s="8"/>
      <c r="AG73" s="40"/>
      <c r="AH73" s="40"/>
      <c r="AI73" s="8"/>
      <c r="AJ73" s="40"/>
      <c r="AK73" s="40"/>
      <c r="AL73" s="40"/>
      <c r="AM73" s="44"/>
      <c r="AN73" s="44"/>
      <c r="AO73" s="41"/>
      <c r="AP73" s="45" t="str">
        <f aca="false">IF(B73="","",IF(AND(ISNUMBER(AM73),ISNUMBER(AN73),AM73&gt;0,AN73&gt;0),AN73/AM73-1,""))</f>
        <v/>
      </c>
      <c r="AQ73" s="9" t="str">
        <f aca="false">IF(I73="","",(YEAR(I73)-IF(MONTH(I73)&lt;4,1,0))&amp;"-"&amp;RIGHT((YEAR(I73)-IF(MONTH(I73)&lt;4,1,0))+1,2))</f>
        <v/>
      </c>
      <c r="AR73" s="9" t="str">
        <f aca="false">IF(J73="","",(YEAR(J73)-IF(MONTH(J73)&lt;4,1,0))&amp;"-"&amp;RIGHT((YEAR(J73)-IF(MONTH(J73)&lt;4,1,0))+1,2))</f>
        <v/>
      </c>
      <c r="AS73" s="43" t="str">
        <f aca="false">IF(OR(B73="",Q73="",D73&lt;&gt;"Active"),"",DATE(YEAR(AsOf)+IF(DATE(YEAR(AsOf),MONTH(Q73),DAY(Q73))&lt;AsOf,1,0),MONTH(Q73),DAY(Q73))-AsOf)</f>
        <v/>
      </c>
      <c r="AT73" s="43" t="str">
        <f aca="false">IF(OR(B73="",I73="",D73&lt;&gt;"Active"),"",IF(YEAR(DATE(YEAR(AsOf)+IF(DATE(YEAR(AsOf),MONTH(I73),DAY(I73))&lt;AsOf,1,0),MONTH(I73),DAY(I73)))-YEAR(I73)&lt;1,"",DATE(YEAR(AsOf)+IF(DATE(YEAR(AsOf),MONTH(I73),DAY(I73))&lt;AsOf,1,0),MONTH(I73),DAY(I73))-AsOf))</f>
        <v/>
      </c>
      <c r="AU73" s="43" t="str">
        <f aca="false">IF(B73="","",IF(AV73="",0,LEN(AV73)-LEN(SUBSTITUTE(AV73,";",""))))</f>
        <v/>
      </c>
      <c r="AV73" s="9" t="str">
        <f aca="false">IF(B73="","",IF(COUNTIF($B$6:$B$505,B73)&gt;1,"Duplicate Emp Code; ","")&amp;IF(C73="","Name missing; ","")&amp;IF(I73="","DOJ missing; ","")&amp;IF(AND(J73&lt;&gt;"",I73&lt;&gt;"",J73&lt;I73),"Exit before DOJ; ","")&amp;IF(Q73="","DOB missing; ","")&amp;IF(T73="","Aadhaar missing; ",IF(LEN(T73)&lt;&gt;12,"Aadhaar not 12 digits; ",IF(COUNTIF($T$6:$T$505,T73)&gt;1,"Duplicate Aadhaar; ","")))&amp;IF(U73="","PAN missing; ",IF(LEN(U73)&lt;&gt;10,"PAN not 10 chars; ",""))&amp;IF(V73="","Mobile missing; ",IF(LEN(V73)&lt;&gt;10,"Mobile not 10 digits; ",""))&amp;IF(AG73="","Bank A/c missing; ","")&amp;IF(AH73="","IFSC missing; ",IF(LEN(AH73)&lt;&gt;11,"IFSC not 11 chars; ","")))</f>
        <v/>
      </c>
      <c r="AW73" s="46" t="str">
        <f aca="false">IF(AS73="","",AS73+ROW()/100000)</f>
        <v/>
      </c>
      <c r="AX73" s="46" t="str">
        <f aca="false">IF(AT73="","",AT73+ROW()/100000)</f>
        <v/>
      </c>
    </row>
    <row r="74" customFormat="false" ht="15" hidden="false" customHeight="false" outlineLevel="0" collapsed="false">
      <c r="A74" s="9" t="str">
        <f aca="false">IF(B74="","",ROW()-5)</f>
        <v/>
      </c>
      <c r="B74" s="40"/>
      <c r="C74" s="8"/>
      <c r="D74" s="9" t="str">
        <f aca="false">IF(B74="","",IF(J74="","Active","Exited"))</f>
        <v/>
      </c>
      <c r="E74" s="8"/>
      <c r="F74" s="8"/>
      <c r="G74" s="8"/>
      <c r="H74" s="9" t="str">
        <f aca="false">IF(OR(B74="",I74=""),"",IF(IF(J74="",AsOf,J74)-I74&gt;=Settings!$C$13,"Permanent","Probation"))</f>
        <v/>
      </c>
      <c r="I74" s="41"/>
      <c r="J74" s="41"/>
      <c r="K74" s="8"/>
      <c r="L74" s="42" t="str">
        <f aca="false">IF(OR(B74="",I74=""),"",ROUND((IF(J74="",AsOf,J74)-I74)/365.25,1))</f>
        <v/>
      </c>
      <c r="M74" s="8"/>
      <c r="N74" s="8"/>
      <c r="O74" s="8"/>
      <c r="P74" s="8"/>
      <c r="Q74" s="41"/>
      <c r="R74" s="43" t="str">
        <f aca="false">IF(OR(B74="",Q74=""),"",INT((AsOf-Q74)/365.25))</f>
        <v/>
      </c>
      <c r="S74" s="8"/>
      <c r="T74" s="40"/>
      <c r="U74" s="40"/>
      <c r="V74" s="40"/>
      <c r="W74" s="40"/>
      <c r="X74" s="8"/>
      <c r="Y74" s="8"/>
      <c r="Z74" s="8"/>
      <c r="AA74" s="8"/>
      <c r="AB74" s="8"/>
      <c r="AC74" s="8"/>
      <c r="AD74" s="8"/>
      <c r="AE74" s="40"/>
      <c r="AF74" s="8"/>
      <c r="AG74" s="40"/>
      <c r="AH74" s="40"/>
      <c r="AI74" s="8"/>
      <c r="AJ74" s="40"/>
      <c r="AK74" s="40"/>
      <c r="AL74" s="40"/>
      <c r="AM74" s="44"/>
      <c r="AN74" s="44"/>
      <c r="AO74" s="41"/>
      <c r="AP74" s="45" t="str">
        <f aca="false">IF(B74="","",IF(AND(ISNUMBER(AM74),ISNUMBER(AN74),AM74&gt;0,AN74&gt;0),AN74/AM74-1,""))</f>
        <v/>
      </c>
      <c r="AQ74" s="9" t="str">
        <f aca="false">IF(I74="","",(YEAR(I74)-IF(MONTH(I74)&lt;4,1,0))&amp;"-"&amp;RIGHT((YEAR(I74)-IF(MONTH(I74)&lt;4,1,0))+1,2))</f>
        <v/>
      </c>
      <c r="AR74" s="9" t="str">
        <f aca="false">IF(J74="","",(YEAR(J74)-IF(MONTH(J74)&lt;4,1,0))&amp;"-"&amp;RIGHT((YEAR(J74)-IF(MONTH(J74)&lt;4,1,0))+1,2))</f>
        <v/>
      </c>
      <c r="AS74" s="43" t="str">
        <f aca="false">IF(OR(B74="",Q74="",D74&lt;&gt;"Active"),"",DATE(YEAR(AsOf)+IF(DATE(YEAR(AsOf),MONTH(Q74),DAY(Q74))&lt;AsOf,1,0),MONTH(Q74),DAY(Q74))-AsOf)</f>
        <v/>
      </c>
      <c r="AT74" s="43" t="str">
        <f aca="false">IF(OR(B74="",I74="",D74&lt;&gt;"Active"),"",IF(YEAR(DATE(YEAR(AsOf)+IF(DATE(YEAR(AsOf),MONTH(I74),DAY(I74))&lt;AsOf,1,0),MONTH(I74),DAY(I74)))-YEAR(I74)&lt;1,"",DATE(YEAR(AsOf)+IF(DATE(YEAR(AsOf),MONTH(I74),DAY(I74))&lt;AsOf,1,0),MONTH(I74),DAY(I74))-AsOf))</f>
        <v/>
      </c>
      <c r="AU74" s="43" t="str">
        <f aca="false">IF(B74="","",IF(AV74="",0,LEN(AV74)-LEN(SUBSTITUTE(AV74,";",""))))</f>
        <v/>
      </c>
      <c r="AV74" s="9" t="str">
        <f aca="false">IF(B74="","",IF(COUNTIF($B$6:$B$505,B74)&gt;1,"Duplicate Emp Code; ","")&amp;IF(C74="","Name missing; ","")&amp;IF(I74="","DOJ missing; ","")&amp;IF(AND(J74&lt;&gt;"",I74&lt;&gt;"",J74&lt;I74),"Exit before DOJ; ","")&amp;IF(Q74="","DOB missing; ","")&amp;IF(T74="","Aadhaar missing; ",IF(LEN(T74)&lt;&gt;12,"Aadhaar not 12 digits; ",IF(COUNTIF($T$6:$T$505,T74)&gt;1,"Duplicate Aadhaar; ","")))&amp;IF(U74="","PAN missing; ",IF(LEN(U74)&lt;&gt;10,"PAN not 10 chars; ",""))&amp;IF(V74="","Mobile missing; ",IF(LEN(V74)&lt;&gt;10,"Mobile not 10 digits; ",""))&amp;IF(AG74="","Bank A/c missing; ","")&amp;IF(AH74="","IFSC missing; ",IF(LEN(AH74)&lt;&gt;11,"IFSC not 11 chars; ","")))</f>
        <v/>
      </c>
      <c r="AW74" s="46" t="str">
        <f aca="false">IF(AS74="","",AS74+ROW()/100000)</f>
        <v/>
      </c>
      <c r="AX74" s="46" t="str">
        <f aca="false">IF(AT74="","",AT74+ROW()/100000)</f>
        <v/>
      </c>
    </row>
    <row r="75" customFormat="false" ht="15" hidden="false" customHeight="false" outlineLevel="0" collapsed="false">
      <c r="A75" s="9" t="str">
        <f aca="false">IF(B75="","",ROW()-5)</f>
        <v/>
      </c>
      <c r="B75" s="40"/>
      <c r="C75" s="8"/>
      <c r="D75" s="9" t="str">
        <f aca="false">IF(B75="","",IF(J75="","Active","Exited"))</f>
        <v/>
      </c>
      <c r="E75" s="8"/>
      <c r="F75" s="8"/>
      <c r="G75" s="8"/>
      <c r="H75" s="9" t="str">
        <f aca="false">IF(OR(B75="",I75=""),"",IF(IF(J75="",AsOf,J75)-I75&gt;=Settings!$C$13,"Permanent","Probation"))</f>
        <v/>
      </c>
      <c r="I75" s="41"/>
      <c r="J75" s="41"/>
      <c r="K75" s="8"/>
      <c r="L75" s="42" t="str">
        <f aca="false">IF(OR(B75="",I75=""),"",ROUND((IF(J75="",AsOf,J75)-I75)/365.25,1))</f>
        <v/>
      </c>
      <c r="M75" s="8"/>
      <c r="N75" s="8"/>
      <c r="O75" s="8"/>
      <c r="P75" s="8"/>
      <c r="Q75" s="41"/>
      <c r="R75" s="43" t="str">
        <f aca="false">IF(OR(B75="",Q75=""),"",INT((AsOf-Q75)/365.25))</f>
        <v/>
      </c>
      <c r="S75" s="8"/>
      <c r="T75" s="40"/>
      <c r="U75" s="40"/>
      <c r="V75" s="40"/>
      <c r="W75" s="40"/>
      <c r="X75" s="8"/>
      <c r="Y75" s="8"/>
      <c r="Z75" s="8"/>
      <c r="AA75" s="8"/>
      <c r="AB75" s="8"/>
      <c r="AC75" s="8"/>
      <c r="AD75" s="8"/>
      <c r="AE75" s="40"/>
      <c r="AF75" s="8"/>
      <c r="AG75" s="40"/>
      <c r="AH75" s="40"/>
      <c r="AI75" s="8"/>
      <c r="AJ75" s="40"/>
      <c r="AK75" s="40"/>
      <c r="AL75" s="40"/>
      <c r="AM75" s="44"/>
      <c r="AN75" s="44"/>
      <c r="AO75" s="41"/>
      <c r="AP75" s="45" t="str">
        <f aca="false">IF(B75="","",IF(AND(ISNUMBER(AM75),ISNUMBER(AN75),AM75&gt;0,AN75&gt;0),AN75/AM75-1,""))</f>
        <v/>
      </c>
      <c r="AQ75" s="9" t="str">
        <f aca="false">IF(I75="","",(YEAR(I75)-IF(MONTH(I75)&lt;4,1,0))&amp;"-"&amp;RIGHT((YEAR(I75)-IF(MONTH(I75)&lt;4,1,0))+1,2))</f>
        <v/>
      </c>
      <c r="AR75" s="9" t="str">
        <f aca="false">IF(J75="","",(YEAR(J75)-IF(MONTH(J75)&lt;4,1,0))&amp;"-"&amp;RIGHT((YEAR(J75)-IF(MONTH(J75)&lt;4,1,0))+1,2))</f>
        <v/>
      </c>
      <c r="AS75" s="43" t="str">
        <f aca="false">IF(OR(B75="",Q75="",D75&lt;&gt;"Active"),"",DATE(YEAR(AsOf)+IF(DATE(YEAR(AsOf),MONTH(Q75),DAY(Q75))&lt;AsOf,1,0),MONTH(Q75),DAY(Q75))-AsOf)</f>
        <v/>
      </c>
      <c r="AT75" s="43" t="str">
        <f aca="false">IF(OR(B75="",I75="",D75&lt;&gt;"Active"),"",IF(YEAR(DATE(YEAR(AsOf)+IF(DATE(YEAR(AsOf),MONTH(I75),DAY(I75))&lt;AsOf,1,0),MONTH(I75),DAY(I75)))-YEAR(I75)&lt;1,"",DATE(YEAR(AsOf)+IF(DATE(YEAR(AsOf),MONTH(I75),DAY(I75))&lt;AsOf,1,0),MONTH(I75),DAY(I75))-AsOf))</f>
        <v/>
      </c>
      <c r="AU75" s="43" t="str">
        <f aca="false">IF(B75="","",IF(AV75="",0,LEN(AV75)-LEN(SUBSTITUTE(AV75,";",""))))</f>
        <v/>
      </c>
      <c r="AV75" s="9" t="str">
        <f aca="false">IF(B75="","",IF(COUNTIF($B$6:$B$505,B75)&gt;1,"Duplicate Emp Code; ","")&amp;IF(C75="","Name missing; ","")&amp;IF(I75="","DOJ missing; ","")&amp;IF(AND(J75&lt;&gt;"",I75&lt;&gt;"",J75&lt;I75),"Exit before DOJ; ","")&amp;IF(Q75="","DOB missing; ","")&amp;IF(T75="","Aadhaar missing; ",IF(LEN(T75)&lt;&gt;12,"Aadhaar not 12 digits; ",IF(COUNTIF($T$6:$T$505,T75)&gt;1,"Duplicate Aadhaar; ","")))&amp;IF(U75="","PAN missing; ",IF(LEN(U75)&lt;&gt;10,"PAN not 10 chars; ",""))&amp;IF(V75="","Mobile missing; ",IF(LEN(V75)&lt;&gt;10,"Mobile not 10 digits; ",""))&amp;IF(AG75="","Bank A/c missing; ","")&amp;IF(AH75="","IFSC missing; ",IF(LEN(AH75)&lt;&gt;11,"IFSC not 11 chars; ","")))</f>
        <v/>
      </c>
      <c r="AW75" s="46" t="str">
        <f aca="false">IF(AS75="","",AS75+ROW()/100000)</f>
        <v/>
      </c>
      <c r="AX75" s="46" t="str">
        <f aca="false">IF(AT75="","",AT75+ROW()/100000)</f>
        <v/>
      </c>
    </row>
    <row r="76" customFormat="false" ht="15" hidden="false" customHeight="false" outlineLevel="0" collapsed="false">
      <c r="A76" s="9" t="str">
        <f aca="false">IF(B76="","",ROW()-5)</f>
        <v/>
      </c>
      <c r="B76" s="40"/>
      <c r="C76" s="8"/>
      <c r="D76" s="9" t="str">
        <f aca="false">IF(B76="","",IF(J76="","Active","Exited"))</f>
        <v/>
      </c>
      <c r="E76" s="8"/>
      <c r="F76" s="8"/>
      <c r="G76" s="8"/>
      <c r="H76" s="9" t="str">
        <f aca="false">IF(OR(B76="",I76=""),"",IF(IF(J76="",AsOf,J76)-I76&gt;=Settings!$C$13,"Permanent","Probation"))</f>
        <v/>
      </c>
      <c r="I76" s="41"/>
      <c r="J76" s="41"/>
      <c r="K76" s="8"/>
      <c r="L76" s="42" t="str">
        <f aca="false">IF(OR(B76="",I76=""),"",ROUND((IF(J76="",AsOf,J76)-I76)/365.25,1))</f>
        <v/>
      </c>
      <c r="M76" s="8"/>
      <c r="N76" s="8"/>
      <c r="O76" s="8"/>
      <c r="P76" s="8"/>
      <c r="Q76" s="41"/>
      <c r="R76" s="43" t="str">
        <f aca="false">IF(OR(B76="",Q76=""),"",INT((AsOf-Q76)/365.25))</f>
        <v/>
      </c>
      <c r="S76" s="8"/>
      <c r="T76" s="40"/>
      <c r="U76" s="40"/>
      <c r="V76" s="40"/>
      <c r="W76" s="40"/>
      <c r="X76" s="8"/>
      <c r="Y76" s="8"/>
      <c r="Z76" s="8"/>
      <c r="AA76" s="8"/>
      <c r="AB76" s="8"/>
      <c r="AC76" s="8"/>
      <c r="AD76" s="8"/>
      <c r="AE76" s="40"/>
      <c r="AF76" s="8"/>
      <c r="AG76" s="40"/>
      <c r="AH76" s="40"/>
      <c r="AI76" s="8"/>
      <c r="AJ76" s="40"/>
      <c r="AK76" s="40"/>
      <c r="AL76" s="40"/>
      <c r="AM76" s="44"/>
      <c r="AN76" s="44"/>
      <c r="AO76" s="41"/>
      <c r="AP76" s="45" t="str">
        <f aca="false">IF(B76="","",IF(AND(ISNUMBER(AM76),ISNUMBER(AN76),AM76&gt;0,AN76&gt;0),AN76/AM76-1,""))</f>
        <v/>
      </c>
      <c r="AQ76" s="9" t="str">
        <f aca="false">IF(I76="","",(YEAR(I76)-IF(MONTH(I76)&lt;4,1,0))&amp;"-"&amp;RIGHT((YEAR(I76)-IF(MONTH(I76)&lt;4,1,0))+1,2))</f>
        <v/>
      </c>
      <c r="AR76" s="9" t="str">
        <f aca="false">IF(J76="","",(YEAR(J76)-IF(MONTH(J76)&lt;4,1,0))&amp;"-"&amp;RIGHT((YEAR(J76)-IF(MONTH(J76)&lt;4,1,0))+1,2))</f>
        <v/>
      </c>
      <c r="AS76" s="43" t="str">
        <f aca="false">IF(OR(B76="",Q76="",D76&lt;&gt;"Active"),"",DATE(YEAR(AsOf)+IF(DATE(YEAR(AsOf),MONTH(Q76),DAY(Q76))&lt;AsOf,1,0),MONTH(Q76),DAY(Q76))-AsOf)</f>
        <v/>
      </c>
      <c r="AT76" s="43" t="str">
        <f aca="false">IF(OR(B76="",I76="",D76&lt;&gt;"Active"),"",IF(YEAR(DATE(YEAR(AsOf)+IF(DATE(YEAR(AsOf),MONTH(I76),DAY(I76))&lt;AsOf,1,0),MONTH(I76),DAY(I76)))-YEAR(I76)&lt;1,"",DATE(YEAR(AsOf)+IF(DATE(YEAR(AsOf),MONTH(I76),DAY(I76))&lt;AsOf,1,0),MONTH(I76),DAY(I76))-AsOf))</f>
        <v/>
      </c>
      <c r="AU76" s="43" t="str">
        <f aca="false">IF(B76="","",IF(AV76="",0,LEN(AV76)-LEN(SUBSTITUTE(AV76,";",""))))</f>
        <v/>
      </c>
      <c r="AV76" s="9" t="str">
        <f aca="false">IF(B76="","",IF(COUNTIF($B$6:$B$505,B76)&gt;1,"Duplicate Emp Code; ","")&amp;IF(C76="","Name missing; ","")&amp;IF(I76="","DOJ missing; ","")&amp;IF(AND(J76&lt;&gt;"",I76&lt;&gt;"",J76&lt;I76),"Exit before DOJ; ","")&amp;IF(Q76="","DOB missing; ","")&amp;IF(T76="","Aadhaar missing; ",IF(LEN(T76)&lt;&gt;12,"Aadhaar not 12 digits; ",IF(COUNTIF($T$6:$T$505,T76)&gt;1,"Duplicate Aadhaar; ","")))&amp;IF(U76="","PAN missing; ",IF(LEN(U76)&lt;&gt;10,"PAN not 10 chars; ",""))&amp;IF(V76="","Mobile missing; ",IF(LEN(V76)&lt;&gt;10,"Mobile not 10 digits; ",""))&amp;IF(AG76="","Bank A/c missing; ","")&amp;IF(AH76="","IFSC missing; ",IF(LEN(AH76)&lt;&gt;11,"IFSC not 11 chars; ","")))</f>
        <v/>
      </c>
      <c r="AW76" s="46" t="str">
        <f aca="false">IF(AS76="","",AS76+ROW()/100000)</f>
        <v/>
      </c>
      <c r="AX76" s="46" t="str">
        <f aca="false">IF(AT76="","",AT76+ROW()/100000)</f>
        <v/>
      </c>
    </row>
    <row r="77" customFormat="false" ht="15" hidden="false" customHeight="false" outlineLevel="0" collapsed="false">
      <c r="A77" s="9" t="str">
        <f aca="false">IF(B77="","",ROW()-5)</f>
        <v/>
      </c>
      <c r="B77" s="40"/>
      <c r="C77" s="8"/>
      <c r="D77" s="9" t="str">
        <f aca="false">IF(B77="","",IF(J77="","Active","Exited"))</f>
        <v/>
      </c>
      <c r="E77" s="8"/>
      <c r="F77" s="8"/>
      <c r="G77" s="8"/>
      <c r="H77" s="9" t="str">
        <f aca="false">IF(OR(B77="",I77=""),"",IF(IF(J77="",AsOf,J77)-I77&gt;=Settings!$C$13,"Permanent","Probation"))</f>
        <v/>
      </c>
      <c r="I77" s="41"/>
      <c r="J77" s="41"/>
      <c r="K77" s="8"/>
      <c r="L77" s="42" t="str">
        <f aca="false">IF(OR(B77="",I77=""),"",ROUND((IF(J77="",AsOf,J77)-I77)/365.25,1))</f>
        <v/>
      </c>
      <c r="M77" s="8"/>
      <c r="N77" s="8"/>
      <c r="O77" s="8"/>
      <c r="P77" s="8"/>
      <c r="Q77" s="41"/>
      <c r="R77" s="43" t="str">
        <f aca="false">IF(OR(B77="",Q77=""),"",INT((AsOf-Q77)/365.25))</f>
        <v/>
      </c>
      <c r="S77" s="8"/>
      <c r="T77" s="40"/>
      <c r="U77" s="40"/>
      <c r="V77" s="40"/>
      <c r="W77" s="40"/>
      <c r="X77" s="8"/>
      <c r="Y77" s="8"/>
      <c r="Z77" s="8"/>
      <c r="AA77" s="8"/>
      <c r="AB77" s="8"/>
      <c r="AC77" s="8"/>
      <c r="AD77" s="8"/>
      <c r="AE77" s="40"/>
      <c r="AF77" s="8"/>
      <c r="AG77" s="40"/>
      <c r="AH77" s="40"/>
      <c r="AI77" s="8"/>
      <c r="AJ77" s="40"/>
      <c r="AK77" s="40"/>
      <c r="AL77" s="40"/>
      <c r="AM77" s="44"/>
      <c r="AN77" s="44"/>
      <c r="AO77" s="41"/>
      <c r="AP77" s="45" t="str">
        <f aca="false">IF(B77="","",IF(AND(ISNUMBER(AM77),ISNUMBER(AN77),AM77&gt;0,AN77&gt;0),AN77/AM77-1,""))</f>
        <v/>
      </c>
      <c r="AQ77" s="9" t="str">
        <f aca="false">IF(I77="","",(YEAR(I77)-IF(MONTH(I77)&lt;4,1,0))&amp;"-"&amp;RIGHT((YEAR(I77)-IF(MONTH(I77)&lt;4,1,0))+1,2))</f>
        <v/>
      </c>
      <c r="AR77" s="9" t="str">
        <f aca="false">IF(J77="","",(YEAR(J77)-IF(MONTH(J77)&lt;4,1,0))&amp;"-"&amp;RIGHT((YEAR(J77)-IF(MONTH(J77)&lt;4,1,0))+1,2))</f>
        <v/>
      </c>
      <c r="AS77" s="43" t="str">
        <f aca="false">IF(OR(B77="",Q77="",D77&lt;&gt;"Active"),"",DATE(YEAR(AsOf)+IF(DATE(YEAR(AsOf),MONTH(Q77),DAY(Q77))&lt;AsOf,1,0),MONTH(Q77),DAY(Q77))-AsOf)</f>
        <v/>
      </c>
      <c r="AT77" s="43" t="str">
        <f aca="false">IF(OR(B77="",I77="",D77&lt;&gt;"Active"),"",IF(YEAR(DATE(YEAR(AsOf)+IF(DATE(YEAR(AsOf),MONTH(I77),DAY(I77))&lt;AsOf,1,0),MONTH(I77),DAY(I77)))-YEAR(I77)&lt;1,"",DATE(YEAR(AsOf)+IF(DATE(YEAR(AsOf),MONTH(I77),DAY(I77))&lt;AsOf,1,0),MONTH(I77),DAY(I77))-AsOf))</f>
        <v/>
      </c>
      <c r="AU77" s="43" t="str">
        <f aca="false">IF(B77="","",IF(AV77="",0,LEN(AV77)-LEN(SUBSTITUTE(AV77,";",""))))</f>
        <v/>
      </c>
      <c r="AV77" s="9" t="str">
        <f aca="false">IF(B77="","",IF(COUNTIF($B$6:$B$505,B77)&gt;1,"Duplicate Emp Code; ","")&amp;IF(C77="","Name missing; ","")&amp;IF(I77="","DOJ missing; ","")&amp;IF(AND(J77&lt;&gt;"",I77&lt;&gt;"",J77&lt;I77),"Exit before DOJ; ","")&amp;IF(Q77="","DOB missing; ","")&amp;IF(T77="","Aadhaar missing; ",IF(LEN(T77)&lt;&gt;12,"Aadhaar not 12 digits; ",IF(COUNTIF($T$6:$T$505,T77)&gt;1,"Duplicate Aadhaar; ","")))&amp;IF(U77="","PAN missing; ",IF(LEN(U77)&lt;&gt;10,"PAN not 10 chars; ",""))&amp;IF(V77="","Mobile missing; ",IF(LEN(V77)&lt;&gt;10,"Mobile not 10 digits; ",""))&amp;IF(AG77="","Bank A/c missing; ","")&amp;IF(AH77="","IFSC missing; ",IF(LEN(AH77)&lt;&gt;11,"IFSC not 11 chars; ","")))</f>
        <v/>
      </c>
      <c r="AW77" s="46" t="str">
        <f aca="false">IF(AS77="","",AS77+ROW()/100000)</f>
        <v/>
      </c>
      <c r="AX77" s="46" t="str">
        <f aca="false">IF(AT77="","",AT77+ROW()/100000)</f>
        <v/>
      </c>
    </row>
    <row r="78" customFormat="false" ht="15" hidden="false" customHeight="false" outlineLevel="0" collapsed="false">
      <c r="A78" s="9" t="str">
        <f aca="false">IF(B78="","",ROW()-5)</f>
        <v/>
      </c>
      <c r="B78" s="40"/>
      <c r="C78" s="8"/>
      <c r="D78" s="9" t="str">
        <f aca="false">IF(B78="","",IF(J78="","Active","Exited"))</f>
        <v/>
      </c>
      <c r="E78" s="8"/>
      <c r="F78" s="8"/>
      <c r="G78" s="8"/>
      <c r="H78" s="9" t="str">
        <f aca="false">IF(OR(B78="",I78=""),"",IF(IF(J78="",AsOf,J78)-I78&gt;=Settings!$C$13,"Permanent","Probation"))</f>
        <v/>
      </c>
      <c r="I78" s="41"/>
      <c r="J78" s="41"/>
      <c r="K78" s="8"/>
      <c r="L78" s="42" t="str">
        <f aca="false">IF(OR(B78="",I78=""),"",ROUND((IF(J78="",AsOf,J78)-I78)/365.25,1))</f>
        <v/>
      </c>
      <c r="M78" s="8"/>
      <c r="N78" s="8"/>
      <c r="O78" s="8"/>
      <c r="P78" s="8"/>
      <c r="Q78" s="41"/>
      <c r="R78" s="43" t="str">
        <f aca="false">IF(OR(B78="",Q78=""),"",INT((AsOf-Q78)/365.25))</f>
        <v/>
      </c>
      <c r="S78" s="8"/>
      <c r="T78" s="40"/>
      <c r="U78" s="40"/>
      <c r="V78" s="40"/>
      <c r="W78" s="40"/>
      <c r="X78" s="8"/>
      <c r="Y78" s="8"/>
      <c r="Z78" s="8"/>
      <c r="AA78" s="8"/>
      <c r="AB78" s="8"/>
      <c r="AC78" s="8"/>
      <c r="AD78" s="8"/>
      <c r="AE78" s="40"/>
      <c r="AF78" s="8"/>
      <c r="AG78" s="40"/>
      <c r="AH78" s="40"/>
      <c r="AI78" s="8"/>
      <c r="AJ78" s="40"/>
      <c r="AK78" s="40"/>
      <c r="AL78" s="40"/>
      <c r="AM78" s="44"/>
      <c r="AN78" s="44"/>
      <c r="AO78" s="41"/>
      <c r="AP78" s="45" t="str">
        <f aca="false">IF(B78="","",IF(AND(ISNUMBER(AM78),ISNUMBER(AN78),AM78&gt;0,AN78&gt;0),AN78/AM78-1,""))</f>
        <v/>
      </c>
      <c r="AQ78" s="9" t="str">
        <f aca="false">IF(I78="","",(YEAR(I78)-IF(MONTH(I78)&lt;4,1,0))&amp;"-"&amp;RIGHT((YEAR(I78)-IF(MONTH(I78)&lt;4,1,0))+1,2))</f>
        <v/>
      </c>
      <c r="AR78" s="9" t="str">
        <f aca="false">IF(J78="","",(YEAR(J78)-IF(MONTH(J78)&lt;4,1,0))&amp;"-"&amp;RIGHT((YEAR(J78)-IF(MONTH(J78)&lt;4,1,0))+1,2))</f>
        <v/>
      </c>
      <c r="AS78" s="43" t="str">
        <f aca="false">IF(OR(B78="",Q78="",D78&lt;&gt;"Active"),"",DATE(YEAR(AsOf)+IF(DATE(YEAR(AsOf),MONTH(Q78),DAY(Q78))&lt;AsOf,1,0),MONTH(Q78),DAY(Q78))-AsOf)</f>
        <v/>
      </c>
      <c r="AT78" s="43" t="str">
        <f aca="false">IF(OR(B78="",I78="",D78&lt;&gt;"Active"),"",IF(YEAR(DATE(YEAR(AsOf)+IF(DATE(YEAR(AsOf),MONTH(I78),DAY(I78))&lt;AsOf,1,0),MONTH(I78),DAY(I78)))-YEAR(I78)&lt;1,"",DATE(YEAR(AsOf)+IF(DATE(YEAR(AsOf),MONTH(I78),DAY(I78))&lt;AsOf,1,0),MONTH(I78),DAY(I78))-AsOf))</f>
        <v/>
      </c>
      <c r="AU78" s="43" t="str">
        <f aca="false">IF(B78="","",IF(AV78="",0,LEN(AV78)-LEN(SUBSTITUTE(AV78,";",""))))</f>
        <v/>
      </c>
      <c r="AV78" s="9" t="str">
        <f aca="false">IF(B78="","",IF(COUNTIF($B$6:$B$505,B78)&gt;1,"Duplicate Emp Code; ","")&amp;IF(C78="","Name missing; ","")&amp;IF(I78="","DOJ missing; ","")&amp;IF(AND(J78&lt;&gt;"",I78&lt;&gt;"",J78&lt;I78),"Exit before DOJ; ","")&amp;IF(Q78="","DOB missing; ","")&amp;IF(T78="","Aadhaar missing; ",IF(LEN(T78)&lt;&gt;12,"Aadhaar not 12 digits; ",IF(COUNTIF($T$6:$T$505,T78)&gt;1,"Duplicate Aadhaar; ","")))&amp;IF(U78="","PAN missing; ",IF(LEN(U78)&lt;&gt;10,"PAN not 10 chars; ",""))&amp;IF(V78="","Mobile missing; ",IF(LEN(V78)&lt;&gt;10,"Mobile not 10 digits; ",""))&amp;IF(AG78="","Bank A/c missing; ","")&amp;IF(AH78="","IFSC missing; ",IF(LEN(AH78)&lt;&gt;11,"IFSC not 11 chars; ","")))</f>
        <v/>
      </c>
      <c r="AW78" s="46" t="str">
        <f aca="false">IF(AS78="","",AS78+ROW()/100000)</f>
        <v/>
      </c>
      <c r="AX78" s="46" t="str">
        <f aca="false">IF(AT78="","",AT78+ROW()/100000)</f>
        <v/>
      </c>
    </row>
    <row r="79" customFormat="false" ht="15" hidden="false" customHeight="false" outlineLevel="0" collapsed="false">
      <c r="A79" s="9" t="str">
        <f aca="false">IF(B79="","",ROW()-5)</f>
        <v/>
      </c>
      <c r="B79" s="40"/>
      <c r="C79" s="8"/>
      <c r="D79" s="9" t="str">
        <f aca="false">IF(B79="","",IF(J79="","Active","Exited"))</f>
        <v/>
      </c>
      <c r="E79" s="8"/>
      <c r="F79" s="8"/>
      <c r="G79" s="8"/>
      <c r="H79" s="9" t="str">
        <f aca="false">IF(OR(B79="",I79=""),"",IF(IF(J79="",AsOf,J79)-I79&gt;=Settings!$C$13,"Permanent","Probation"))</f>
        <v/>
      </c>
      <c r="I79" s="41"/>
      <c r="J79" s="41"/>
      <c r="K79" s="8"/>
      <c r="L79" s="42" t="str">
        <f aca="false">IF(OR(B79="",I79=""),"",ROUND((IF(J79="",AsOf,J79)-I79)/365.25,1))</f>
        <v/>
      </c>
      <c r="M79" s="8"/>
      <c r="N79" s="8"/>
      <c r="O79" s="8"/>
      <c r="P79" s="8"/>
      <c r="Q79" s="41"/>
      <c r="R79" s="43" t="str">
        <f aca="false">IF(OR(B79="",Q79=""),"",INT((AsOf-Q79)/365.25))</f>
        <v/>
      </c>
      <c r="S79" s="8"/>
      <c r="T79" s="40"/>
      <c r="U79" s="40"/>
      <c r="V79" s="40"/>
      <c r="W79" s="40"/>
      <c r="X79" s="8"/>
      <c r="Y79" s="8"/>
      <c r="Z79" s="8"/>
      <c r="AA79" s="8"/>
      <c r="AB79" s="8"/>
      <c r="AC79" s="8"/>
      <c r="AD79" s="8"/>
      <c r="AE79" s="40"/>
      <c r="AF79" s="8"/>
      <c r="AG79" s="40"/>
      <c r="AH79" s="40"/>
      <c r="AI79" s="8"/>
      <c r="AJ79" s="40"/>
      <c r="AK79" s="40"/>
      <c r="AL79" s="40"/>
      <c r="AM79" s="44"/>
      <c r="AN79" s="44"/>
      <c r="AO79" s="41"/>
      <c r="AP79" s="45" t="str">
        <f aca="false">IF(B79="","",IF(AND(ISNUMBER(AM79),ISNUMBER(AN79),AM79&gt;0,AN79&gt;0),AN79/AM79-1,""))</f>
        <v/>
      </c>
      <c r="AQ79" s="9" t="str">
        <f aca="false">IF(I79="","",(YEAR(I79)-IF(MONTH(I79)&lt;4,1,0))&amp;"-"&amp;RIGHT((YEAR(I79)-IF(MONTH(I79)&lt;4,1,0))+1,2))</f>
        <v/>
      </c>
      <c r="AR79" s="9" t="str">
        <f aca="false">IF(J79="","",(YEAR(J79)-IF(MONTH(J79)&lt;4,1,0))&amp;"-"&amp;RIGHT((YEAR(J79)-IF(MONTH(J79)&lt;4,1,0))+1,2))</f>
        <v/>
      </c>
      <c r="AS79" s="43" t="str">
        <f aca="false">IF(OR(B79="",Q79="",D79&lt;&gt;"Active"),"",DATE(YEAR(AsOf)+IF(DATE(YEAR(AsOf),MONTH(Q79),DAY(Q79))&lt;AsOf,1,0),MONTH(Q79),DAY(Q79))-AsOf)</f>
        <v/>
      </c>
      <c r="AT79" s="43" t="str">
        <f aca="false">IF(OR(B79="",I79="",D79&lt;&gt;"Active"),"",IF(YEAR(DATE(YEAR(AsOf)+IF(DATE(YEAR(AsOf),MONTH(I79),DAY(I79))&lt;AsOf,1,0),MONTH(I79),DAY(I79)))-YEAR(I79)&lt;1,"",DATE(YEAR(AsOf)+IF(DATE(YEAR(AsOf),MONTH(I79),DAY(I79))&lt;AsOf,1,0),MONTH(I79),DAY(I79))-AsOf))</f>
        <v/>
      </c>
      <c r="AU79" s="43" t="str">
        <f aca="false">IF(B79="","",IF(AV79="",0,LEN(AV79)-LEN(SUBSTITUTE(AV79,";",""))))</f>
        <v/>
      </c>
      <c r="AV79" s="9" t="str">
        <f aca="false">IF(B79="","",IF(COUNTIF($B$6:$B$505,B79)&gt;1,"Duplicate Emp Code; ","")&amp;IF(C79="","Name missing; ","")&amp;IF(I79="","DOJ missing; ","")&amp;IF(AND(J79&lt;&gt;"",I79&lt;&gt;"",J79&lt;I79),"Exit before DOJ; ","")&amp;IF(Q79="","DOB missing; ","")&amp;IF(T79="","Aadhaar missing; ",IF(LEN(T79)&lt;&gt;12,"Aadhaar not 12 digits; ",IF(COUNTIF($T$6:$T$505,T79)&gt;1,"Duplicate Aadhaar; ","")))&amp;IF(U79="","PAN missing; ",IF(LEN(U79)&lt;&gt;10,"PAN not 10 chars; ",""))&amp;IF(V79="","Mobile missing; ",IF(LEN(V79)&lt;&gt;10,"Mobile not 10 digits; ",""))&amp;IF(AG79="","Bank A/c missing; ","")&amp;IF(AH79="","IFSC missing; ",IF(LEN(AH79)&lt;&gt;11,"IFSC not 11 chars; ","")))</f>
        <v/>
      </c>
      <c r="AW79" s="46" t="str">
        <f aca="false">IF(AS79="","",AS79+ROW()/100000)</f>
        <v/>
      </c>
      <c r="AX79" s="46" t="str">
        <f aca="false">IF(AT79="","",AT79+ROW()/100000)</f>
        <v/>
      </c>
    </row>
    <row r="80" customFormat="false" ht="15" hidden="false" customHeight="false" outlineLevel="0" collapsed="false">
      <c r="A80" s="9" t="str">
        <f aca="false">IF(B80="","",ROW()-5)</f>
        <v/>
      </c>
      <c r="B80" s="40"/>
      <c r="C80" s="8"/>
      <c r="D80" s="9" t="str">
        <f aca="false">IF(B80="","",IF(J80="","Active","Exited"))</f>
        <v/>
      </c>
      <c r="E80" s="8"/>
      <c r="F80" s="8"/>
      <c r="G80" s="8"/>
      <c r="H80" s="9" t="str">
        <f aca="false">IF(OR(B80="",I80=""),"",IF(IF(J80="",AsOf,J80)-I80&gt;=Settings!$C$13,"Permanent","Probation"))</f>
        <v/>
      </c>
      <c r="I80" s="41"/>
      <c r="J80" s="41"/>
      <c r="K80" s="8"/>
      <c r="L80" s="42" t="str">
        <f aca="false">IF(OR(B80="",I80=""),"",ROUND((IF(J80="",AsOf,J80)-I80)/365.25,1))</f>
        <v/>
      </c>
      <c r="M80" s="8"/>
      <c r="N80" s="8"/>
      <c r="O80" s="8"/>
      <c r="P80" s="8"/>
      <c r="Q80" s="41"/>
      <c r="R80" s="43" t="str">
        <f aca="false">IF(OR(B80="",Q80=""),"",INT((AsOf-Q80)/365.25))</f>
        <v/>
      </c>
      <c r="S80" s="8"/>
      <c r="T80" s="40"/>
      <c r="U80" s="40"/>
      <c r="V80" s="40"/>
      <c r="W80" s="40"/>
      <c r="X80" s="8"/>
      <c r="Y80" s="8"/>
      <c r="Z80" s="8"/>
      <c r="AA80" s="8"/>
      <c r="AB80" s="8"/>
      <c r="AC80" s="8"/>
      <c r="AD80" s="8"/>
      <c r="AE80" s="40"/>
      <c r="AF80" s="8"/>
      <c r="AG80" s="40"/>
      <c r="AH80" s="40"/>
      <c r="AI80" s="8"/>
      <c r="AJ80" s="40"/>
      <c r="AK80" s="40"/>
      <c r="AL80" s="40"/>
      <c r="AM80" s="44"/>
      <c r="AN80" s="44"/>
      <c r="AO80" s="41"/>
      <c r="AP80" s="45" t="str">
        <f aca="false">IF(B80="","",IF(AND(ISNUMBER(AM80),ISNUMBER(AN80),AM80&gt;0,AN80&gt;0),AN80/AM80-1,""))</f>
        <v/>
      </c>
      <c r="AQ80" s="9" t="str">
        <f aca="false">IF(I80="","",(YEAR(I80)-IF(MONTH(I80)&lt;4,1,0))&amp;"-"&amp;RIGHT((YEAR(I80)-IF(MONTH(I80)&lt;4,1,0))+1,2))</f>
        <v/>
      </c>
      <c r="AR80" s="9" t="str">
        <f aca="false">IF(J80="","",(YEAR(J80)-IF(MONTH(J80)&lt;4,1,0))&amp;"-"&amp;RIGHT((YEAR(J80)-IF(MONTH(J80)&lt;4,1,0))+1,2))</f>
        <v/>
      </c>
      <c r="AS80" s="43" t="str">
        <f aca="false">IF(OR(B80="",Q80="",D80&lt;&gt;"Active"),"",DATE(YEAR(AsOf)+IF(DATE(YEAR(AsOf),MONTH(Q80),DAY(Q80))&lt;AsOf,1,0),MONTH(Q80),DAY(Q80))-AsOf)</f>
        <v/>
      </c>
      <c r="AT80" s="43" t="str">
        <f aca="false">IF(OR(B80="",I80="",D80&lt;&gt;"Active"),"",IF(YEAR(DATE(YEAR(AsOf)+IF(DATE(YEAR(AsOf),MONTH(I80),DAY(I80))&lt;AsOf,1,0),MONTH(I80),DAY(I80)))-YEAR(I80)&lt;1,"",DATE(YEAR(AsOf)+IF(DATE(YEAR(AsOf),MONTH(I80),DAY(I80))&lt;AsOf,1,0),MONTH(I80),DAY(I80))-AsOf))</f>
        <v/>
      </c>
      <c r="AU80" s="43" t="str">
        <f aca="false">IF(B80="","",IF(AV80="",0,LEN(AV80)-LEN(SUBSTITUTE(AV80,";",""))))</f>
        <v/>
      </c>
      <c r="AV80" s="9" t="str">
        <f aca="false">IF(B80="","",IF(COUNTIF($B$6:$B$505,B80)&gt;1,"Duplicate Emp Code; ","")&amp;IF(C80="","Name missing; ","")&amp;IF(I80="","DOJ missing; ","")&amp;IF(AND(J80&lt;&gt;"",I80&lt;&gt;"",J80&lt;I80),"Exit before DOJ; ","")&amp;IF(Q80="","DOB missing; ","")&amp;IF(T80="","Aadhaar missing; ",IF(LEN(T80)&lt;&gt;12,"Aadhaar not 12 digits; ",IF(COUNTIF($T$6:$T$505,T80)&gt;1,"Duplicate Aadhaar; ","")))&amp;IF(U80="","PAN missing; ",IF(LEN(U80)&lt;&gt;10,"PAN not 10 chars; ",""))&amp;IF(V80="","Mobile missing; ",IF(LEN(V80)&lt;&gt;10,"Mobile not 10 digits; ",""))&amp;IF(AG80="","Bank A/c missing; ","")&amp;IF(AH80="","IFSC missing; ",IF(LEN(AH80)&lt;&gt;11,"IFSC not 11 chars; ","")))</f>
        <v/>
      </c>
      <c r="AW80" s="46" t="str">
        <f aca="false">IF(AS80="","",AS80+ROW()/100000)</f>
        <v/>
      </c>
      <c r="AX80" s="46" t="str">
        <f aca="false">IF(AT80="","",AT80+ROW()/100000)</f>
        <v/>
      </c>
    </row>
    <row r="81" customFormat="false" ht="15" hidden="false" customHeight="false" outlineLevel="0" collapsed="false">
      <c r="A81" s="9" t="str">
        <f aca="false">IF(B81="","",ROW()-5)</f>
        <v/>
      </c>
      <c r="B81" s="40"/>
      <c r="C81" s="8"/>
      <c r="D81" s="9" t="str">
        <f aca="false">IF(B81="","",IF(J81="","Active","Exited"))</f>
        <v/>
      </c>
      <c r="E81" s="8"/>
      <c r="F81" s="8"/>
      <c r="G81" s="8"/>
      <c r="H81" s="9" t="str">
        <f aca="false">IF(OR(B81="",I81=""),"",IF(IF(J81="",AsOf,J81)-I81&gt;=Settings!$C$13,"Permanent","Probation"))</f>
        <v/>
      </c>
      <c r="I81" s="41"/>
      <c r="J81" s="41"/>
      <c r="K81" s="8"/>
      <c r="L81" s="42" t="str">
        <f aca="false">IF(OR(B81="",I81=""),"",ROUND((IF(J81="",AsOf,J81)-I81)/365.25,1))</f>
        <v/>
      </c>
      <c r="M81" s="8"/>
      <c r="N81" s="8"/>
      <c r="O81" s="8"/>
      <c r="P81" s="8"/>
      <c r="Q81" s="41"/>
      <c r="R81" s="43" t="str">
        <f aca="false">IF(OR(B81="",Q81=""),"",INT((AsOf-Q81)/365.25))</f>
        <v/>
      </c>
      <c r="S81" s="8"/>
      <c r="T81" s="40"/>
      <c r="U81" s="40"/>
      <c r="V81" s="40"/>
      <c r="W81" s="40"/>
      <c r="X81" s="8"/>
      <c r="Y81" s="8"/>
      <c r="Z81" s="8"/>
      <c r="AA81" s="8"/>
      <c r="AB81" s="8"/>
      <c r="AC81" s="8"/>
      <c r="AD81" s="8"/>
      <c r="AE81" s="40"/>
      <c r="AF81" s="8"/>
      <c r="AG81" s="40"/>
      <c r="AH81" s="40"/>
      <c r="AI81" s="8"/>
      <c r="AJ81" s="40"/>
      <c r="AK81" s="40"/>
      <c r="AL81" s="40"/>
      <c r="AM81" s="44"/>
      <c r="AN81" s="44"/>
      <c r="AO81" s="41"/>
      <c r="AP81" s="45" t="str">
        <f aca="false">IF(B81="","",IF(AND(ISNUMBER(AM81),ISNUMBER(AN81),AM81&gt;0,AN81&gt;0),AN81/AM81-1,""))</f>
        <v/>
      </c>
      <c r="AQ81" s="9" t="str">
        <f aca="false">IF(I81="","",(YEAR(I81)-IF(MONTH(I81)&lt;4,1,0))&amp;"-"&amp;RIGHT((YEAR(I81)-IF(MONTH(I81)&lt;4,1,0))+1,2))</f>
        <v/>
      </c>
      <c r="AR81" s="9" t="str">
        <f aca="false">IF(J81="","",(YEAR(J81)-IF(MONTH(J81)&lt;4,1,0))&amp;"-"&amp;RIGHT((YEAR(J81)-IF(MONTH(J81)&lt;4,1,0))+1,2))</f>
        <v/>
      </c>
      <c r="AS81" s="43" t="str">
        <f aca="false">IF(OR(B81="",Q81="",D81&lt;&gt;"Active"),"",DATE(YEAR(AsOf)+IF(DATE(YEAR(AsOf),MONTH(Q81),DAY(Q81))&lt;AsOf,1,0),MONTH(Q81),DAY(Q81))-AsOf)</f>
        <v/>
      </c>
      <c r="AT81" s="43" t="str">
        <f aca="false">IF(OR(B81="",I81="",D81&lt;&gt;"Active"),"",IF(YEAR(DATE(YEAR(AsOf)+IF(DATE(YEAR(AsOf),MONTH(I81),DAY(I81))&lt;AsOf,1,0),MONTH(I81),DAY(I81)))-YEAR(I81)&lt;1,"",DATE(YEAR(AsOf)+IF(DATE(YEAR(AsOf),MONTH(I81),DAY(I81))&lt;AsOf,1,0),MONTH(I81),DAY(I81))-AsOf))</f>
        <v/>
      </c>
      <c r="AU81" s="43" t="str">
        <f aca="false">IF(B81="","",IF(AV81="",0,LEN(AV81)-LEN(SUBSTITUTE(AV81,";",""))))</f>
        <v/>
      </c>
      <c r="AV81" s="9" t="str">
        <f aca="false">IF(B81="","",IF(COUNTIF($B$6:$B$505,B81)&gt;1,"Duplicate Emp Code; ","")&amp;IF(C81="","Name missing; ","")&amp;IF(I81="","DOJ missing; ","")&amp;IF(AND(J81&lt;&gt;"",I81&lt;&gt;"",J81&lt;I81),"Exit before DOJ; ","")&amp;IF(Q81="","DOB missing; ","")&amp;IF(T81="","Aadhaar missing; ",IF(LEN(T81)&lt;&gt;12,"Aadhaar not 12 digits; ",IF(COUNTIF($T$6:$T$505,T81)&gt;1,"Duplicate Aadhaar; ","")))&amp;IF(U81="","PAN missing; ",IF(LEN(U81)&lt;&gt;10,"PAN not 10 chars; ",""))&amp;IF(V81="","Mobile missing; ",IF(LEN(V81)&lt;&gt;10,"Mobile not 10 digits; ",""))&amp;IF(AG81="","Bank A/c missing; ","")&amp;IF(AH81="","IFSC missing; ",IF(LEN(AH81)&lt;&gt;11,"IFSC not 11 chars; ","")))</f>
        <v/>
      </c>
      <c r="AW81" s="46" t="str">
        <f aca="false">IF(AS81="","",AS81+ROW()/100000)</f>
        <v/>
      </c>
      <c r="AX81" s="46" t="str">
        <f aca="false">IF(AT81="","",AT81+ROW()/100000)</f>
        <v/>
      </c>
    </row>
    <row r="82" customFormat="false" ht="15" hidden="false" customHeight="false" outlineLevel="0" collapsed="false">
      <c r="A82" s="9" t="str">
        <f aca="false">IF(B82="","",ROW()-5)</f>
        <v/>
      </c>
      <c r="B82" s="40"/>
      <c r="C82" s="8"/>
      <c r="D82" s="9" t="str">
        <f aca="false">IF(B82="","",IF(J82="","Active","Exited"))</f>
        <v/>
      </c>
      <c r="E82" s="8"/>
      <c r="F82" s="8"/>
      <c r="G82" s="8"/>
      <c r="H82" s="9" t="str">
        <f aca="false">IF(OR(B82="",I82=""),"",IF(IF(J82="",AsOf,J82)-I82&gt;=Settings!$C$13,"Permanent","Probation"))</f>
        <v/>
      </c>
      <c r="I82" s="41"/>
      <c r="J82" s="41"/>
      <c r="K82" s="8"/>
      <c r="L82" s="42" t="str">
        <f aca="false">IF(OR(B82="",I82=""),"",ROUND((IF(J82="",AsOf,J82)-I82)/365.25,1))</f>
        <v/>
      </c>
      <c r="M82" s="8"/>
      <c r="N82" s="8"/>
      <c r="O82" s="8"/>
      <c r="P82" s="8"/>
      <c r="Q82" s="41"/>
      <c r="R82" s="43" t="str">
        <f aca="false">IF(OR(B82="",Q82=""),"",INT((AsOf-Q82)/365.25))</f>
        <v/>
      </c>
      <c r="S82" s="8"/>
      <c r="T82" s="40"/>
      <c r="U82" s="40"/>
      <c r="V82" s="40"/>
      <c r="W82" s="40"/>
      <c r="X82" s="8"/>
      <c r="Y82" s="8"/>
      <c r="Z82" s="8"/>
      <c r="AA82" s="8"/>
      <c r="AB82" s="8"/>
      <c r="AC82" s="8"/>
      <c r="AD82" s="8"/>
      <c r="AE82" s="40"/>
      <c r="AF82" s="8"/>
      <c r="AG82" s="40"/>
      <c r="AH82" s="40"/>
      <c r="AI82" s="8"/>
      <c r="AJ82" s="40"/>
      <c r="AK82" s="40"/>
      <c r="AL82" s="40"/>
      <c r="AM82" s="44"/>
      <c r="AN82" s="44"/>
      <c r="AO82" s="41"/>
      <c r="AP82" s="45" t="str">
        <f aca="false">IF(B82="","",IF(AND(ISNUMBER(AM82),ISNUMBER(AN82),AM82&gt;0,AN82&gt;0),AN82/AM82-1,""))</f>
        <v/>
      </c>
      <c r="AQ82" s="9" t="str">
        <f aca="false">IF(I82="","",(YEAR(I82)-IF(MONTH(I82)&lt;4,1,0))&amp;"-"&amp;RIGHT((YEAR(I82)-IF(MONTH(I82)&lt;4,1,0))+1,2))</f>
        <v/>
      </c>
      <c r="AR82" s="9" t="str">
        <f aca="false">IF(J82="","",(YEAR(J82)-IF(MONTH(J82)&lt;4,1,0))&amp;"-"&amp;RIGHT((YEAR(J82)-IF(MONTH(J82)&lt;4,1,0))+1,2))</f>
        <v/>
      </c>
      <c r="AS82" s="43" t="str">
        <f aca="false">IF(OR(B82="",Q82="",D82&lt;&gt;"Active"),"",DATE(YEAR(AsOf)+IF(DATE(YEAR(AsOf),MONTH(Q82),DAY(Q82))&lt;AsOf,1,0),MONTH(Q82),DAY(Q82))-AsOf)</f>
        <v/>
      </c>
      <c r="AT82" s="43" t="str">
        <f aca="false">IF(OR(B82="",I82="",D82&lt;&gt;"Active"),"",IF(YEAR(DATE(YEAR(AsOf)+IF(DATE(YEAR(AsOf),MONTH(I82),DAY(I82))&lt;AsOf,1,0),MONTH(I82),DAY(I82)))-YEAR(I82)&lt;1,"",DATE(YEAR(AsOf)+IF(DATE(YEAR(AsOf),MONTH(I82),DAY(I82))&lt;AsOf,1,0),MONTH(I82),DAY(I82))-AsOf))</f>
        <v/>
      </c>
      <c r="AU82" s="43" t="str">
        <f aca="false">IF(B82="","",IF(AV82="",0,LEN(AV82)-LEN(SUBSTITUTE(AV82,";",""))))</f>
        <v/>
      </c>
      <c r="AV82" s="9" t="str">
        <f aca="false">IF(B82="","",IF(COUNTIF($B$6:$B$505,B82)&gt;1,"Duplicate Emp Code; ","")&amp;IF(C82="","Name missing; ","")&amp;IF(I82="","DOJ missing; ","")&amp;IF(AND(J82&lt;&gt;"",I82&lt;&gt;"",J82&lt;I82),"Exit before DOJ; ","")&amp;IF(Q82="","DOB missing; ","")&amp;IF(T82="","Aadhaar missing; ",IF(LEN(T82)&lt;&gt;12,"Aadhaar not 12 digits; ",IF(COUNTIF($T$6:$T$505,T82)&gt;1,"Duplicate Aadhaar; ","")))&amp;IF(U82="","PAN missing; ",IF(LEN(U82)&lt;&gt;10,"PAN not 10 chars; ",""))&amp;IF(V82="","Mobile missing; ",IF(LEN(V82)&lt;&gt;10,"Mobile not 10 digits; ",""))&amp;IF(AG82="","Bank A/c missing; ","")&amp;IF(AH82="","IFSC missing; ",IF(LEN(AH82)&lt;&gt;11,"IFSC not 11 chars; ","")))</f>
        <v/>
      </c>
      <c r="AW82" s="46" t="str">
        <f aca="false">IF(AS82="","",AS82+ROW()/100000)</f>
        <v/>
      </c>
      <c r="AX82" s="46" t="str">
        <f aca="false">IF(AT82="","",AT82+ROW()/100000)</f>
        <v/>
      </c>
    </row>
    <row r="83" customFormat="false" ht="15" hidden="false" customHeight="false" outlineLevel="0" collapsed="false">
      <c r="A83" s="9" t="str">
        <f aca="false">IF(B83="","",ROW()-5)</f>
        <v/>
      </c>
      <c r="B83" s="40"/>
      <c r="C83" s="8"/>
      <c r="D83" s="9" t="str">
        <f aca="false">IF(B83="","",IF(J83="","Active","Exited"))</f>
        <v/>
      </c>
      <c r="E83" s="8"/>
      <c r="F83" s="8"/>
      <c r="G83" s="8"/>
      <c r="H83" s="9" t="str">
        <f aca="false">IF(OR(B83="",I83=""),"",IF(IF(J83="",AsOf,J83)-I83&gt;=Settings!$C$13,"Permanent","Probation"))</f>
        <v/>
      </c>
      <c r="I83" s="41"/>
      <c r="J83" s="41"/>
      <c r="K83" s="8"/>
      <c r="L83" s="42" t="str">
        <f aca="false">IF(OR(B83="",I83=""),"",ROUND((IF(J83="",AsOf,J83)-I83)/365.25,1))</f>
        <v/>
      </c>
      <c r="M83" s="8"/>
      <c r="N83" s="8"/>
      <c r="O83" s="8"/>
      <c r="P83" s="8"/>
      <c r="Q83" s="41"/>
      <c r="R83" s="43" t="str">
        <f aca="false">IF(OR(B83="",Q83=""),"",INT((AsOf-Q83)/365.25))</f>
        <v/>
      </c>
      <c r="S83" s="8"/>
      <c r="T83" s="40"/>
      <c r="U83" s="40"/>
      <c r="V83" s="40"/>
      <c r="W83" s="40"/>
      <c r="X83" s="8"/>
      <c r="Y83" s="8"/>
      <c r="Z83" s="8"/>
      <c r="AA83" s="8"/>
      <c r="AB83" s="8"/>
      <c r="AC83" s="8"/>
      <c r="AD83" s="8"/>
      <c r="AE83" s="40"/>
      <c r="AF83" s="8"/>
      <c r="AG83" s="40"/>
      <c r="AH83" s="40"/>
      <c r="AI83" s="8"/>
      <c r="AJ83" s="40"/>
      <c r="AK83" s="40"/>
      <c r="AL83" s="40"/>
      <c r="AM83" s="44"/>
      <c r="AN83" s="44"/>
      <c r="AO83" s="41"/>
      <c r="AP83" s="45" t="str">
        <f aca="false">IF(B83="","",IF(AND(ISNUMBER(AM83),ISNUMBER(AN83),AM83&gt;0,AN83&gt;0),AN83/AM83-1,""))</f>
        <v/>
      </c>
      <c r="AQ83" s="9" t="str">
        <f aca="false">IF(I83="","",(YEAR(I83)-IF(MONTH(I83)&lt;4,1,0))&amp;"-"&amp;RIGHT((YEAR(I83)-IF(MONTH(I83)&lt;4,1,0))+1,2))</f>
        <v/>
      </c>
      <c r="AR83" s="9" t="str">
        <f aca="false">IF(J83="","",(YEAR(J83)-IF(MONTH(J83)&lt;4,1,0))&amp;"-"&amp;RIGHT((YEAR(J83)-IF(MONTH(J83)&lt;4,1,0))+1,2))</f>
        <v/>
      </c>
      <c r="AS83" s="43" t="str">
        <f aca="false">IF(OR(B83="",Q83="",D83&lt;&gt;"Active"),"",DATE(YEAR(AsOf)+IF(DATE(YEAR(AsOf),MONTH(Q83),DAY(Q83))&lt;AsOf,1,0),MONTH(Q83),DAY(Q83))-AsOf)</f>
        <v/>
      </c>
      <c r="AT83" s="43" t="str">
        <f aca="false">IF(OR(B83="",I83="",D83&lt;&gt;"Active"),"",IF(YEAR(DATE(YEAR(AsOf)+IF(DATE(YEAR(AsOf),MONTH(I83),DAY(I83))&lt;AsOf,1,0),MONTH(I83),DAY(I83)))-YEAR(I83)&lt;1,"",DATE(YEAR(AsOf)+IF(DATE(YEAR(AsOf),MONTH(I83),DAY(I83))&lt;AsOf,1,0),MONTH(I83),DAY(I83))-AsOf))</f>
        <v/>
      </c>
      <c r="AU83" s="43" t="str">
        <f aca="false">IF(B83="","",IF(AV83="",0,LEN(AV83)-LEN(SUBSTITUTE(AV83,";",""))))</f>
        <v/>
      </c>
      <c r="AV83" s="9" t="str">
        <f aca="false">IF(B83="","",IF(COUNTIF($B$6:$B$505,B83)&gt;1,"Duplicate Emp Code; ","")&amp;IF(C83="","Name missing; ","")&amp;IF(I83="","DOJ missing; ","")&amp;IF(AND(J83&lt;&gt;"",I83&lt;&gt;"",J83&lt;I83),"Exit before DOJ; ","")&amp;IF(Q83="","DOB missing; ","")&amp;IF(T83="","Aadhaar missing; ",IF(LEN(T83)&lt;&gt;12,"Aadhaar not 12 digits; ",IF(COUNTIF($T$6:$T$505,T83)&gt;1,"Duplicate Aadhaar; ","")))&amp;IF(U83="","PAN missing; ",IF(LEN(U83)&lt;&gt;10,"PAN not 10 chars; ",""))&amp;IF(V83="","Mobile missing; ",IF(LEN(V83)&lt;&gt;10,"Mobile not 10 digits; ",""))&amp;IF(AG83="","Bank A/c missing; ","")&amp;IF(AH83="","IFSC missing; ",IF(LEN(AH83)&lt;&gt;11,"IFSC not 11 chars; ","")))</f>
        <v/>
      </c>
      <c r="AW83" s="46" t="str">
        <f aca="false">IF(AS83="","",AS83+ROW()/100000)</f>
        <v/>
      </c>
      <c r="AX83" s="46" t="str">
        <f aca="false">IF(AT83="","",AT83+ROW()/100000)</f>
        <v/>
      </c>
    </row>
    <row r="84" customFormat="false" ht="15" hidden="false" customHeight="false" outlineLevel="0" collapsed="false">
      <c r="A84" s="9" t="str">
        <f aca="false">IF(B84="","",ROW()-5)</f>
        <v/>
      </c>
      <c r="B84" s="40"/>
      <c r="C84" s="8"/>
      <c r="D84" s="9" t="str">
        <f aca="false">IF(B84="","",IF(J84="","Active","Exited"))</f>
        <v/>
      </c>
      <c r="E84" s="8"/>
      <c r="F84" s="8"/>
      <c r="G84" s="8"/>
      <c r="H84" s="9" t="str">
        <f aca="false">IF(OR(B84="",I84=""),"",IF(IF(J84="",AsOf,J84)-I84&gt;=Settings!$C$13,"Permanent","Probation"))</f>
        <v/>
      </c>
      <c r="I84" s="41"/>
      <c r="J84" s="41"/>
      <c r="K84" s="8"/>
      <c r="L84" s="42" t="str">
        <f aca="false">IF(OR(B84="",I84=""),"",ROUND((IF(J84="",AsOf,J84)-I84)/365.25,1))</f>
        <v/>
      </c>
      <c r="M84" s="8"/>
      <c r="N84" s="8"/>
      <c r="O84" s="8"/>
      <c r="P84" s="8"/>
      <c r="Q84" s="41"/>
      <c r="R84" s="43" t="str">
        <f aca="false">IF(OR(B84="",Q84=""),"",INT((AsOf-Q84)/365.25))</f>
        <v/>
      </c>
      <c r="S84" s="8"/>
      <c r="T84" s="40"/>
      <c r="U84" s="40"/>
      <c r="V84" s="40"/>
      <c r="W84" s="40"/>
      <c r="X84" s="8"/>
      <c r="Y84" s="8"/>
      <c r="Z84" s="8"/>
      <c r="AA84" s="8"/>
      <c r="AB84" s="8"/>
      <c r="AC84" s="8"/>
      <c r="AD84" s="8"/>
      <c r="AE84" s="40"/>
      <c r="AF84" s="8"/>
      <c r="AG84" s="40"/>
      <c r="AH84" s="40"/>
      <c r="AI84" s="8"/>
      <c r="AJ84" s="40"/>
      <c r="AK84" s="40"/>
      <c r="AL84" s="40"/>
      <c r="AM84" s="44"/>
      <c r="AN84" s="44"/>
      <c r="AO84" s="41"/>
      <c r="AP84" s="45" t="str">
        <f aca="false">IF(B84="","",IF(AND(ISNUMBER(AM84),ISNUMBER(AN84),AM84&gt;0,AN84&gt;0),AN84/AM84-1,""))</f>
        <v/>
      </c>
      <c r="AQ84" s="9" t="str">
        <f aca="false">IF(I84="","",(YEAR(I84)-IF(MONTH(I84)&lt;4,1,0))&amp;"-"&amp;RIGHT((YEAR(I84)-IF(MONTH(I84)&lt;4,1,0))+1,2))</f>
        <v/>
      </c>
      <c r="AR84" s="9" t="str">
        <f aca="false">IF(J84="","",(YEAR(J84)-IF(MONTH(J84)&lt;4,1,0))&amp;"-"&amp;RIGHT((YEAR(J84)-IF(MONTH(J84)&lt;4,1,0))+1,2))</f>
        <v/>
      </c>
      <c r="AS84" s="43" t="str">
        <f aca="false">IF(OR(B84="",Q84="",D84&lt;&gt;"Active"),"",DATE(YEAR(AsOf)+IF(DATE(YEAR(AsOf),MONTH(Q84),DAY(Q84))&lt;AsOf,1,0),MONTH(Q84),DAY(Q84))-AsOf)</f>
        <v/>
      </c>
      <c r="AT84" s="43" t="str">
        <f aca="false">IF(OR(B84="",I84="",D84&lt;&gt;"Active"),"",IF(YEAR(DATE(YEAR(AsOf)+IF(DATE(YEAR(AsOf),MONTH(I84),DAY(I84))&lt;AsOf,1,0),MONTH(I84),DAY(I84)))-YEAR(I84)&lt;1,"",DATE(YEAR(AsOf)+IF(DATE(YEAR(AsOf),MONTH(I84),DAY(I84))&lt;AsOf,1,0),MONTH(I84),DAY(I84))-AsOf))</f>
        <v/>
      </c>
      <c r="AU84" s="43" t="str">
        <f aca="false">IF(B84="","",IF(AV84="",0,LEN(AV84)-LEN(SUBSTITUTE(AV84,";",""))))</f>
        <v/>
      </c>
      <c r="AV84" s="9" t="str">
        <f aca="false">IF(B84="","",IF(COUNTIF($B$6:$B$505,B84)&gt;1,"Duplicate Emp Code; ","")&amp;IF(C84="","Name missing; ","")&amp;IF(I84="","DOJ missing; ","")&amp;IF(AND(J84&lt;&gt;"",I84&lt;&gt;"",J84&lt;I84),"Exit before DOJ; ","")&amp;IF(Q84="","DOB missing; ","")&amp;IF(T84="","Aadhaar missing; ",IF(LEN(T84)&lt;&gt;12,"Aadhaar not 12 digits; ",IF(COUNTIF($T$6:$T$505,T84)&gt;1,"Duplicate Aadhaar; ","")))&amp;IF(U84="","PAN missing; ",IF(LEN(U84)&lt;&gt;10,"PAN not 10 chars; ",""))&amp;IF(V84="","Mobile missing; ",IF(LEN(V84)&lt;&gt;10,"Mobile not 10 digits; ",""))&amp;IF(AG84="","Bank A/c missing; ","")&amp;IF(AH84="","IFSC missing; ",IF(LEN(AH84)&lt;&gt;11,"IFSC not 11 chars; ","")))</f>
        <v/>
      </c>
      <c r="AW84" s="46" t="str">
        <f aca="false">IF(AS84="","",AS84+ROW()/100000)</f>
        <v/>
      </c>
      <c r="AX84" s="46" t="str">
        <f aca="false">IF(AT84="","",AT84+ROW()/100000)</f>
        <v/>
      </c>
    </row>
    <row r="85" customFormat="false" ht="15" hidden="false" customHeight="false" outlineLevel="0" collapsed="false">
      <c r="A85" s="9" t="str">
        <f aca="false">IF(B85="","",ROW()-5)</f>
        <v/>
      </c>
      <c r="B85" s="40"/>
      <c r="C85" s="8"/>
      <c r="D85" s="9" t="str">
        <f aca="false">IF(B85="","",IF(J85="","Active","Exited"))</f>
        <v/>
      </c>
      <c r="E85" s="8"/>
      <c r="F85" s="8"/>
      <c r="G85" s="8"/>
      <c r="H85" s="9" t="str">
        <f aca="false">IF(OR(B85="",I85=""),"",IF(IF(J85="",AsOf,J85)-I85&gt;=Settings!$C$13,"Permanent","Probation"))</f>
        <v/>
      </c>
      <c r="I85" s="41"/>
      <c r="J85" s="41"/>
      <c r="K85" s="8"/>
      <c r="L85" s="42" t="str">
        <f aca="false">IF(OR(B85="",I85=""),"",ROUND((IF(J85="",AsOf,J85)-I85)/365.25,1))</f>
        <v/>
      </c>
      <c r="M85" s="8"/>
      <c r="N85" s="8"/>
      <c r="O85" s="8"/>
      <c r="P85" s="8"/>
      <c r="Q85" s="41"/>
      <c r="R85" s="43" t="str">
        <f aca="false">IF(OR(B85="",Q85=""),"",INT((AsOf-Q85)/365.25))</f>
        <v/>
      </c>
      <c r="S85" s="8"/>
      <c r="T85" s="40"/>
      <c r="U85" s="40"/>
      <c r="V85" s="40"/>
      <c r="W85" s="40"/>
      <c r="X85" s="8"/>
      <c r="Y85" s="8"/>
      <c r="Z85" s="8"/>
      <c r="AA85" s="8"/>
      <c r="AB85" s="8"/>
      <c r="AC85" s="8"/>
      <c r="AD85" s="8"/>
      <c r="AE85" s="40"/>
      <c r="AF85" s="8"/>
      <c r="AG85" s="40"/>
      <c r="AH85" s="40"/>
      <c r="AI85" s="8"/>
      <c r="AJ85" s="40"/>
      <c r="AK85" s="40"/>
      <c r="AL85" s="40"/>
      <c r="AM85" s="44"/>
      <c r="AN85" s="44"/>
      <c r="AO85" s="41"/>
      <c r="AP85" s="45" t="str">
        <f aca="false">IF(B85="","",IF(AND(ISNUMBER(AM85),ISNUMBER(AN85),AM85&gt;0,AN85&gt;0),AN85/AM85-1,""))</f>
        <v/>
      </c>
      <c r="AQ85" s="9" t="str">
        <f aca="false">IF(I85="","",(YEAR(I85)-IF(MONTH(I85)&lt;4,1,0))&amp;"-"&amp;RIGHT((YEAR(I85)-IF(MONTH(I85)&lt;4,1,0))+1,2))</f>
        <v/>
      </c>
      <c r="AR85" s="9" t="str">
        <f aca="false">IF(J85="","",(YEAR(J85)-IF(MONTH(J85)&lt;4,1,0))&amp;"-"&amp;RIGHT((YEAR(J85)-IF(MONTH(J85)&lt;4,1,0))+1,2))</f>
        <v/>
      </c>
      <c r="AS85" s="43" t="str">
        <f aca="false">IF(OR(B85="",Q85="",D85&lt;&gt;"Active"),"",DATE(YEAR(AsOf)+IF(DATE(YEAR(AsOf),MONTH(Q85),DAY(Q85))&lt;AsOf,1,0),MONTH(Q85),DAY(Q85))-AsOf)</f>
        <v/>
      </c>
      <c r="AT85" s="43" t="str">
        <f aca="false">IF(OR(B85="",I85="",D85&lt;&gt;"Active"),"",IF(YEAR(DATE(YEAR(AsOf)+IF(DATE(YEAR(AsOf),MONTH(I85),DAY(I85))&lt;AsOf,1,0),MONTH(I85),DAY(I85)))-YEAR(I85)&lt;1,"",DATE(YEAR(AsOf)+IF(DATE(YEAR(AsOf),MONTH(I85),DAY(I85))&lt;AsOf,1,0),MONTH(I85),DAY(I85))-AsOf))</f>
        <v/>
      </c>
      <c r="AU85" s="43" t="str">
        <f aca="false">IF(B85="","",IF(AV85="",0,LEN(AV85)-LEN(SUBSTITUTE(AV85,";",""))))</f>
        <v/>
      </c>
      <c r="AV85" s="9" t="str">
        <f aca="false">IF(B85="","",IF(COUNTIF($B$6:$B$505,B85)&gt;1,"Duplicate Emp Code; ","")&amp;IF(C85="","Name missing; ","")&amp;IF(I85="","DOJ missing; ","")&amp;IF(AND(J85&lt;&gt;"",I85&lt;&gt;"",J85&lt;I85),"Exit before DOJ; ","")&amp;IF(Q85="","DOB missing; ","")&amp;IF(T85="","Aadhaar missing; ",IF(LEN(T85)&lt;&gt;12,"Aadhaar not 12 digits; ",IF(COUNTIF($T$6:$T$505,T85)&gt;1,"Duplicate Aadhaar; ","")))&amp;IF(U85="","PAN missing; ",IF(LEN(U85)&lt;&gt;10,"PAN not 10 chars; ",""))&amp;IF(V85="","Mobile missing; ",IF(LEN(V85)&lt;&gt;10,"Mobile not 10 digits; ",""))&amp;IF(AG85="","Bank A/c missing; ","")&amp;IF(AH85="","IFSC missing; ",IF(LEN(AH85)&lt;&gt;11,"IFSC not 11 chars; ","")))</f>
        <v/>
      </c>
      <c r="AW85" s="46" t="str">
        <f aca="false">IF(AS85="","",AS85+ROW()/100000)</f>
        <v/>
      </c>
      <c r="AX85" s="46" t="str">
        <f aca="false">IF(AT85="","",AT85+ROW()/100000)</f>
        <v/>
      </c>
    </row>
    <row r="86" customFormat="false" ht="15" hidden="false" customHeight="false" outlineLevel="0" collapsed="false">
      <c r="A86" s="9" t="str">
        <f aca="false">IF(B86="","",ROW()-5)</f>
        <v/>
      </c>
      <c r="B86" s="40"/>
      <c r="C86" s="8"/>
      <c r="D86" s="9" t="str">
        <f aca="false">IF(B86="","",IF(J86="","Active","Exited"))</f>
        <v/>
      </c>
      <c r="E86" s="8"/>
      <c r="F86" s="8"/>
      <c r="G86" s="8"/>
      <c r="H86" s="9" t="str">
        <f aca="false">IF(OR(B86="",I86=""),"",IF(IF(J86="",AsOf,J86)-I86&gt;=Settings!$C$13,"Permanent","Probation"))</f>
        <v/>
      </c>
      <c r="I86" s="41"/>
      <c r="J86" s="41"/>
      <c r="K86" s="8"/>
      <c r="L86" s="42" t="str">
        <f aca="false">IF(OR(B86="",I86=""),"",ROUND((IF(J86="",AsOf,J86)-I86)/365.25,1))</f>
        <v/>
      </c>
      <c r="M86" s="8"/>
      <c r="N86" s="8"/>
      <c r="O86" s="8"/>
      <c r="P86" s="8"/>
      <c r="Q86" s="41"/>
      <c r="R86" s="43" t="str">
        <f aca="false">IF(OR(B86="",Q86=""),"",INT((AsOf-Q86)/365.25))</f>
        <v/>
      </c>
      <c r="S86" s="8"/>
      <c r="T86" s="40"/>
      <c r="U86" s="40"/>
      <c r="V86" s="40"/>
      <c r="W86" s="40"/>
      <c r="X86" s="8"/>
      <c r="Y86" s="8"/>
      <c r="Z86" s="8"/>
      <c r="AA86" s="8"/>
      <c r="AB86" s="8"/>
      <c r="AC86" s="8"/>
      <c r="AD86" s="8"/>
      <c r="AE86" s="40"/>
      <c r="AF86" s="8"/>
      <c r="AG86" s="40"/>
      <c r="AH86" s="40"/>
      <c r="AI86" s="8"/>
      <c r="AJ86" s="40"/>
      <c r="AK86" s="40"/>
      <c r="AL86" s="40"/>
      <c r="AM86" s="44"/>
      <c r="AN86" s="44"/>
      <c r="AO86" s="41"/>
      <c r="AP86" s="45" t="str">
        <f aca="false">IF(B86="","",IF(AND(ISNUMBER(AM86),ISNUMBER(AN86),AM86&gt;0,AN86&gt;0),AN86/AM86-1,""))</f>
        <v/>
      </c>
      <c r="AQ86" s="9" t="str">
        <f aca="false">IF(I86="","",(YEAR(I86)-IF(MONTH(I86)&lt;4,1,0))&amp;"-"&amp;RIGHT((YEAR(I86)-IF(MONTH(I86)&lt;4,1,0))+1,2))</f>
        <v/>
      </c>
      <c r="AR86" s="9" t="str">
        <f aca="false">IF(J86="","",(YEAR(J86)-IF(MONTH(J86)&lt;4,1,0))&amp;"-"&amp;RIGHT((YEAR(J86)-IF(MONTH(J86)&lt;4,1,0))+1,2))</f>
        <v/>
      </c>
      <c r="AS86" s="43" t="str">
        <f aca="false">IF(OR(B86="",Q86="",D86&lt;&gt;"Active"),"",DATE(YEAR(AsOf)+IF(DATE(YEAR(AsOf),MONTH(Q86),DAY(Q86))&lt;AsOf,1,0),MONTH(Q86),DAY(Q86))-AsOf)</f>
        <v/>
      </c>
      <c r="AT86" s="43" t="str">
        <f aca="false">IF(OR(B86="",I86="",D86&lt;&gt;"Active"),"",IF(YEAR(DATE(YEAR(AsOf)+IF(DATE(YEAR(AsOf),MONTH(I86),DAY(I86))&lt;AsOf,1,0),MONTH(I86),DAY(I86)))-YEAR(I86)&lt;1,"",DATE(YEAR(AsOf)+IF(DATE(YEAR(AsOf),MONTH(I86),DAY(I86))&lt;AsOf,1,0),MONTH(I86),DAY(I86))-AsOf))</f>
        <v/>
      </c>
      <c r="AU86" s="43" t="str">
        <f aca="false">IF(B86="","",IF(AV86="",0,LEN(AV86)-LEN(SUBSTITUTE(AV86,";",""))))</f>
        <v/>
      </c>
      <c r="AV86" s="9" t="str">
        <f aca="false">IF(B86="","",IF(COUNTIF($B$6:$B$505,B86)&gt;1,"Duplicate Emp Code; ","")&amp;IF(C86="","Name missing; ","")&amp;IF(I86="","DOJ missing; ","")&amp;IF(AND(J86&lt;&gt;"",I86&lt;&gt;"",J86&lt;I86),"Exit before DOJ; ","")&amp;IF(Q86="","DOB missing; ","")&amp;IF(T86="","Aadhaar missing; ",IF(LEN(T86)&lt;&gt;12,"Aadhaar not 12 digits; ",IF(COUNTIF($T$6:$T$505,T86)&gt;1,"Duplicate Aadhaar; ","")))&amp;IF(U86="","PAN missing; ",IF(LEN(U86)&lt;&gt;10,"PAN not 10 chars; ",""))&amp;IF(V86="","Mobile missing; ",IF(LEN(V86)&lt;&gt;10,"Mobile not 10 digits; ",""))&amp;IF(AG86="","Bank A/c missing; ","")&amp;IF(AH86="","IFSC missing; ",IF(LEN(AH86)&lt;&gt;11,"IFSC not 11 chars; ","")))</f>
        <v/>
      </c>
      <c r="AW86" s="46" t="str">
        <f aca="false">IF(AS86="","",AS86+ROW()/100000)</f>
        <v/>
      </c>
      <c r="AX86" s="46" t="str">
        <f aca="false">IF(AT86="","",AT86+ROW()/100000)</f>
        <v/>
      </c>
    </row>
    <row r="87" customFormat="false" ht="15" hidden="false" customHeight="false" outlineLevel="0" collapsed="false">
      <c r="A87" s="9" t="str">
        <f aca="false">IF(B87="","",ROW()-5)</f>
        <v/>
      </c>
      <c r="B87" s="40"/>
      <c r="C87" s="8"/>
      <c r="D87" s="9" t="str">
        <f aca="false">IF(B87="","",IF(J87="","Active","Exited"))</f>
        <v/>
      </c>
      <c r="E87" s="8"/>
      <c r="F87" s="8"/>
      <c r="G87" s="8"/>
      <c r="H87" s="9" t="str">
        <f aca="false">IF(OR(B87="",I87=""),"",IF(IF(J87="",AsOf,J87)-I87&gt;=Settings!$C$13,"Permanent","Probation"))</f>
        <v/>
      </c>
      <c r="I87" s="41"/>
      <c r="J87" s="41"/>
      <c r="K87" s="8"/>
      <c r="L87" s="42" t="str">
        <f aca="false">IF(OR(B87="",I87=""),"",ROUND((IF(J87="",AsOf,J87)-I87)/365.25,1))</f>
        <v/>
      </c>
      <c r="M87" s="8"/>
      <c r="N87" s="8"/>
      <c r="O87" s="8"/>
      <c r="P87" s="8"/>
      <c r="Q87" s="41"/>
      <c r="R87" s="43" t="str">
        <f aca="false">IF(OR(B87="",Q87=""),"",INT((AsOf-Q87)/365.25))</f>
        <v/>
      </c>
      <c r="S87" s="8"/>
      <c r="T87" s="40"/>
      <c r="U87" s="40"/>
      <c r="V87" s="40"/>
      <c r="W87" s="40"/>
      <c r="X87" s="8"/>
      <c r="Y87" s="8"/>
      <c r="Z87" s="8"/>
      <c r="AA87" s="8"/>
      <c r="AB87" s="8"/>
      <c r="AC87" s="8"/>
      <c r="AD87" s="8"/>
      <c r="AE87" s="40"/>
      <c r="AF87" s="8"/>
      <c r="AG87" s="40"/>
      <c r="AH87" s="40"/>
      <c r="AI87" s="8"/>
      <c r="AJ87" s="40"/>
      <c r="AK87" s="40"/>
      <c r="AL87" s="40"/>
      <c r="AM87" s="44"/>
      <c r="AN87" s="44"/>
      <c r="AO87" s="41"/>
      <c r="AP87" s="45" t="str">
        <f aca="false">IF(B87="","",IF(AND(ISNUMBER(AM87),ISNUMBER(AN87),AM87&gt;0,AN87&gt;0),AN87/AM87-1,""))</f>
        <v/>
      </c>
      <c r="AQ87" s="9" t="str">
        <f aca="false">IF(I87="","",(YEAR(I87)-IF(MONTH(I87)&lt;4,1,0))&amp;"-"&amp;RIGHT((YEAR(I87)-IF(MONTH(I87)&lt;4,1,0))+1,2))</f>
        <v/>
      </c>
      <c r="AR87" s="9" t="str">
        <f aca="false">IF(J87="","",(YEAR(J87)-IF(MONTH(J87)&lt;4,1,0))&amp;"-"&amp;RIGHT((YEAR(J87)-IF(MONTH(J87)&lt;4,1,0))+1,2))</f>
        <v/>
      </c>
      <c r="AS87" s="43" t="str">
        <f aca="false">IF(OR(B87="",Q87="",D87&lt;&gt;"Active"),"",DATE(YEAR(AsOf)+IF(DATE(YEAR(AsOf),MONTH(Q87),DAY(Q87))&lt;AsOf,1,0),MONTH(Q87),DAY(Q87))-AsOf)</f>
        <v/>
      </c>
      <c r="AT87" s="43" t="str">
        <f aca="false">IF(OR(B87="",I87="",D87&lt;&gt;"Active"),"",IF(YEAR(DATE(YEAR(AsOf)+IF(DATE(YEAR(AsOf),MONTH(I87),DAY(I87))&lt;AsOf,1,0),MONTH(I87),DAY(I87)))-YEAR(I87)&lt;1,"",DATE(YEAR(AsOf)+IF(DATE(YEAR(AsOf),MONTH(I87),DAY(I87))&lt;AsOf,1,0),MONTH(I87),DAY(I87))-AsOf))</f>
        <v/>
      </c>
      <c r="AU87" s="43" t="str">
        <f aca="false">IF(B87="","",IF(AV87="",0,LEN(AV87)-LEN(SUBSTITUTE(AV87,";",""))))</f>
        <v/>
      </c>
      <c r="AV87" s="9" t="str">
        <f aca="false">IF(B87="","",IF(COUNTIF($B$6:$B$505,B87)&gt;1,"Duplicate Emp Code; ","")&amp;IF(C87="","Name missing; ","")&amp;IF(I87="","DOJ missing; ","")&amp;IF(AND(J87&lt;&gt;"",I87&lt;&gt;"",J87&lt;I87),"Exit before DOJ; ","")&amp;IF(Q87="","DOB missing; ","")&amp;IF(T87="","Aadhaar missing; ",IF(LEN(T87)&lt;&gt;12,"Aadhaar not 12 digits; ",IF(COUNTIF($T$6:$T$505,T87)&gt;1,"Duplicate Aadhaar; ","")))&amp;IF(U87="","PAN missing; ",IF(LEN(U87)&lt;&gt;10,"PAN not 10 chars; ",""))&amp;IF(V87="","Mobile missing; ",IF(LEN(V87)&lt;&gt;10,"Mobile not 10 digits; ",""))&amp;IF(AG87="","Bank A/c missing; ","")&amp;IF(AH87="","IFSC missing; ",IF(LEN(AH87)&lt;&gt;11,"IFSC not 11 chars; ","")))</f>
        <v/>
      </c>
      <c r="AW87" s="46" t="str">
        <f aca="false">IF(AS87="","",AS87+ROW()/100000)</f>
        <v/>
      </c>
      <c r="AX87" s="46" t="str">
        <f aca="false">IF(AT87="","",AT87+ROW()/100000)</f>
        <v/>
      </c>
    </row>
    <row r="88" customFormat="false" ht="15" hidden="false" customHeight="false" outlineLevel="0" collapsed="false">
      <c r="A88" s="9" t="str">
        <f aca="false">IF(B88="","",ROW()-5)</f>
        <v/>
      </c>
      <c r="B88" s="40"/>
      <c r="C88" s="8"/>
      <c r="D88" s="9" t="str">
        <f aca="false">IF(B88="","",IF(J88="","Active","Exited"))</f>
        <v/>
      </c>
      <c r="E88" s="8"/>
      <c r="F88" s="8"/>
      <c r="G88" s="8"/>
      <c r="H88" s="9" t="str">
        <f aca="false">IF(OR(B88="",I88=""),"",IF(IF(J88="",AsOf,J88)-I88&gt;=Settings!$C$13,"Permanent","Probation"))</f>
        <v/>
      </c>
      <c r="I88" s="41"/>
      <c r="J88" s="41"/>
      <c r="K88" s="8"/>
      <c r="L88" s="42" t="str">
        <f aca="false">IF(OR(B88="",I88=""),"",ROUND((IF(J88="",AsOf,J88)-I88)/365.25,1))</f>
        <v/>
      </c>
      <c r="M88" s="8"/>
      <c r="N88" s="8"/>
      <c r="O88" s="8"/>
      <c r="P88" s="8"/>
      <c r="Q88" s="41"/>
      <c r="R88" s="43" t="str">
        <f aca="false">IF(OR(B88="",Q88=""),"",INT((AsOf-Q88)/365.25))</f>
        <v/>
      </c>
      <c r="S88" s="8"/>
      <c r="T88" s="40"/>
      <c r="U88" s="40"/>
      <c r="V88" s="40"/>
      <c r="W88" s="40"/>
      <c r="X88" s="8"/>
      <c r="Y88" s="8"/>
      <c r="Z88" s="8"/>
      <c r="AA88" s="8"/>
      <c r="AB88" s="8"/>
      <c r="AC88" s="8"/>
      <c r="AD88" s="8"/>
      <c r="AE88" s="40"/>
      <c r="AF88" s="8"/>
      <c r="AG88" s="40"/>
      <c r="AH88" s="40"/>
      <c r="AI88" s="8"/>
      <c r="AJ88" s="40"/>
      <c r="AK88" s="40"/>
      <c r="AL88" s="40"/>
      <c r="AM88" s="44"/>
      <c r="AN88" s="44"/>
      <c r="AO88" s="41"/>
      <c r="AP88" s="45" t="str">
        <f aca="false">IF(B88="","",IF(AND(ISNUMBER(AM88),ISNUMBER(AN88),AM88&gt;0,AN88&gt;0),AN88/AM88-1,""))</f>
        <v/>
      </c>
      <c r="AQ88" s="9" t="str">
        <f aca="false">IF(I88="","",(YEAR(I88)-IF(MONTH(I88)&lt;4,1,0))&amp;"-"&amp;RIGHT((YEAR(I88)-IF(MONTH(I88)&lt;4,1,0))+1,2))</f>
        <v/>
      </c>
      <c r="AR88" s="9" t="str">
        <f aca="false">IF(J88="","",(YEAR(J88)-IF(MONTH(J88)&lt;4,1,0))&amp;"-"&amp;RIGHT((YEAR(J88)-IF(MONTH(J88)&lt;4,1,0))+1,2))</f>
        <v/>
      </c>
      <c r="AS88" s="43" t="str">
        <f aca="false">IF(OR(B88="",Q88="",D88&lt;&gt;"Active"),"",DATE(YEAR(AsOf)+IF(DATE(YEAR(AsOf),MONTH(Q88),DAY(Q88))&lt;AsOf,1,0),MONTH(Q88),DAY(Q88))-AsOf)</f>
        <v/>
      </c>
      <c r="AT88" s="43" t="str">
        <f aca="false">IF(OR(B88="",I88="",D88&lt;&gt;"Active"),"",IF(YEAR(DATE(YEAR(AsOf)+IF(DATE(YEAR(AsOf),MONTH(I88),DAY(I88))&lt;AsOf,1,0),MONTH(I88),DAY(I88)))-YEAR(I88)&lt;1,"",DATE(YEAR(AsOf)+IF(DATE(YEAR(AsOf),MONTH(I88),DAY(I88))&lt;AsOf,1,0),MONTH(I88),DAY(I88))-AsOf))</f>
        <v/>
      </c>
      <c r="AU88" s="43" t="str">
        <f aca="false">IF(B88="","",IF(AV88="",0,LEN(AV88)-LEN(SUBSTITUTE(AV88,";",""))))</f>
        <v/>
      </c>
      <c r="AV88" s="9" t="str">
        <f aca="false">IF(B88="","",IF(COUNTIF($B$6:$B$505,B88)&gt;1,"Duplicate Emp Code; ","")&amp;IF(C88="","Name missing; ","")&amp;IF(I88="","DOJ missing; ","")&amp;IF(AND(J88&lt;&gt;"",I88&lt;&gt;"",J88&lt;I88),"Exit before DOJ; ","")&amp;IF(Q88="","DOB missing; ","")&amp;IF(T88="","Aadhaar missing; ",IF(LEN(T88)&lt;&gt;12,"Aadhaar not 12 digits; ",IF(COUNTIF($T$6:$T$505,T88)&gt;1,"Duplicate Aadhaar; ","")))&amp;IF(U88="","PAN missing; ",IF(LEN(U88)&lt;&gt;10,"PAN not 10 chars; ",""))&amp;IF(V88="","Mobile missing; ",IF(LEN(V88)&lt;&gt;10,"Mobile not 10 digits; ",""))&amp;IF(AG88="","Bank A/c missing; ","")&amp;IF(AH88="","IFSC missing; ",IF(LEN(AH88)&lt;&gt;11,"IFSC not 11 chars; ","")))</f>
        <v/>
      </c>
      <c r="AW88" s="46" t="str">
        <f aca="false">IF(AS88="","",AS88+ROW()/100000)</f>
        <v/>
      </c>
      <c r="AX88" s="46" t="str">
        <f aca="false">IF(AT88="","",AT88+ROW()/100000)</f>
        <v/>
      </c>
    </row>
    <row r="89" customFormat="false" ht="15" hidden="false" customHeight="false" outlineLevel="0" collapsed="false">
      <c r="A89" s="9" t="str">
        <f aca="false">IF(B89="","",ROW()-5)</f>
        <v/>
      </c>
      <c r="B89" s="40"/>
      <c r="C89" s="8"/>
      <c r="D89" s="9" t="str">
        <f aca="false">IF(B89="","",IF(J89="","Active","Exited"))</f>
        <v/>
      </c>
      <c r="E89" s="8"/>
      <c r="F89" s="8"/>
      <c r="G89" s="8"/>
      <c r="H89" s="9" t="str">
        <f aca="false">IF(OR(B89="",I89=""),"",IF(IF(J89="",AsOf,J89)-I89&gt;=Settings!$C$13,"Permanent","Probation"))</f>
        <v/>
      </c>
      <c r="I89" s="41"/>
      <c r="J89" s="41"/>
      <c r="K89" s="8"/>
      <c r="L89" s="42" t="str">
        <f aca="false">IF(OR(B89="",I89=""),"",ROUND((IF(J89="",AsOf,J89)-I89)/365.25,1))</f>
        <v/>
      </c>
      <c r="M89" s="8"/>
      <c r="N89" s="8"/>
      <c r="O89" s="8"/>
      <c r="P89" s="8"/>
      <c r="Q89" s="41"/>
      <c r="R89" s="43" t="str">
        <f aca="false">IF(OR(B89="",Q89=""),"",INT((AsOf-Q89)/365.25))</f>
        <v/>
      </c>
      <c r="S89" s="8"/>
      <c r="T89" s="40"/>
      <c r="U89" s="40"/>
      <c r="V89" s="40"/>
      <c r="W89" s="40"/>
      <c r="X89" s="8"/>
      <c r="Y89" s="8"/>
      <c r="Z89" s="8"/>
      <c r="AA89" s="8"/>
      <c r="AB89" s="8"/>
      <c r="AC89" s="8"/>
      <c r="AD89" s="8"/>
      <c r="AE89" s="40"/>
      <c r="AF89" s="8"/>
      <c r="AG89" s="40"/>
      <c r="AH89" s="40"/>
      <c r="AI89" s="8"/>
      <c r="AJ89" s="40"/>
      <c r="AK89" s="40"/>
      <c r="AL89" s="40"/>
      <c r="AM89" s="44"/>
      <c r="AN89" s="44"/>
      <c r="AO89" s="41"/>
      <c r="AP89" s="45" t="str">
        <f aca="false">IF(B89="","",IF(AND(ISNUMBER(AM89),ISNUMBER(AN89),AM89&gt;0,AN89&gt;0),AN89/AM89-1,""))</f>
        <v/>
      </c>
      <c r="AQ89" s="9" t="str">
        <f aca="false">IF(I89="","",(YEAR(I89)-IF(MONTH(I89)&lt;4,1,0))&amp;"-"&amp;RIGHT((YEAR(I89)-IF(MONTH(I89)&lt;4,1,0))+1,2))</f>
        <v/>
      </c>
      <c r="AR89" s="9" t="str">
        <f aca="false">IF(J89="","",(YEAR(J89)-IF(MONTH(J89)&lt;4,1,0))&amp;"-"&amp;RIGHT((YEAR(J89)-IF(MONTH(J89)&lt;4,1,0))+1,2))</f>
        <v/>
      </c>
      <c r="AS89" s="43" t="str">
        <f aca="false">IF(OR(B89="",Q89="",D89&lt;&gt;"Active"),"",DATE(YEAR(AsOf)+IF(DATE(YEAR(AsOf),MONTH(Q89),DAY(Q89))&lt;AsOf,1,0),MONTH(Q89),DAY(Q89))-AsOf)</f>
        <v/>
      </c>
      <c r="AT89" s="43" t="str">
        <f aca="false">IF(OR(B89="",I89="",D89&lt;&gt;"Active"),"",IF(YEAR(DATE(YEAR(AsOf)+IF(DATE(YEAR(AsOf),MONTH(I89),DAY(I89))&lt;AsOf,1,0),MONTH(I89),DAY(I89)))-YEAR(I89)&lt;1,"",DATE(YEAR(AsOf)+IF(DATE(YEAR(AsOf),MONTH(I89),DAY(I89))&lt;AsOf,1,0),MONTH(I89),DAY(I89))-AsOf))</f>
        <v/>
      </c>
      <c r="AU89" s="43" t="str">
        <f aca="false">IF(B89="","",IF(AV89="",0,LEN(AV89)-LEN(SUBSTITUTE(AV89,";",""))))</f>
        <v/>
      </c>
      <c r="AV89" s="9" t="str">
        <f aca="false">IF(B89="","",IF(COUNTIF($B$6:$B$505,B89)&gt;1,"Duplicate Emp Code; ","")&amp;IF(C89="","Name missing; ","")&amp;IF(I89="","DOJ missing; ","")&amp;IF(AND(J89&lt;&gt;"",I89&lt;&gt;"",J89&lt;I89),"Exit before DOJ; ","")&amp;IF(Q89="","DOB missing; ","")&amp;IF(T89="","Aadhaar missing; ",IF(LEN(T89)&lt;&gt;12,"Aadhaar not 12 digits; ",IF(COUNTIF($T$6:$T$505,T89)&gt;1,"Duplicate Aadhaar; ","")))&amp;IF(U89="","PAN missing; ",IF(LEN(U89)&lt;&gt;10,"PAN not 10 chars; ",""))&amp;IF(V89="","Mobile missing; ",IF(LEN(V89)&lt;&gt;10,"Mobile not 10 digits; ",""))&amp;IF(AG89="","Bank A/c missing; ","")&amp;IF(AH89="","IFSC missing; ",IF(LEN(AH89)&lt;&gt;11,"IFSC not 11 chars; ","")))</f>
        <v/>
      </c>
      <c r="AW89" s="46" t="str">
        <f aca="false">IF(AS89="","",AS89+ROW()/100000)</f>
        <v/>
      </c>
      <c r="AX89" s="46" t="str">
        <f aca="false">IF(AT89="","",AT89+ROW()/100000)</f>
        <v/>
      </c>
    </row>
    <row r="90" customFormat="false" ht="15" hidden="false" customHeight="false" outlineLevel="0" collapsed="false">
      <c r="A90" s="9" t="str">
        <f aca="false">IF(B90="","",ROW()-5)</f>
        <v/>
      </c>
      <c r="B90" s="40"/>
      <c r="C90" s="8"/>
      <c r="D90" s="9" t="str">
        <f aca="false">IF(B90="","",IF(J90="","Active","Exited"))</f>
        <v/>
      </c>
      <c r="E90" s="8"/>
      <c r="F90" s="8"/>
      <c r="G90" s="8"/>
      <c r="H90" s="9" t="str">
        <f aca="false">IF(OR(B90="",I90=""),"",IF(IF(J90="",AsOf,J90)-I90&gt;=Settings!$C$13,"Permanent","Probation"))</f>
        <v/>
      </c>
      <c r="I90" s="41"/>
      <c r="J90" s="41"/>
      <c r="K90" s="8"/>
      <c r="L90" s="42" t="str">
        <f aca="false">IF(OR(B90="",I90=""),"",ROUND((IF(J90="",AsOf,J90)-I90)/365.25,1))</f>
        <v/>
      </c>
      <c r="M90" s="8"/>
      <c r="N90" s="8"/>
      <c r="O90" s="8"/>
      <c r="P90" s="8"/>
      <c r="Q90" s="41"/>
      <c r="R90" s="43" t="str">
        <f aca="false">IF(OR(B90="",Q90=""),"",INT((AsOf-Q90)/365.25))</f>
        <v/>
      </c>
      <c r="S90" s="8"/>
      <c r="T90" s="40"/>
      <c r="U90" s="40"/>
      <c r="V90" s="40"/>
      <c r="W90" s="40"/>
      <c r="X90" s="8"/>
      <c r="Y90" s="8"/>
      <c r="Z90" s="8"/>
      <c r="AA90" s="8"/>
      <c r="AB90" s="8"/>
      <c r="AC90" s="8"/>
      <c r="AD90" s="8"/>
      <c r="AE90" s="40"/>
      <c r="AF90" s="8"/>
      <c r="AG90" s="40"/>
      <c r="AH90" s="40"/>
      <c r="AI90" s="8"/>
      <c r="AJ90" s="40"/>
      <c r="AK90" s="40"/>
      <c r="AL90" s="40"/>
      <c r="AM90" s="44"/>
      <c r="AN90" s="44"/>
      <c r="AO90" s="41"/>
      <c r="AP90" s="45" t="str">
        <f aca="false">IF(B90="","",IF(AND(ISNUMBER(AM90),ISNUMBER(AN90),AM90&gt;0,AN90&gt;0),AN90/AM90-1,""))</f>
        <v/>
      </c>
      <c r="AQ90" s="9" t="str">
        <f aca="false">IF(I90="","",(YEAR(I90)-IF(MONTH(I90)&lt;4,1,0))&amp;"-"&amp;RIGHT((YEAR(I90)-IF(MONTH(I90)&lt;4,1,0))+1,2))</f>
        <v/>
      </c>
      <c r="AR90" s="9" t="str">
        <f aca="false">IF(J90="","",(YEAR(J90)-IF(MONTH(J90)&lt;4,1,0))&amp;"-"&amp;RIGHT((YEAR(J90)-IF(MONTH(J90)&lt;4,1,0))+1,2))</f>
        <v/>
      </c>
      <c r="AS90" s="43" t="str">
        <f aca="false">IF(OR(B90="",Q90="",D90&lt;&gt;"Active"),"",DATE(YEAR(AsOf)+IF(DATE(YEAR(AsOf),MONTH(Q90),DAY(Q90))&lt;AsOf,1,0),MONTH(Q90),DAY(Q90))-AsOf)</f>
        <v/>
      </c>
      <c r="AT90" s="43" t="str">
        <f aca="false">IF(OR(B90="",I90="",D90&lt;&gt;"Active"),"",IF(YEAR(DATE(YEAR(AsOf)+IF(DATE(YEAR(AsOf),MONTH(I90),DAY(I90))&lt;AsOf,1,0),MONTH(I90),DAY(I90)))-YEAR(I90)&lt;1,"",DATE(YEAR(AsOf)+IF(DATE(YEAR(AsOf),MONTH(I90),DAY(I90))&lt;AsOf,1,0),MONTH(I90),DAY(I90))-AsOf))</f>
        <v/>
      </c>
      <c r="AU90" s="43" t="str">
        <f aca="false">IF(B90="","",IF(AV90="",0,LEN(AV90)-LEN(SUBSTITUTE(AV90,";",""))))</f>
        <v/>
      </c>
      <c r="AV90" s="9" t="str">
        <f aca="false">IF(B90="","",IF(COUNTIF($B$6:$B$505,B90)&gt;1,"Duplicate Emp Code; ","")&amp;IF(C90="","Name missing; ","")&amp;IF(I90="","DOJ missing; ","")&amp;IF(AND(J90&lt;&gt;"",I90&lt;&gt;"",J90&lt;I90),"Exit before DOJ; ","")&amp;IF(Q90="","DOB missing; ","")&amp;IF(T90="","Aadhaar missing; ",IF(LEN(T90)&lt;&gt;12,"Aadhaar not 12 digits; ",IF(COUNTIF($T$6:$T$505,T90)&gt;1,"Duplicate Aadhaar; ","")))&amp;IF(U90="","PAN missing; ",IF(LEN(U90)&lt;&gt;10,"PAN not 10 chars; ",""))&amp;IF(V90="","Mobile missing; ",IF(LEN(V90)&lt;&gt;10,"Mobile not 10 digits; ",""))&amp;IF(AG90="","Bank A/c missing; ","")&amp;IF(AH90="","IFSC missing; ",IF(LEN(AH90)&lt;&gt;11,"IFSC not 11 chars; ","")))</f>
        <v/>
      </c>
      <c r="AW90" s="46" t="str">
        <f aca="false">IF(AS90="","",AS90+ROW()/100000)</f>
        <v/>
      </c>
      <c r="AX90" s="46" t="str">
        <f aca="false">IF(AT90="","",AT90+ROW()/100000)</f>
        <v/>
      </c>
    </row>
    <row r="91" customFormat="false" ht="15" hidden="false" customHeight="false" outlineLevel="0" collapsed="false">
      <c r="A91" s="9" t="str">
        <f aca="false">IF(B91="","",ROW()-5)</f>
        <v/>
      </c>
      <c r="B91" s="40"/>
      <c r="C91" s="8"/>
      <c r="D91" s="9" t="str">
        <f aca="false">IF(B91="","",IF(J91="","Active","Exited"))</f>
        <v/>
      </c>
      <c r="E91" s="8"/>
      <c r="F91" s="8"/>
      <c r="G91" s="8"/>
      <c r="H91" s="9" t="str">
        <f aca="false">IF(OR(B91="",I91=""),"",IF(IF(J91="",AsOf,J91)-I91&gt;=Settings!$C$13,"Permanent","Probation"))</f>
        <v/>
      </c>
      <c r="I91" s="41"/>
      <c r="J91" s="41"/>
      <c r="K91" s="8"/>
      <c r="L91" s="42" t="str">
        <f aca="false">IF(OR(B91="",I91=""),"",ROUND((IF(J91="",AsOf,J91)-I91)/365.25,1))</f>
        <v/>
      </c>
      <c r="M91" s="8"/>
      <c r="N91" s="8"/>
      <c r="O91" s="8"/>
      <c r="P91" s="8"/>
      <c r="Q91" s="41"/>
      <c r="R91" s="43" t="str">
        <f aca="false">IF(OR(B91="",Q91=""),"",INT((AsOf-Q91)/365.25))</f>
        <v/>
      </c>
      <c r="S91" s="8"/>
      <c r="T91" s="40"/>
      <c r="U91" s="40"/>
      <c r="V91" s="40"/>
      <c r="W91" s="40"/>
      <c r="X91" s="8"/>
      <c r="Y91" s="8"/>
      <c r="Z91" s="8"/>
      <c r="AA91" s="8"/>
      <c r="AB91" s="8"/>
      <c r="AC91" s="8"/>
      <c r="AD91" s="8"/>
      <c r="AE91" s="40"/>
      <c r="AF91" s="8"/>
      <c r="AG91" s="40"/>
      <c r="AH91" s="40"/>
      <c r="AI91" s="8"/>
      <c r="AJ91" s="40"/>
      <c r="AK91" s="40"/>
      <c r="AL91" s="40"/>
      <c r="AM91" s="44"/>
      <c r="AN91" s="44"/>
      <c r="AO91" s="41"/>
      <c r="AP91" s="45" t="str">
        <f aca="false">IF(B91="","",IF(AND(ISNUMBER(AM91),ISNUMBER(AN91),AM91&gt;0,AN91&gt;0),AN91/AM91-1,""))</f>
        <v/>
      </c>
      <c r="AQ91" s="9" t="str">
        <f aca="false">IF(I91="","",(YEAR(I91)-IF(MONTH(I91)&lt;4,1,0))&amp;"-"&amp;RIGHT((YEAR(I91)-IF(MONTH(I91)&lt;4,1,0))+1,2))</f>
        <v/>
      </c>
      <c r="AR91" s="9" t="str">
        <f aca="false">IF(J91="","",(YEAR(J91)-IF(MONTH(J91)&lt;4,1,0))&amp;"-"&amp;RIGHT((YEAR(J91)-IF(MONTH(J91)&lt;4,1,0))+1,2))</f>
        <v/>
      </c>
      <c r="AS91" s="43" t="str">
        <f aca="false">IF(OR(B91="",Q91="",D91&lt;&gt;"Active"),"",DATE(YEAR(AsOf)+IF(DATE(YEAR(AsOf),MONTH(Q91),DAY(Q91))&lt;AsOf,1,0),MONTH(Q91),DAY(Q91))-AsOf)</f>
        <v/>
      </c>
      <c r="AT91" s="43" t="str">
        <f aca="false">IF(OR(B91="",I91="",D91&lt;&gt;"Active"),"",IF(YEAR(DATE(YEAR(AsOf)+IF(DATE(YEAR(AsOf),MONTH(I91),DAY(I91))&lt;AsOf,1,0),MONTH(I91),DAY(I91)))-YEAR(I91)&lt;1,"",DATE(YEAR(AsOf)+IF(DATE(YEAR(AsOf),MONTH(I91),DAY(I91))&lt;AsOf,1,0),MONTH(I91),DAY(I91))-AsOf))</f>
        <v/>
      </c>
      <c r="AU91" s="43" t="str">
        <f aca="false">IF(B91="","",IF(AV91="",0,LEN(AV91)-LEN(SUBSTITUTE(AV91,";",""))))</f>
        <v/>
      </c>
      <c r="AV91" s="9" t="str">
        <f aca="false">IF(B91="","",IF(COUNTIF($B$6:$B$505,B91)&gt;1,"Duplicate Emp Code; ","")&amp;IF(C91="","Name missing; ","")&amp;IF(I91="","DOJ missing; ","")&amp;IF(AND(J91&lt;&gt;"",I91&lt;&gt;"",J91&lt;I91),"Exit before DOJ; ","")&amp;IF(Q91="","DOB missing; ","")&amp;IF(T91="","Aadhaar missing; ",IF(LEN(T91)&lt;&gt;12,"Aadhaar not 12 digits; ",IF(COUNTIF($T$6:$T$505,T91)&gt;1,"Duplicate Aadhaar; ","")))&amp;IF(U91="","PAN missing; ",IF(LEN(U91)&lt;&gt;10,"PAN not 10 chars; ",""))&amp;IF(V91="","Mobile missing; ",IF(LEN(V91)&lt;&gt;10,"Mobile not 10 digits; ",""))&amp;IF(AG91="","Bank A/c missing; ","")&amp;IF(AH91="","IFSC missing; ",IF(LEN(AH91)&lt;&gt;11,"IFSC not 11 chars; ","")))</f>
        <v/>
      </c>
      <c r="AW91" s="46" t="str">
        <f aca="false">IF(AS91="","",AS91+ROW()/100000)</f>
        <v/>
      </c>
      <c r="AX91" s="46" t="str">
        <f aca="false">IF(AT91="","",AT91+ROW()/100000)</f>
        <v/>
      </c>
    </row>
    <row r="92" customFormat="false" ht="15" hidden="false" customHeight="false" outlineLevel="0" collapsed="false">
      <c r="A92" s="9" t="str">
        <f aca="false">IF(B92="","",ROW()-5)</f>
        <v/>
      </c>
      <c r="B92" s="40"/>
      <c r="C92" s="8"/>
      <c r="D92" s="9" t="str">
        <f aca="false">IF(B92="","",IF(J92="","Active","Exited"))</f>
        <v/>
      </c>
      <c r="E92" s="8"/>
      <c r="F92" s="8"/>
      <c r="G92" s="8"/>
      <c r="H92" s="9" t="str">
        <f aca="false">IF(OR(B92="",I92=""),"",IF(IF(J92="",AsOf,J92)-I92&gt;=Settings!$C$13,"Permanent","Probation"))</f>
        <v/>
      </c>
      <c r="I92" s="41"/>
      <c r="J92" s="41"/>
      <c r="K92" s="8"/>
      <c r="L92" s="42" t="str">
        <f aca="false">IF(OR(B92="",I92=""),"",ROUND((IF(J92="",AsOf,J92)-I92)/365.25,1))</f>
        <v/>
      </c>
      <c r="M92" s="8"/>
      <c r="N92" s="8"/>
      <c r="O92" s="8"/>
      <c r="P92" s="8"/>
      <c r="Q92" s="41"/>
      <c r="R92" s="43" t="str">
        <f aca="false">IF(OR(B92="",Q92=""),"",INT((AsOf-Q92)/365.25))</f>
        <v/>
      </c>
      <c r="S92" s="8"/>
      <c r="T92" s="40"/>
      <c r="U92" s="40"/>
      <c r="V92" s="40"/>
      <c r="W92" s="40"/>
      <c r="X92" s="8"/>
      <c r="Y92" s="8"/>
      <c r="Z92" s="8"/>
      <c r="AA92" s="8"/>
      <c r="AB92" s="8"/>
      <c r="AC92" s="8"/>
      <c r="AD92" s="8"/>
      <c r="AE92" s="40"/>
      <c r="AF92" s="8"/>
      <c r="AG92" s="40"/>
      <c r="AH92" s="40"/>
      <c r="AI92" s="8"/>
      <c r="AJ92" s="40"/>
      <c r="AK92" s="40"/>
      <c r="AL92" s="40"/>
      <c r="AM92" s="44"/>
      <c r="AN92" s="44"/>
      <c r="AO92" s="41"/>
      <c r="AP92" s="45" t="str">
        <f aca="false">IF(B92="","",IF(AND(ISNUMBER(AM92),ISNUMBER(AN92),AM92&gt;0,AN92&gt;0),AN92/AM92-1,""))</f>
        <v/>
      </c>
      <c r="AQ92" s="9" t="str">
        <f aca="false">IF(I92="","",(YEAR(I92)-IF(MONTH(I92)&lt;4,1,0))&amp;"-"&amp;RIGHT((YEAR(I92)-IF(MONTH(I92)&lt;4,1,0))+1,2))</f>
        <v/>
      </c>
      <c r="AR92" s="9" t="str">
        <f aca="false">IF(J92="","",(YEAR(J92)-IF(MONTH(J92)&lt;4,1,0))&amp;"-"&amp;RIGHT((YEAR(J92)-IF(MONTH(J92)&lt;4,1,0))+1,2))</f>
        <v/>
      </c>
      <c r="AS92" s="43" t="str">
        <f aca="false">IF(OR(B92="",Q92="",D92&lt;&gt;"Active"),"",DATE(YEAR(AsOf)+IF(DATE(YEAR(AsOf),MONTH(Q92),DAY(Q92))&lt;AsOf,1,0),MONTH(Q92),DAY(Q92))-AsOf)</f>
        <v/>
      </c>
      <c r="AT92" s="43" t="str">
        <f aca="false">IF(OR(B92="",I92="",D92&lt;&gt;"Active"),"",IF(YEAR(DATE(YEAR(AsOf)+IF(DATE(YEAR(AsOf),MONTH(I92),DAY(I92))&lt;AsOf,1,0),MONTH(I92),DAY(I92)))-YEAR(I92)&lt;1,"",DATE(YEAR(AsOf)+IF(DATE(YEAR(AsOf),MONTH(I92),DAY(I92))&lt;AsOf,1,0),MONTH(I92),DAY(I92))-AsOf))</f>
        <v/>
      </c>
      <c r="AU92" s="43" t="str">
        <f aca="false">IF(B92="","",IF(AV92="",0,LEN(AV92)-LEN(SUBSTITUTE(AV92,";",""))))</f>
        <v/>
      </c>
      <c r="AV92" s="9" t="str">
        <f aca="false">IF(B92="","",IF(COUNTIF($B$6:$B$505,B92)&gt;1,"Duplicate Emp Code; ","")&amp;IF(C92="","Name missing; ","")&amp;IF(I92="","DOJ missing; ","")&amp;IF(AND(J92&lt;&gt;"",I92&lt;&gt;"",J92&lt;I92),"Exit before DOJ; ","")&amp;IF(Q92="","DOB missing; ","")&amp;IF(T92="","Aadhaar missing; ",IF(LEN(T92)&lt;&gt;12,"Aadhaar not 12 digits; ",IF(COUNTIF($T$6:$T$505,T92)&gt;1,"Duplicate Aadhaar; ","")))&amp;IF(U92="","PAN missing; ",IF(LEN(U92)&lt;&gt;10,"PAN not 10 chars; ",""))&amp;IF(V92="","Mobile missing; ",IF(LEN(V92)&lt;&gt;10,"Mobile not 10 digits; ",""))&amp;IF(AG92="","Bank A/c missing; ","")&amp;IF(AH92="","IFSC missing; ",IF(LEN(AH92)&lt;&gt;11,"IFSC not 11 chars; ","")))</f>
        <v/>
      </c>
      <c r="AW92" s="46" t="str">
        <f aca="false">IF(AS92="","",AS92+ROW()/100000)</f>
        <v/>
      </c>
      <c r="AX92" s="46" t="str">
        <f aca="false">IF(AT92="","",AT92+ROW()/100000)</f>
        <v/>
      </c>
    </row>
    <row r="93" customFormat="false" ht="15" hidden="false" customHeight="false" outlineLevel="0" collapsed="false">
      <c r="A93" s="9" t="str">
        <f aca="false">IF(B93="","",ROW()-5)</f>
        <v/>
      </c>
      <c r="B93" s="40"/>
      <c r="C93" s="8"/>
      <c r="D93" s="9" t="str">
        <f aca="false">IF(B93="","",IF(J93="","Active","Exited"))</f>
        <v/>
      </c>
      <c r="E93" s="8"/>
      <c r="F93" s="8"/>
      <c r="G93" s="8"/>
      <c r="H93" s="9" t="str">
        <f aca="false">IF(OR(B93="",I93=""),"",IF(IF(J93="",AsOf,J93)-I93&gt;=Settings!$C$13,"Permanent","Probation"))</f>
        <v/>
      </c>
      <c r="I93" s="41"/>
      <c r="J93" s="41"/>
      <c r="K93" s="8"/>
      <c r="L93" s="42" t="str">
        <f aca="false">IF(OR(B93="",I93=""),"",ROUND((IF(J93="",AsOf,J93)-I93)/365.25,1))</f>
        <v/>
      </c>
      <c r="M93" s="8"/>
      <c r="N93" s="8"/>
      <c r="O93" s="8"/>
      <c r="P93" s="8"/>
      <c r="Q93" s="41"/>
      <c r="R93" s="43" t="str">
        <f aca="false">IF(OR(B93="",Q93=""),"",INT((AsOf-Q93)/365.25))</f>
        <v/>
      </c>
      <c r="S93" s="8"/>
      <c r="T93" s="40"/>
      <c r="U93" s="40"/>
      <c r="V93" s="40"/>
      <c r="W93" s="40"/>
      <c r="X93" s="8"/>
      <c r="Y93" s="8"/>
      <c r="Z93" s="8"/>
      <c r="AA93" s="8"/>
      <c r="AB93" s="8"/>
      <c r="AC93" s="8"/>
      <c r="AD93" s="8"/>
      <c r="AE93" s="40"/>
      <c r="AF93" s="8"/>
      <c r="AG93" s="40"/>
      <c r="AH93" s="40"/>
      <c r="AI93" s="8"/>
      <c r="AJ93" s="40"/>
      <c r="AK93" s="40"/>
      <c r="AL93" s="40"/>
      <c r="AM93" s="44"/>
      <c r="AN93" s="44"/>
      <c r="AO93" s="41"/>
      <c r="AP93" s="45" t="str">
        <f aca="false">IF(B93="","",IF(AND(ISNUMBER(AM93),ISNUMBER(AN93),AM93&gt;0,AN93&gt;0),AN93/AM93-1,""))</f>
        <v/>
      </c>
      <c r="AQ93" s="9" t="str">
        <f aca="false">IF(I93="","",(YEAR(I93)-IF(MONTH(I93)&lt;4,1,0))&amp;"-"&amp;RIGHT((YEAR(I93)-IF(MONTH(I93)&lt;4,1,0))+1,2))</f>
        <v/>
      </c>
      <c r="AR93" s="9" t="str">
        <f aca="false">IF(J93="","",(YEAR(J93)-IF(MONTH(J93)&lt;4,1,0))&amp;"-"&amp;RIGHT((YEAR(J93)-IF(MONTH(J93)&lt;4,1,0))+1,2))</f>
        <v/>
      </c>
      <c r="AS93" s="43" t="str">
        <f aca="false">IF(OR(B93="",Q93="",D93&lt;&gt;"Active"),"",DATE(YEAR(AsOf)+IF(DATE(YEAR(AsOf),MONTH(Q93),DAY(Q93))&lt;AsOf,1,0),MONTH(Q93),DAY(Q93))-AsOf)</f>
        <v/>
      </c>
      <c r="AT93" s="43" t="str">
        <f aca="false">IF(OR(B93="",I93="",D93&lt;&gt;"Active"),"",IF(YEAR(DATE(YEAR(AsOf)+IF(DATE(YEAR(AsOf),MONTH(I93),DAY(I93))&lt;AsOf,1,0),MONTH(I93),DAY(I93)))-YEAR(I93)&lt;1,"",DATE(YEAR(AsOf)+IF(DATE(YEAR(AsOf),MONTH(I93),DAY(I93))&lt;AsOf,1,0),MONTH(I93),DAY(I93))-AsOf))</f>
        <v/>
      </c>
      <c r="AU93" s="43" t="str">
        <f aca="false">IF(B93="","",IF(AV93="",0,LEN(AV93)-LEN(SUBSTITUTE(AV93,";",""))))</f>
        <v/>
      </c>
      <c r="AV93" s="9" t="str">
        <f aca="false">IF(B93="","",IF(COUNTIF($B$6:$B$505,B93)&gt;1,"Duplicate Emp Code; ","")&amp;IF(C93="","Name missing; ","")&amp;IF(I93="","DOJ missing; ","")&amp;IF(AND(J93&lt;&gt;"",I93&lt;&gt;"",J93&lt;I93),"Exit before DOJ; ","")&amp;IF(Q93="","DOB missing; ","")&amp;IF(T93="","Aadhaar missing; ",IF(LEN(T93)&lt;&gt;12,"Aadhaar not 12 digits; ",IF(COUNTIF($T$6:$T$505,T93)&gt;1,"Duplicate Aadhaar; ","")))&amp;IF(U93="","PAN missing; ",IF(LEN(U93)&lt;&gt;10,"PAN not 10 chars; ",""))&amp;IF(V93="","Mobile missing; ",IF(LEN(V93)&lt;&gt;10,"Mobile not 10 digits; ",""))&amp;IF(AG93="","Bank A/c missing; ","")&amp;IF(AH93="","IFSC missing; ",IF(LEN(AH93)&lt;&gt;11,"IFSC not 11 chars; ","")))</f>
        <v/>
      </c>
      <c r="AW93" s="46" t="str">
        <f aca="false">IF(AS93="","",AS93+ROW()/100000)</f>
        <v/>
      </c>
      <c r="AX93" s="46" t="str">
        <f aca="false">IF(AT93="","",AT93+ROW()/100000)</f>
        <v/>
      </c>
    </row>
    <row r="94" customFormat="false" ht="15" hidden="false" customHeight="false" outlineLevel="0" collapsed="false">
      <c r="A94" s="9" t="str">
        <f aca="false">IF(B94="","",ROW()-5)</f>
        <v/>
      </c>
      <c r="B94" s="40"/>
      <c r="C94" s="8"/>
      <c r="D94" s="9" t="str">
        <f aca="false">IF(B94="","",IF(J94="","Active","Exited"))</f>
        <v/>
      </c>
      <c r="E94" s="8"/>
      <c r="F94" s="8"/>
      <c r="G94" s="8"/>
      <c r="H94" s="9" t="str">
        <f aca="false">IF(OR(B94="",I94=""),"",IF(IF(J94="",AsOf,J94)-I94&gt;=Settings!$C$13,"Permanent","Probation"))</f>
        <v/>
      </c>
      <c r="I94" s="41"/>
      <c r="J94" s="41"/>
      <c r="K94" s="8"/>
      <c r="L94" s="42" t="str">
        <f aca="false">IF(OR(B94="",I94=""),"",ROUND((IF(J94="",AsOf,J94)-I94)/365.25,1))</f>
        <v/>
      </c>
      <c r="M94" s="8"/>
      <c r="N94" s="8"/>
      <c r="O94" s="8"/>
      <c r="P94" s="8"/>
      <c r="Q94" s="41"/>
      <c r="R94" s="43" t="str">
        <f aca="false">IF(OR(B94="",Q94=""),"",INT((AsOf-Q94)/365.25))</f>
        <v/>
      </c>
      <c r="S94" s="8"/>
      <c r="T94" s="40"/>
      <c r="U94" s="40"/>
      <c r="V94" s="40"/>
      <c r="W94" s="40"/>
      <c r="X94" s="8"/>
      <c r="Y94" s="8"/>
      <c r="Z94" s="8"/>
      <c r="AA94" s="8"/>
      <c r="AB94" s="8"/>
      <c r="AC94" s="8"/>
      <c r="AD94" s="8"/>
      <c r="AE94" s="40"/>
      <c r="AF94" s="8"/>
      <c r="AG94" s="40"/>
      <c r="AH94" s="40"/>
      <c r="AI94" s="8"/>
      <c r="AJ94" s="40"/>
      <c r="AK94" s="40"/>
      <c r="AL94" s="40"/>
      <c r="AM94" s="44"/>
      <c r="AN94" s="44"/>
      <c r="AO94" s="41"/>
      <c r="AP94" s="45" t="str">
        <f aca="false">IF(B94="","",IF(AND(ISNUMBER(AM94),ISNUMBER(AN94),AM94&gt;0,AN94&gt;0),AN94/AM94-1,""))</f>
        <v/>
      </c>
      <c r="AQ94" s="9" t="str">
        <f aca="false">IF(I94="","",(YEAR(I94)-IF(MONTH(I94)&lt;4,1,0))&amp;"-"&amp;RIGHT((YEAR(I94)-IF(MONTH(I94)&lt;4,1,0))+1,2))</f>
        <v/>
      </c>
      <c r="AR94" s="9" t="str">
        <f aca="false">IF(J94="","",(YEAR(J94)-IF(MONTH(J94)&lt;4,1,0))&amp;"-"&amp;RIGHT((YEAR(J94)-IF(MONTH(J94)&lt;4,1,0))+1,2))</f>
        <v/>
      </c>
      <c r="AS94" s="43" t="str">
        <f aca="false">IF(OR(B94="",Q94="",D94&lt;&gt;"Active"),"",DATE(YEAR(AsOf)+IF(DATE(YEAR(AsOf),MONTH(Q94),DAY(Q94))&lt;AsOf,1,0),MONTH(Q94),DAY(Q94))-AsOf)</f>
        <v/>
      </c>
      <c r="AT94" s="43" t="str">
        <f aca="false">IF(OR(B94="",I94="",D94&lt;&gt;"Active"),"",IF(YEAR(DATE(YEAR(AsOf)+IF(DATE(YEAR(AsOf),MONTH(I94),DAY(I94))&lt;AsOf,1,0),MONTH(I94),DAY(I94)))-YEAR(I94)&lt;1,"",DATE(YEAR(AsOf)+IF(DATE(YEAR(AsOf),MONTH(I94),DAY(I94))&lt;AsOf,1,0),MONTH(I94),DAY(I94))-AsOf))</f>
        <v/>
      </c>
      <c r="AU94" s="43" t="str">
        <f aca="false">IF(B94="","",IF(AV94="",0,LEN(AV94)-LEN(SUBSTITUTE(AV94,";",""))))</f>
        <v/>
      </c>
      <c r="AV94" s="9" t="str">
        <f aca="false">IF(B94="","",IF(COUNTIF($B$6:$B$505,B94)&gt;1,"Duplicate Emp Code; ","")&amp;IF(C94="","Name missing; ","")&amp;IF(I94="","DOJ missing; ","")&amp;IF(AND(J94&lt;&gt;"",I94&lt;&gt;"",J94&lt;I94),"Exit before DOJ; ","")&amp;IF(Q94="","DOB missing; ","")&amp;IF(T94="","Aadhaar missing; ",IF(LEN(T94)&lt;&gt;12,"Aadhaar not 12 digits; ",IF(COUNTIF($T$6:$T$505,T94)&gt;1,"Duplicate Aadhaar; ","")))&amp;IF(U94="","PAN missing; ",IF(LEN(U94)&lt;&gt;10,"PAN not 10 chars; ",""))&amp;IF(V94="","Mobile missing; ",IF(LEN(V94)&lt;&gt;10,"Mobile not 10 digits; ",""))&amp;IF(AG94="","Bank A/c missing; ","")&amp;IF(AH94="","IFSC missing; ",IF(LEN(AH94)&lt;&gt;11,"IFSC not 11 chars; ","")))</f>
        <v/>
      </c>
      <c r="AW94" s="46" t="str">
        <f aca="false">IF(AS94="","",AS94+ROW()/100000)</f>
        <v/>
      </c>
      <c r="AX94" s="46" t="str">
        <f aca="false">IF(AT94="","",AT94+ROW()/100000)</f>
        <v/>
      </c>
    </row>
    <row r="95" customFormat="false" ht="15" hidden="false" customHeight="false" outlineLevel="0" collapsed="false">
      <c r="A95" s="9" t="str">
        <f aca="false">IF(B95="","",ROW()-5)</f>
        <v/>
      </c>
      <c r="B95" s="40"/>
      <c r="C95" s="8"/>
      <c r="D95" s="9" t="str">
        <f aca="false">IF(B95="","",IF(J95="","Active","Exited"))</f>
        <v/>
      </c>
      <c r="E95" s="8"/>
      <c r="F95" s="8"/>
      <c r="G95" s="8"/>
      <c r="H95" s="9" t="str">
        <f aca="false">IF(OR(B95="",I95=""),"",IF(IF(J95="",AsOf,J95)-I95&gt;=Settings!$C$13,"Permanent","Probation"))</f>
        <v/>
      </c>
      <c r="I95" s="41"/>
      <c r="J95" s="41"/>
      <c r="K95" s="8"/>
      <c r="L95" s="42" t="str">
        <f aca="false">IF(OR(B95="",I95=""),"",ROUND((IF(J95="",AsOf,J95)-I95)/365.25,1))</f>
        <v/>
      </c>
      <c r="M95" s="8"/>
      <c r="N95" s="8"/>
      <c r="O95" s="8"/>
      <c r="P95" s="8"/>
      <c r="Q95" s="41"/>
      <c r="R95" s="43" t="str">
        <f aca="false">IF(OR(B95="",Q95=""),"",INT((AsOf-Q95)/365.25))</f>
        <v/>
      </c>
      <c r="S95" s="8"/>
      <c r="T95" s="40"/>
      <c r="U95" s="40"/>
      <c r="V95" s="40"/>
      <c r="W95" s="40"/>
      <c r="X95" s="8"/>
      <c r="Y95" s="8"/>
      <c r="Z95" s="8"/>
      <c r="AA95" s="8"/>
      <c r="AB95" s="8"/>
      <c r="AC95" s="8"/>
      <c r="AD95" s="8"/>
      <c r="AE95" s="40"/>
      <c r="AF95" s="8"/>
      <c r="AG95" s="40"/>
      <c r="AH95" s="40"/>
      <c r="AI95" s="8"/>
      <c r="AJ95" s="40"/>
      <c r="AK95" s="40"/>
      <c r="AL95" s="40"/>
      <c r="AM95" s="44"/>
      <c r="AN95" s="44"/>
      <c r="AO95" s="41"/>
      <c r="AP95" s="45" t="str">
        <f aca="false">IF(B95="","",IF(AND(ISNUMBER(AM95),ISNUMBER(AN95),AM95&gt;0,AN95&gt;0),AN95/AM95-1,""))</f>
        <v/>
      </c>
      <c r="AQ95" s="9" t="str">
        <f aca="false">IF(I95="","",(YEAR(I95)-IF(MONTH(I95)&lt;4,1,0))&amp;"-"&amp;RIGHT((YEAR(I95)-IF(MONTH(I95)&lt;4,1,0))+1,2))</f>
        <v/>
      </c>
      <c r="AR95" s="9" t="str">
        <f aca="false">IF(J95="","",(YEAR(J95)-IF(MONTH(J95)&lt;4,1,0))&amp;"-"&amp;RIGHT((YEAR(J95)-IF(MONTH(J95)&lt;4,1,0))+1,2))</f>
        <v/>
      </c>
      <c r="AS95" s="43" t="str">
        <f aca="false">IF(OR(B95="",Q95="",D95&lt;&gt;"Active"),"",DATE(YEAR(AsOf)+IF(DATE(YEAR(AsOf),MONTH(Q95),DAY(Q95))&lt;AsOf,1,0),MONTH(Q95),DAY(Q95))-AsOf)</f>
        <v/>
      </c>
      <c r="AT95" s="43" t="str">
        <f aca="false">IF(OR(B95="",I95="",D95&lt;&gt;"Active"),"",IF(YEAR(DATE(YEAR(AsOf)+IF(DATE(YEAR(AsOf),MONTH(I95),DAY(I95))&lt;AsOf,1,0),MONTH(I95),DAY(I95)))-YEAR(I95)&lt;1,"",DATE(YEAR(AsOf)+IF(DATE(YEAR(AsOf),MONTH(I95),DAY(I95))&lt;AsOf,1,0),MONTH(I95),DAY(I95))-AsOf))</f>
        <v/>
      </c>
      <c r="AU95" s="43" t="str">
        <f aca="false">IF(B95="","",IF(AV95="",0,LEN(AV95)-LEN(SUBSTITUTE(AV95,";",""))))</f>
        <v/>
      </c>
      <c r="AV95" s="9" t="str">
        <f aca="false">IF(B95="","",IF(COUNTIF($B$6:$B$505,B95)&gt;1,"Duplicate Emp Code; ","")&amp;IF(C95="","Name missing; ","")&amp;IF(I95="","DOJ missing; ","")&amp;IF(AND(J95&lt;&gt;"",I95&lt;&gt;"",J95&lt;I95),"Exit before DOJ; ","")&amp;IF(Q95="","DOB missing; ","")&amp;IF(T95="","Aadhaar missing; ",IF(LEN(T95)&lt;&gt;12,"Aadhaar not 12 digits; ",IF(COUNTIF($T$6:$T$505,T95)&gt;1,"Duplicate Aadhaar; ","")))&amp;IF(U95="","PAN missing; ",IF(LEN(U95)&lt;&gt;10,"PAN not 10 chars; ",""))&amp;IF(V95="","Mobile missing; ",IF(LEN(V95)&lt;&gt;10,"Mobile not 10 digits; ",""))&amp;IF(AG95="","Bank A/c missing; ","")&amp;IF(AH95="","IFSC missing; ",IF(LEN(AH95)&lt;&gt;11,"IFSC not 11 chars; ","")))</f>
        <v/>
      </c>
      <c r="AW95" s="46" t="str">
        <f aca="false">IF(AS95="","",AS95+ROW()/100000)</f>
        <v/>
      </c>
      <c r="AX95" s="46" t="str">
        <f aca="false">IF(AT95="","",AT95+ROW()/100000)</f>
        <v/>
      </c>
    </row>
    <row r="96" customFormat="false" ht="15" hidden="false" customHeight="false" outlineLevel="0" collapsed="false">
      <c r="A96" s="9" t="str">
        <f aca="false">IF(B96="","",ROW()-5)</f>
        <v/>
      </c>
      <c r="B96" s="40"/>
      <c r="C96" s="8"/>
      <c r="D96" s="9" t="str">
        <f aca="false">IF(B96="","",IF(J96="","Active","Exited"))</f>
        <v/>
      </c>
      <c r="E96" s="8"/>
      <c r="F96" s="8"/>
      <c r="G96" s="8"/>
      <c r="H96" s="9" t="str">
        <f aca="false">IF(OR(B96="",I96=""),"",IF(IF(J96="",AsOf,J96)-I96&gt;=Settings!$C$13,"Permanent","Probation"))</f>
        <v/>
      </c>
      <c r="I96" s="41"/>
      <c r="J96" s="41"/>
      <c r="K96" s="8"/>
      <c r="L96" s="42" t="str">
        <f aca="false">IF(OR(B96="",I96=""),"",ROUND((IF(J96="",AsOf,J96)-I96)/365.25,1))</f>
        <v/>
      </c>
      <c r="M96" s="8"/>
      <c r="N96" s="8"/>
      <c r="O96" s="8"/>
      <c r="P96" s="8"/>
      <c r="Q96" s="41"/>
      <c r="R96" s="43" t="str">
        <f aca="false">IF(OR(B96="",Q96=""),"",INT((AsOf-Q96)/365.25))</f>
        <v/>
      </c>
      <c r="S96" s="8"/>
      <c r="T96" s="40"/>
      <c r="U96" s="40"/>
      <c r="V96" s="40"/>
      <c r="W96" s="40"/>
      <c r="X96" s="8"/>
      <c r="Y96" s="8"/>
      <c r="Z96" s="8"/>
      <c r="AA96" s="8"/>
      <c r="AB96" s="8"/>
      <c r="AC96" s="8"/>
      <c r="AD96" s="8"/>
      <c r="AE96" s="40"/>
      <c r="AF96" s="8"/>
      <c r="AG96" s="40"/>
      <c r="AH96" s="40"/>
      <c r="AI96" s="8"/>
      <c r="AJ96" s="40"/>
      <c r="AK96" s="40"/>
      <c r="AL96" s="40"/>
      <c r="AM96" s="44"/>
      <c r="AN96" s="44"/>
      <c r="AO96" s="41"/>
      <c r="AP96" s="45" t="str">
        <f aca="false">IF(B96="","",IF(AND(ISNUMBER(AM96),ISNUMBER(AN96),AM96&gt;0,AN96&gt;0),AN96/AM96-1,""))</f>
        <v/>
      </c>
      <c r="AQ96" s="9" t="str">
        <f aca="false">IF(I96="","",(YEAR(I96)-IF(MONTH(I96)&lt;4,1,0))&amp;"-"&amp;RIGHT((YEAR(I96)-IF(MONTH(I96)&lt;4,1,0))+1,2))</f>
        <v/>
      </c>
      <c r="AR96" s="9" t="str">
        <f aca="false">IF(J96="","",(YEAR(J96)-IF(MONTH(J96)&lt;4,1,0))&amp;"-"&amp;RIGHT((YEAR(J96)-IF(MONTH(J96)&lt;4,1,0))+1,2))</f>
        <v/>
      </c>
      <c r="AS96" s="43" t="str">
        <f aca="false">IF(OR(B96="",Q96="",D96&lt;&gt;"Active"),"",DATE(YEAR(AsOf)+IF(DATE(YEAR(AsOf),MONTH(Q96),DAY(Q96))&lt;AsOf,1,0),MONTH(Q96),DAY(Q96))-AsOf)</f>
        <v/>
      </c>
      <c r="AT96" s="43" t="str">
        <f aca="false">IF(OR(B96="",I96="",D96&lt;&gt;"Active"),"",IF(YEAR(DATE(YEAR(AsOf)+IF(DATE(YEAR(AsOf),MONTH(I96),DAY(I96))&lt;AsOf,1,0),MONTH(I96),DAY(I96)))-YEAR(I96)&lt;1,"",DATE(YEAR(AsOf)+IF(DATE(YEAR(AsOf),MONTH(I96),DAY(I96))&lt;AsOf,1,0),MONTH(I96),DAY(I96))-AsOf))</f>
        <v/>
      </c>
      <c r="AU96" s="43" t="str">
        <f aca="false">IF(B96="","",IF(AV96="",0,LEN(AV96)-LEN(SUBSTITUTE(AV96,";",""))))</f>
        <v/>
      </c>
      <c r="AV96" s="9" t="str">
        <f aca="false">IF(B96="","",IF(COUNTIF($B$6:$B$505,B96)&gt;1,"Duplicate Emp Code; ","")&amp;IF(C96="","Name missing; ","")&amp;IF(I96="","DOJ missing; ","")&amp;IF(AND(J96&lt;&gt;"",I96&lt;&gt;"",J96&lt;I96),"Exit before DOJ; ","")&amp;IF(Q96="","DOB missing; ","")&amp;IF(T96="","Aadhaar missing; ",IF(LEN(T96)&lt;&gt;12,"Aadhaar not 12 digits; ",IF(COUNTIF($T$6:$T$505,T96)&gt;1,"Duplicate Aadhaar; ","")))&amp;IF(U96="","PAN missing; ",IF(LEN(U96)&lt;&gt;10,"PAN not 10 chars; ",""))&amp;IF(V96="","Mobile missing; ",IF(LEN(V96)&lt;&gt;10,"Mobile not 10 digits; ",""))&amp;IF(AG96="","Bank A/c missing; ","")&amp;IF(AH96="","IFSC missing; ",IF(LEN(AH96)&lt;&gt;11,"IFSC not 11 chars; ","")))</f>
        <v/>
      </c>
      <c r="AW96" s="46" t="str">
        <f aca="false">IF(AS96="","",AS96+ROW()/100000)</f>
        <v/>
      </c>
      <c r="AX96" s="46" t="str">
        <f aca="false">IF(AT96="","",AT96+ROW()/100000)</f>
        <v/>
      </c>
    </row>
    <row r="97" customFormat="false" ht="15" hidden="false" customHeight="false" outlineLevel="0" collapsed="false">
      <c r="A97" s="9" t="str">
        <f aca="false">IF(B97="","",ROW()-5)</f>
        <v/>
      </c>
      <c r="B97" s="40"/>
      <c r="C97" s="8"/>
      <c r="D97" s="9" t="str">
        <f aca="false">IF(B97="","",IF(J97="","Active","Exited"))</f>
        <v/>
      </c>
      <c r="E97" s="8"/>
      <c r="F97" s="8"/>
      <c r="G97" s="8"/>
      <c r="H97" s="9" t="str">
        <f aca="false">IF(OR(B97="",I97=""),"",IF(IF(J97="",AsOf,J97)-I97&gt;=Settings!$C$13,"Permanent","Probation"))</f>
        <v/>
      </c>
      <c r="I97" s="41"/>
      <c r="J97" s="41"/>
      <c r="K97" s="8"/>
      <c r="L97" s="42" t="str">
        <f aca="false">IF(OR(B97="",I97=""),"",ROUND((IF(J97="",AsOf,J97)-I97)/365.25,1))</f>
        <v/>
      </c>
      <c r="M97" s="8"/>
      <c r="N97" s="8"/>
      <c r="O97" s="8"/>
      <c r="P97" s="8"/>
      <c r="Q97" s="41"/>
      <c r="R97" s="43" t="str">
        <f aca="false">IF(OR(B97="",Q97=""),"",INT((AsOf-Q97)/365.25))</f>
        <v/>
      </c>
      <c r="S97" s="8"/>
      <c r="T97" s="40"/>
      <c r="U97" s="40"/>
      <c r="V97" s="40"/>
      <c r="W97" s="40"/>
      <c r="X97" s="8"/>
      <c r="Y97" s="8"/>
      <c r="Z97" s="8"/>
      <c r="AA97" s="8"/>
      <c r="AB97" s="8"/>
      <c r="AC97" s="8"/>
      <c r="AD97" s="8"/>
      <c r="AE97" s="40"/>
      <c r="AF97" s="8"/>
      <c r="AG97" s="40"/>
      <c r="AH97" s="40"/>
      <c r="AI97" s="8"/>
      <c r="AJ97" s="40"/>
      <c r="AK97" s="40"/>
      <c r="AL97" s="40"/>
      <c r="AM97" s="44"/>
      <c r="AN97" s="44"/>
      <c r="AO97" s="41"/>
      <c r="AP97" s="45" t="str">
        <f aca="false">IF(B97="","",IF(AND(ISNUMBER(AM97),ISNUMBER(AN97),AM97&gt;0,AN97&gt;0),AN97/AM97-1,""))</f>
        <v/>
      </c>
      <c r="AQ97" s="9" t="str">
        <f aca="false">IF(I97="","",(YEAR(I97)-IF(MONTH(I97)&lt;4,1,0))&amp;"-"&amp;RIGHT((YEAR(I97)-IF(MONTH(I97)&lt;4,1,0))+1,2))</f>
        <v/>
      </c>
      <c r="AR97" s="9" t="str">
        <f aca="false">IF(J97="","",(YEAR(J97)-IF(MONTH(J97)&lt;4,1,0))&amp;"-"&amp;RIGHT((YEAR(J97)-IF(MONTH(J97)&lt;4,1,0))+1,2))</f>
        <v/>
      </c>
      <c r="AS97" s="43" t="str">
        <f aca="false">IF(OR(B97="",Q97="",D97&lt;&gt;"Active"),"",DATE(YEAR(AsOf)+IF(DATE(YEAR(AsOf),MONTH(Q97),DAY(Q97))&lt;AsOf,1,0),MONTH(Q97),DAY(Q97))-AsOf)</f>
        <v/>
      </c>
      <c r="AT97" s="43" t="str">
        <f aca="false">IF(OR(B97="",I97="",D97&lt;&gt;"Active"),"",IF(YEAR(DATE(YEAR(AsOf)+IF(DATE(YEAR(AsOf),MONTH(I97),DAY(I97))&lt;AsOf,1,0),MONTH(I97),DAY(I97)))-YEAR(I97)&lt;1,"",DATE(YEAR(AsOf)+IF(DATE(YEAR(AsOf),MONTH(I97),DAY(I97))&lt;AsOf,1,0),MONTH(I97),DAY(I97))-AsOf))</f>
        <v/>
      </c>
      <c r="AU97" s="43" t="str">
        <f aca="false">IF(B97="","",IF(AV97="",0,LEN(AV97)-LEN(SUBSTITUTE(AV97,";",""))))</f>
        <v/>
      </c>
      <c r="AV97" s="9" t="str">
        <f aca="false">IF(B97="","",IF(COUNTIF($B$6:$B$505,B97)&gt;1,"Duplicate Emp Code; ","")&amp;IF(C97="","Name missing; ","")&amp;IF(I97="","DOJ missing; ","")&amp;IF(AND(J97&lt;&gt;"",I97&lt;&gt;"",J97&lt;I97),"Exit before DOJ; ","")&amp;IF(Q97="","DOB missing; ","")&amp;IF(T97="","Aadhaar missing; ",IF(LEN(T97)&lt;&gt;12,"Aadhaar not 12 digits; ",IF(COUNTIF($T$6:$T$505,T97)&gt;1,"Duplicate Aadhaar; ","")))&amp;IF(U97="","PAN missing; ",IF(LEN(U97)&lt;&gt;10,"PAN not 10 chars; ",""))&amp;IF(V97="","Mobile missing; ",IF(LEN(V97)&lt;&gt;10,"Mobile not 10 digits; ",""))&amp;IF(AG97="","Bank A/c missing; ","")&amp;IF(AH97="","IFSC missing; ",IF(LEN(AH97)&lt;&gt;11,"IFSC not 11 chars; ","")))</f>
        <v/>
      </c>
      <c r="AW97" s="46" t="str">
        <f aca="false">IF(AS97="","",AS97+ROW()/100000)</f>
        <v/>
      </c>
      <c r="AX97" s="46" t="str">
        <f aca="false">IF(AT97="","",AT97+ROW()/100000)</f>
        <v/>
      </c>
    </row>
    <row r="98" customFormat="false" ht="15" hidden="false" customHeight="false" outlineLevel="0" collapsed="false">
      <c r="A98" s="9" t="str">
        <f aca="false">IF(B98="","",ROW()-5)</f>
        <v/>
      </c>
      <c r="B98" s="40"/>
      <c r="C98" s="8"/>
      <c r="D98" s="9" t="str">
        <f aca="false">IF(B98="","",IF(J98="","Active","Exited"))</f>
        <v/>
      </c>
      <c r="E98" s="8"/>
      <c r="F98" s="8"/>
      <c r="G98" s="8"/>
      <c r="H98" s="9" t="str">
        <f aca="false">IF(OR(B98="",I98=""),"",IF(IF(J98="",AsOf,J98)-I98&gt;=Settings!$C$13,"Permanent","Probation"))</f>
        <v/>
      </c>
      <c r="I98" s="41"/>
      <c r="J98" s="41"/>
      <c r="K98" s="8"/>
      <c r="L98" s="42" t="str">
        <f aca="false">IF(OR(B98="",I98=""),"",ROUND((IF(J98="",AsOf,J98)-I98)/365.25,1))</f>
        <v/>
      </c>
      <c r="M98" s="8"/>
      <c r="N98" s="8"/>
      <c r="O98" s="8"/>
      <c r="P98" s="8"/>
      <c r="Q98" s="41"/>
      <c r="R98" s="43" t="str">
        <f aca="false">IF(OR(B98="",Q98=""),"",INT((AsOf-Q98)/365.25))</f>
        <v/>
      </c>
      <c r="S98" s="8"/>
      <c r="T98" s="40"/>
      <c r="U98" s="40"/>
      <c r="V98" s="40"/>
      <c r="W98" s="40"/>
      <c r="X98" s="8"/>
      <c r="Y98" s="8"/>
      <c r="Z98" s="8"/>
      <c r="AA98" s="8"/>
      <c r="AB98" s="8"/>
      <c r="AC98" s="8"/>
      <c r="AD98" s="8"/>
      <c r="AE98" s="40"/>
      <c r="AF98" s="8"/>
      <c r="AG98" s="40"/>
      <c r="AH98" s="40"/>
      <c r="AI98" s="8"/>
      <c r="AJ98" s="40"/>
      <c r="AK98" s="40"/>
      <c r="AL98" s="40"/>
      <c r="AM98" s="44"/>
      <c r="AN98" s="44"/>
      <c r="AO98" s="41"/>
      <c r="AP98" s="45" t="str">
        <f aca="false">IF(B98="","",IF(AND(ISNUMBER(AM98),ISNUMBER(AN98),AM98&gt;0,AN98&gt;0),AN98/AM98-1,""))</f>
        <v/>
      </c>
      <c r="AQ98" s="9" t="str">
        <f aca="false">IF(I98="","",(YEAR(I98)-IF(MONTH(I98)&lt;4,1,0))&amp;"-"&amp;RIGHT((YEAR(I98)-IF(MONTH(I98)&lt;4,1,0))+1,2))</f>
        <v/>
      </c>
      <c r="AR98" s="9" t="str">
        <f aca="false">IF(J98="","",(YEAR(J98)-IF(MONTH(J98)&lt;4,1,0))&amp;"-"&amp;RIGHT((YEAR(J98)-IF(MONTH(J98)&lt;4,1,0))+1,2))</f>
        <v/>
      </c>
      <c r="AS98" s="43" t="str">
        <f aca="false">IF(OR(B98="",Q98="",D98&lt;&gt;"Active"),"",DATE(YEAR(AsOf)+IF(DATE(YEAR(AsOf),MONTH(Q98),DAY(Q98))&lt;AsOf,1,0),MONTH(Q98),DAY(Q98))-AsOf)</f>
        <v/>
      </c>
      <c r="AT98" s="43" t="str">
        <f aca="false">IF(OR(B98="",I98="",D98&lt;&gt;"Active"),"",IF(YEAR(DATE(YEAR(AsOf)+IF(DATE(YEAR(AsOf),MONTH(I98),DAY(I98))&lt;AsOf,1,0),MONTH(I98),DAY(I98)))-YEAR(I98)&lt;1,"",DATE(YEAR(AsOf)+IF(DATE(YEAR(AsOf),MONTH(I98),DAY(I98))&lt;AsOf,1,0),MONTH(I98),DAY(I98))-AsOf))</f>
        <v/>
      </c>
      <c r="AU98" s="43" t="str">
        <f aca="false">IF(B98="","",IF(AV98="",0,LEN(AV98)-LEN(SUBSTITUTE(AV98,";",""))))</f>
        <v/>
      </c>
      <c r="AV98" s="9" t="str">
        <f aca="false">IF(B98="","",IF(COUNTIF($B$6:$B$505,B98)&gt;1,"Duplicate Emp Code; ","")&amp;IF(C98="","Name missing; ","")&amp;IF(I98="","DOJ missing; ","")&amp;IF(AND(J98&lt;&gt;"",I98&lt;&gt;"",J98&lt;I98),"Exit before DOJ; ","")&amp;IF(Q98="","DOB missing; ","")&amp;IF(T98="","Aadhaar missing; ",IF(LEN(T98)&lt;&gt;12,"Aadhaar not 12 digits; ",IF(COUNTIF($T$6:$T$505,T98)&gt;1,"Duplicate Aadhaar; ","")))&amp;IF(U98="","PAN missing; ",IF(LEN(U98)&lt;&gt;10,"PAN not 10 chars; ",""))&amp;IF(V98="","Mobile missing; ",IF(LEN(V98)&lt;&gt;10,"Mobile not 10 digits; ",""))&amp;IF(AG98="","Bank A/c missing; ","")&amp;IF(AH98="","IFSC missing; ",IF(LEN(AH98)&lt;&gt;11,"IFSC not 11 chars; ","")))</f>
        <v/>
      </c>
      <c r="AW98" s="46" t="str">
        <f aca="false">IF(AS98="","",AS98+ROW()/100000)</f>
        <v/>
      </c>
      <c r="AX98" s="46" t="str">
        <f aca="false">IF(AT98="","",AT98+ROW()/100000)</f>
        <v/>
      </c>
    </row>
    <row r="99" customFormat="false" ht="15" hidden="false" customHeight="false" outlineLevel="0" collapsed="false">
      <c r="A99" s="9" t="str">
        <f aca="false">IF(B99="","",ROW()-5)</f>
        <v/>
      </c>
      <c r="B99" s="40"/>
      <c r="C99" s="8"/>
      <c r="D99" s="9" t="str">
        <f aca="false">IF(B99="","",IF(J99="","Active","Exited"))</f>
        <v/>
      </c>
      <c r="E99" s="8"/>
      <c r="F99" s="8"/>
      <c r="G99" s="8"/>
      <c r="H99" s="9" t="str">
        <f aca="false">IF(OR(B99="",I99=""),"",IF(IF(J99="",AsOf,J99)-I99&gt;=Settings!$C$13,"Permanent","Probation"))</f>
        <v/>
      </c>
      <c r="I99" s="41"/>
      <c r="J99" s="41"/>
      <c r="K99" s="8"/>
      <c r="L99" s="42" t="str">
        <f aca="false">IF(OR(B99="",I99=""),"",ROUND((IF(J99="",AsOf,J99)-I99)/365.25,1))</f>
        <v/>
      </c>
      <c r="M99" s="8"/>
      <c r="N99" s="8"/>
      <c r="O99" s="8"/>
      <c r="P99" s="8"/>
      <c r="Q99" s="41"/>
      <c r="R99" s="43" t="str">
        <f aca="false">IF(OR(B99="",Q99=""),"",INT((AsOf-Q99)/365.25))</f>
        <v/>
      </c>
      <c r="S99" s="8"/>
      <c r="T99" s="40"/>
      <c r="U99" s="40"/>
      <c r="V99" s="40"/>
      <c r="W99" s="40"/>
      <c r="X99" s="8"/>
      <c r="Y99" s="8"/>
      <c r="Z99" s="8"/>
      <c r="AA99" s="8"/>
      <c r="AB99" s="8"/>
      <c r="AC99" s="8"/>
      <c r="AD99" s="8"/>
      <c r="AE99" s="40"/>
      <c r="AF99" s="8"/>
      <c r="AG99" s="40"/>
      <c r="AH99" s="40"/>
      <c r="AI99" s="8"/>
      <c r="AJ99" s="40"/>
      <c r="AK99" s="40"/>
      <c r="AL99" s="40"/>
      <c r="AM99" s="44"/>
      <c r="AN99" s="44"/>
      <c r="AO99" s="41"/>
      <c r="AP99" s="45" t="str">
        <f aca="false">IF(B99="","",IF(AND(ISNUMBER(AM99),ISNUMBER(AN99),AM99&gt;0,AN99&gt;0),AN99/AM99-1,""))</f>
        <v/>
      </c>
      <c r="AQ99" s="9" t="str">
        <f aca="false">IF(I99="","",(YEAR(I99)-IF(MONTH(I99)&lt;4,1,0))&amp;"-"&amp;RIGHT((YEAR(I99)-IF(MONTH(I99)&lt;4,1,0))+1,2))</f>
        <v/>
      </c>
      <c r="AR99" s="9" t="str">
        <f aca="false">IF(J99="","",(YEAR(J99)-IF(MONTH(J99)&lt;4,1,0))&amp;"-"&amp;RIGHT((YEAR(J99)-IF(MONTH(J99)&lt;4,1,0))+1,2))</f>
        <v/>
      </c>
      <c r="AS99" s="43" t="str">
        <f aca="false">IF(OR(B99="",Q99="",D99&lt;&gt;"Active"),"",DATE(YEAR(AsOf)+IF(DATE(YEAR(AsOf),MONTH(Q99),DAY(Q99))&lt;AsOf,1,0),MONTH(Q99),DAY(Q99))-AsOf)</f>
        <v/>
      </c>
      <c r="AT99" s="43" t="str">
        <f aca="false">IF(OR(B99="",I99="",D99&lt;&gt;"Active"),"",IF(YEAR(DATE(YEAR(AsOf)+IF(DATE(YEAR(AsOf),MONTH(I99),DAY(I99))&lt;AsOf,1,0),MONTH(I99),DAY(I99)))-YEAR(I99)&lt;1,"",DATE(YEAR(AsOf)+IF(DATE(YEAR(AsOf),MONTH(I99),DAY(I99))&lt;AsOf,1,0),MONTH(I99),DAY(I99))-AsOf))</f>
        <v/>
      </c>
      <c r="AU99" s="43" t="str">
        <f aca="false">IF(B99="","",IF(AV99="",0,LEN(AV99)-LEN(SUBSTITUTE(AV99,";",""))))</f>
        <v/>
      </c>
      <c r="AV99" s="9" t="str">
        <f aca="false">IF(B99="","",IF(COUNTIF($B$6:$B$505,B99)&gt;1,"Duplicate Emp Code; ","")&amp;IF(C99="","Name missing; ","")&amp;IF(I99="","DOJ missing; ","")&amp;IF(AND(J99&lt;&gt;"",I99&lt;&gt;"",J99&lt;I99),"Exit before DOJ; ","")&amp;IF(Q99="","DOB missing; ","")&amp;IF(T99="","Aadhaar missing; ",IF(LEN(T99)&lt;&gt;12,"Aadhaar not 12 digits; ",IF(COUNTIF($T$6:$T$505,T99)&gt;1,"Duplicate Aadhaar; ","")))&amp;IF(U99="","PAN missing; ",IF(LEN(U99)&lt;&gt;10,"PAN not 10 chars; ",""))&amp;IF(V99="","Mobile missing; ",IF(LEN(V99)&lt;&gt;10,"Mobile not 10 digits; ",""))&amp;IF(AG99="","Bank A/c missing; ","")&amp;IF(AH99="","IFSC missing; ",IF(LEN(AH99)&lt;&gt;11,"IFSC not 11 chars; ","")))</f>
        <v/>
      </c>
      <c r="AW99" s="46" t="str">
        <f aca="false">IF(AS99="","",AS99+ROW()/100000)</f>
        <v/>
      </c>
      <c r="AX99" s="46" t="str">
        <f aca="false">IF(AT99="","",AT99+ROW()/100000)</f>
        <v/>
      </c>
    </row>
    <row r="100" customFormat="false" ht="15" hidden="false" customHeight="false" outlineLevel="0" collapsed="false">
      <c r="A100" s="9" t="str">
        <f aca="false">IF(B100="","",ROW()-5)</f>
        <v/>
      </c>
      <c r="B100" s="40"/>
      <c r="C100" s="8"/>
      <c r="D100" s="9" t="str">
        <f aca="false">IF(B100="","",IF(J100="","Active","Exited"))</f>
        <v/>
      </c>
      <c r="E100" s="8"/>
      <c r="F100" s="8"/>
      <c r="G100" s="8"/>
      <c r="H100" s="9" t="str">
        <f aca="false">IF(OR(B100="",I100=""),"",IF(IF(J100="",AsOf,J100)-I100&gt;=Settings!$C$13,"Permanent","Probation"))</f>
        <v/>
      </c>
      <c r="I100" s="41"/>
      <c r="J100" s="41"/>
      <c r="K100" s="8"/>
      <c r="L100" s="42" t="str">
        <f aca="false">IF(OR(B100="",I100=""),"",ROUND((IF(J100="",AsOf,J100)-I100)/365.25,1))</f>
        <v/>
      </c>
      <c r="M100" s="8"/>
      <c r="N100" s="8"/>
      <c r="O100" s="8"/>
      <c r="P100" s="8"/>
      <c r="Q100" s="41"/>
      <c r="R100" s="43" t="str">
        <f aca="false">IF(OR(B100="",Q100=""),"",INT((AsOf-Q100)/365.25))</f>
        <v/>
      </c>
      <c r="S100" s="8"/>
      <c r="T100" s="40"/>
      <c r="U100" s="40"/>
      <c r="V100" s="40"/>
      <c r="W100" s="40"/>
      <c r="X100" s="8"/>
      <c r="Y100" s="8"/>
      <c r="Z100" s="8"/>
      <c r="AA100" s="8"/>
      <c r="AB100" s="8"/>
      <c r="AC100" s="8"/>
      <c r="AD100" s="8"/>
      <c r="AE100" s="40"/>
      <c r="AF100" s="8"/>
      <c r="AG100" s="40"/>
      <c r="AH100" s="40"/>
      <c r="AI100" s="8"/>
      <c r="AJ100" s="40"/>
      <c r="AK100" s="40"/>
      <c r="AL100" s="40"/>
      <c r="AM100" s="44"/>
      <c r="AN100" s="44"/>
      <c r="AO100" s="41"/>
      <c r="AP100" s="45" t="str">
        <f aca="false">IF(B100="","",IF(AND(ISNUMBER(AM100),ISNUMBER(AN100),AM100&gt;0,AN100&gt;0),AN100/AM100-1,""))</f>
        <v/>
      </c>
      <c r="AQ100" s="9" t="str">
        <f aca="false">IF(I100="","",(YEAR(I100)-IF(MONTH(I100)&lt;4,1,0))&amp;"-"&amp;RIGHT((YEAR(I100)-IF(MONTH(I100)&lt;4,1,0))+1,2))</f>
        <v/>
      </c>
      <c r="AR100" s="9" t="str">
        <f aca="false">IF(J100="","",(YEAR(J100)-IF(MONTH(J100)&lt;4,1,0))&amp;"-"&amp;RIGHT((YEAR(J100)-IF(MONTH(J100)&lt;4,1,0))+1,2))</f>
        <v/>
      </c>
      <c r="AS100" s="43" t="str">
        <f aca="false">IF(OR(B100="",Q100="",D100&lt;&gt;"Active"),"",DATE(YEAR(AsOf)+IF(DATE(YEAR(AsOf),MONTH(Q100),DAY(Q100))&lt;AsOf,1,0),MONTH(Q100),DAY(Q100))-AsOf)</f>
        <v/>
      </c>
      <c r="AT100" s="43" t="str">
        <f aca="false">IF(OR(B100="",I100="",D100&lt;&gt;"Active"),"",IF(YEAR(DATE(YEAR(AsOf)+IF(DATE(YEAR(AsOf),MONTH(I100),DAY(I100))&lt;AsOf,1,0),MONTH(I100),DAY(I100)))-YEAR(I100)&lt;1,"",DATE(YEAR(AsOf)+IF(DATE(YEAR(AsOf),MONTH(I100),DAY(I100))&lt;AsOf,1,0),MONTH(I100),DAY(I100))-AsOf))</f>
        <v/>
      </c>
      <c r="AU100" s="43" t="str">
        <f aca="false">IF(B100="","",IF(AV100="",0,LEN(AV100)-LEN(SUBSTITUTE(AV100,";",""))))</f>
        <v/>
      </c>
      <c r="AV100" s="9" t="str">
        <f aca="false">IF(B100="","",IF(COUNTIF($B$6:$B$505,B100)&gt;1,"Duplicate Emp Code; ","")&amp;IF(C100="","Name missing; ","")&amp;IF(I100="","DOJ missing; ","")&amp;IF(AND(J100&lt;&gt;"",I100&lt;&gt;"",J100&lt;I100),"Exit before DOJ; ","")&amp;IF(Q100="","DOB missing; ","")&amp;IF(T100="","Aadhaar missing; ",IF(LEN(T100)&lt;&gt;12,"Aadhaar not 12 digits; ",IF(COUNTIF($T$6:$T$505,T100)&gt;1,"Duplicate Aadhaar; ","")))&amp;IF(U100="","PAN missing; ",IF(LEN(U100)&lt;&gt;10,"PAN not 10 chars; ",""))&amp;IF(V100="","Mobile missing; ",IF(LEN(V100)&lt;&gt;10,"Mobile not 10 digits; ",""))&amp;IF(AG100="","Bank A/c missing; ","")&amp;IF(AH100="","IFSC missing; ",IF(LEN(AH100)&lt;&gt;11,"IFSC not 11 chars; ","")))</f>
        <v/>
      </c>
      <c r="AW100" s="46" t="str">
        <f aca="false">IF(AS100="","",AS100+ROW()/100000)</f>
        <v/>
      </c>
      <c r="AX100" s="46" t="str">
        <f aca="false">IF(AT100="","",AT100+ROW()/100000)</f>
        <v/>
      </c>
    </row>
    <row r="101" customFormat="false" ht="15" hidden="false" customHeight="false" outlineLevel="0" collapsed="false">
      <c r="A101" s="9" t="str">
        <f aca="false">IF(B101="","",ROW()-5)</f>
        <v/>
      </c>
      <c r="B101" s="40"/>
      <c r="C101" s="8"/>
      <c r="D101" s="9" t="str">
        <f aca="false">IF(B101="","",IF(J101="","Active","Exited"))</f>
        <v/>
      </c>
      <c r="E101" s="8"/>
      <c r="F101" s="8"/>
      <c r="G101" s="8"/>
      <c r="H101" s="9" t="str">
        <f aca="false">IF(OR(B101="",I101=""),"",IF(IF(J101="",AsOf,J101)-I101&gt;=Settings!$C$13,"Permanent","Probation"))</f>
        <v/>
      </c>
      <c r="I101" s="41"/>
      <c r="J101" s="41"/>
      <c r="K101" s="8"/>
      <c r="L101" s="42" t="str">
        <f aca="false">IF(OR(B101="",I101=""),"",ROUND((IF(J101="",AsOf,J101)-I101)/365.25,1))</f>
        <v/>
      </c>
      <c r="M101" s="8"/>
      <c r="N101" s="8"/>
      <c r="O101" s="8"/>
      <c r="P101" s="8"/>
      <c r="Q101" s="41"/>
      <c r="R101" s="43" t="str">
        <f aca="false">IF(OR(B101="",Q101=""),"",INT((AsOf-Q101)/365.25))</f>
        <v/>
      </c>
      <c r="S101" s="8"/>
      <c r="T101" s="40"/>
      <c r="U101" s="40"/>
      <c r="V101" s="40"/>
      <c r="W101" s="40"/>
      <c r="X101" s="8"/>
      <c r="Y101" s="8"/>
      <c r="Z101" s="8"/>
      <c r="AA101" s="8"/>
      <c r="AB101" s="8"/>
      <c r="AC101" s="8"/>
      <c r="AD101" s="8"/>
      <c r="AE101" s="40"/>
      <c r="AF101" s="8"/>
      <c r="AG101" s="40"/>
      <c r="AH101" s="40"/>
      <c r="AI101" s="8"/>
      <c r="AJ101" s="40"/>
      <c r="AK101" s="40"/>
      <c r="AL101" s="40"/>
      <c r="AM101" s="44"/>
      <c r="AN101" s="44"/>
      <c r="AO101" s="41"/>
      <c r="AP101" s="45" t="str">
        <f aca="false">IF(B101="","",IF(AND(ISNUMBER(AM101),ISNUMBER(AN101),AM101&gt;0,AN101&gt;0),AN101/AM101-1,""))</f>
        <v/>
      </c>
      <c r="AQ101" s="9" t="str">
        <f aca="false">IF(I101="","",(YEAR(I101)-IF(MONTH(I101)&lt;4,1,0))&amp;"-"&amp;RIGHT((YEAR(I101)-IF(MONTH(I101)&lt;4,1,0))+1,2))</f>
        <v/>
      </c>
      <c r="AR101" s="9" t="str">
        <f aca="false">IF(J101="","",(YEAR(J101)-IF(MONTH(J101)&lt;4,1,0))&amp;"-"&amp;RIGHT((YEAR(J101)-IF(MONTH(J101)&lt;4,1,0))+1,2))</f>
        <v/>
      </c>
      <c r="AS101" s="43" t="str">
        <f aca="false">IF(OR(B101="",Q101="",D101&lt;&gt;"Active"),"",DATE(YEAR(AsOf)+IF(DATE(YEAR(AsOf),MONTH(Q101),DAY(Q101))&lt;AsOf,1,0),MONTH(Q101),DAY(Q101))-AsOf)</f>
        <v/>
      </c>
      <c r="AT101" s="43" t="str">
        <f aca="false">IF(OR(B101="",I101="",D101&lt;&gt;"Active"),"",IF(YEAR(DATE(YEAR(AsOf)+IF(DATE(YEAR(AsOf),MONTH(I101),DAY(I101))&lt;AsOf,1,0),MONTH(I101),DAY(I101)))-YEAR(I101)&lt;1,"",DATE(YEAR(AsOf)+IF(DATE(YEAR(AsOf),MONTH(I101),DAY(I101))&lt;AsOf,1,0),MONTH(I101),DAY(I101))-AsOf))</f>
        <v/>
      </c>
      <c r="AU101" s="43" t="str">
        <f aca="false">IF(B101="","",IF(AV101="",0,LEN(AV101)-LEN(SUBSTITUTE(AV101,";",""))))</f>
        <v/>
      </c>
      <c r="AV101" s="9" t="str">
        <f aca="false">IF(B101="","",IF(COUNTIF($B$6:$B$505,B101)&gt;1,"Duplicate Emp Code; ","")&amp;IF(C101="","Name missing; ","")&amp;IF(I101="","DOJ missing; ","")&amp;IF(AND(J101&lt;&gt;"",I101&lt;&gt;"",J101&lt;I101),"Exit before DOJ; ","")&amp;IF(Q101="","DOB missing; ","")&amp;IF(T101="","Aadhaar missing; ",IF(LEN(T101)&lt;&gt;12,"Aadhaar not 12 digits; ",IF(COUNTIF($T$6:$T$505,T101)&gt;1,"Duplicate Aadhaar; ","")))&amp;IF(U101="","PAN missing; ",IF(LEN(U101)&lt;&gt;10,"PAN not 10 chars; ",""))&amp;IF(V101="","Mobile missing; ",IF(LEN(V101)&lt;&gt;10,"Mobile not 10 digits; ",""))&amp;IF(AG101="","Bank A/c missing; ","")&amp;IF(AH101="","IFSC missing; ",IF(LEN(AH101)&lt;&gt;11,"IFSC not 11 chars; ","")))</f>
        <v/>
      </c>
      <c r="AW101" s="46" t="str">
        <f aca="false">IF(AS101="","",AS101+ROW()/100000)</f>
        <v/>
      </c>
      <c r="AX101" s="46" t="str">
        <f aca="false">IF(AT101="","",AT101+ROW()/100000)</f>
        <v/>
      </c>
    </row>
    <row r="102" customFormat="false" ht="15" hidden="false" customHeight="false" outlineLevel="0" collapsed="false">
      <c r="A102" s="9" t="str">
        <f aca="false">IF(B102="","",ROW()-5)</f>
        <v/>
      </c>
      <c r="B102" s="40"/>
      <c r="C102" s="8"/>
      <c r="D102" s="9" t="str">
        <f aca="false">IF(B102="","",IF(J102="","Active","Exited"))</f>
        <v/>
      </c>
      <c r="E102" s="8"/>
      <c r="F102" s="8"/>
      <c r="G102" s="8"/>
      <c r="H102" s="9" t="str">
        <f aca="false">IF(OR(B102="",I102=""),"",IF(IF(J102="",AsOf,J102)-I102&gt;=Settings!$C$13,"Permanent","Probation"))</f>
        <v/>
      </c>
      <c r="I102" s="41"/>
      <c r="J102" s="41"/>
      <c r="K102" s="8"/>
      <c r="L102" s="42" t="str">
        <f aca="false">IF(OR(B102="",I102=""),"",ROUND((IF(J102="",AsOf,J102)-I102)/365.25,1))</f>
        <v/>
      </c>
      <c r="M102" s="8"/>
      <c r="N102" s="8"/>
      <c r="O102" s="8"/>
      <c r="P102" s="8"/>
      <c r="Q102" s="41"/>
      <c r="R102" s="43" t="str">
        <f aca="false">IF(OR(B102="",Q102=""),"",INT((AsOf-Q102)/365.25))</f>
        <v/>
      </c>
      <c r="S102" s="8"/>
      <c r="T102" s="40"/>
      <c r="U102" s="40"/>
      <c r="V102" s="40"/>
      <c r="W102" s="40"/>
      <c r="X102" s="8"/>
      <c r="Y102" s="8"/>
      <c r="Z102" s="8"/>
      <c r="AA102" s="8"/>
      <c r="AB102" s="8"/>
      <c r="AC102" s="8"/>
      <c r="AD102" s="8"/>
      <c r="AE102" s="40"/>
      <c r="AF102" s="8"/>
      <c r="AG102" s="40"/>
      <c r="AH102" s="40"/>
      <c r="AI102" s="8"/>
      <c r="AJ102" s="40"/>
      <c r="AK102" s="40"/>
      <c r="AL102" s="40"/>
      <c r="AM102" s="44"/>
      <c r="AN102" s="44"/>
      <c r="AO102" s="41"/>
      <c r="AP102" s="45" t="str">
        <f aca="false">IF(B102="","",IF(AND(ISNUMBER(AM102),ISNUMBER(AN102),AM102&gt;0,AN102&gt;0),AN102/AM102-1,""))</f>
        <v/>
      </c>
      <c r="AQ102" s="9" t="str">
        <f aca="false">IF(I102="","",(YEAR(I102)-IF(MONTH(I102)&lt;4,1,0))&amp;"-"&amp;RIGHT((YEAR(I102)-IF(MONTH(I102)&lt;4,1,0))+1,2))</f>
        <v/>
      </c>
      <c r="AR102" s="9" t="str">
        <f aca="false">IF(J102="","",(YEAR(J102)-IF(MONTH(J102)&lt;4,1,0))&amp;"-"&amp;RIGHT((YEAR(J102)-IF(MONTH(J102)&lt;4,1,0))+1,2))</f>
        <v/>
      </c>
      <c r="AS102" s="43" t="str">
        <f aca="false">IF(OR(B102="",Q102="",D102&lt;&gt;"Active"),"",DATE(YEAR(AsOf)+IF(DATE(YEAR(AsOf),MONTH(Q102),DAY(Q102))&lt;AsOf,1,0),MONTH(Q102),DAY(Q102))-AsOf)</f>
        <v/>
      </c>
      <c r="AT102" s="43" t="str">
        <f aca="false">IF(OR(B102="",I102="",D102&lt;&gt;"Active"),"",IF(YEAR(DATE(YEAR(AsOf)+IF(DATE(YEAR(AsOf),MONTH(I102),DAY(I102))&lt;AsOf,1,0),MONTH(I102),DAY(I102)))-YEAR(I102)&lt;1,"",DATE(YEAR(AsOf)+IF(DATE(YEAR(AsOf),MONTH(I102),DAY(I102))&lt;AsOf,1,0),MONTH(I102),DAY(I102))-AsOf))</f>
        <v/>
      </c>
      <c r="AU102" s="43" t="str">
        <f aca="false">IF(B102="","",IF(AV102="",0,LEN(AV102)-LEN(SUBSTITUTE(AV102,";",""))))</f>
        <v/>
      </c>
      <c r="AV102" s="9" t="str">
        <f aca="false">IF(B102="","",IF(COUNTIF($B$6:$B$505,B102)&gt;1,"Duplicate Emp Code; ","")&amp;IF(C102="","Name missing; ","")&amp;IF(I102="","DOJ missing; ","")&amp;IF(AND(J102&lt;&gt;"",I102&lt;&gt;"",J102&lt;I102),"Exit before DOJ; ","")&amp;IF(Q102="","DOB missing; ","")&amp;IF(T102="","Aadhaar missing; ",IF(LEN(T102)&lt;&gt;12,"Aadhaar not 12 digits; ",IF(COUNTIF($T$6:$T$505,T102)&gt;1,"Duplicate Aadhaar; ","")))&amp;IF(U102="","PAN missing; ",IF(LEN(U102)&lt;&gt;10,"PAN not 10 chars; ",""))&amp;IF(V102="","Mobile missing; ",IF(LEN(V102)&lt;&gt;10,"Mobile not 10 digits; ",""))&amp;IF(AG102="","Bank A/c missing; ","")&amp;IF(AH102="","IFSC missing; ",IF(LEN(AH102)&lt;&gt;11,"IFSC not 11 chars; ","")))</f>
        <v/>
      </c>
      <c r="AW102" s="46" t="str">
        <f aca="false">IF(AS102="","",AS102+ROW()/100000)</f>
        <v/>
      </c>
      <c r="AX102" s="46" t="str">
        <f aca="false">IF(AT102="","",AT102+ROW()/100000)</f>
        <v/>
      </c>
    </row>
    <row r="103" customFormat="false" ht="15" hidden="false" customHeight="false" outlineLevel="0" collapsed="false">
      <c r="A103" s="9" t="str">
        <f aca="false">IF(B103="","",ROW()-5)</f>
        <v/>
      </c>
      <c r="B103" s="40"/>
      <c r="C103" s="8"/>
      <c r="D103" s="9" t="str">
        <f aca="false">IF(B103="","",IF(J103="","Active","Exited"))</f>
        <v/>
      </c>
      <c r="E103" s="8"/>
      <c r="F103" s="8"/>
      <c r="G103" s="8"/>
      <c r="H103" s="9" t="str">
        <f aca="false">IF(OR(B103="",I103=""),"",IF(IF(J103="",AsOf,J103)-I103&gt;=Settings!$C$13,"Permanent","Probation"))</f>
        <v/>
      </c>
      <c r="I103" s="41"/>
      <c r="J103" s="41"/>
      <c r="K103" s="8"/>
      <c r="L103" s="42" t="str">
        <f aca="false">IF(OR(B103="",I103=""),"",ROUND((IF(J103="",AsOf,J103)-I103)/365.25,1))</f>
        <v/>
      </c>
      <c r="M103" s="8"/>
      <c r="N103" s="8"/>
      <c r="O103" s="8"/>
      <c r="P103" s="8"/>
      <c r="Q103" s="41"/>
      <c r="R103" s="43" t="str">
        <f aca="false">IF(OR(B103="",Q103=""),"",INT((AsOf-Q103)/365.25))</f>
        <v/>
      </c>
      <c r="S103" s="8"/>
      <c r="T103" s="40"/>
      <c r="U103" s="40"/>
      <c r="V103" s="40"/>
      <c r="W103" s="40"/>
      <c r="X103" s="8"/>
      <c r="Y103" s="8"/>
      <c r="Z103" s="8"/>
      <c r="AA103" s="8"/>
      <c r="AB103" s="8"/>
      <c r="AC103" s="8"/>
      <c r="AD103" s="8"/>
      <c r="AE103" s="40"/>
      <c r="AF103" s="8"/>
      <c r="AG103" s="40"/>
      <c r="AH103" s="40"/>
      <c r="AI103" s="8"/>
      <c r="AJ103" s="40"/>
      <c r="AK103" s="40"/>
      <c r="AL103" s="40"/>
      <c r="AM103" s="44"/>
      <c r="AN103" s="44"/>
      <c r="AO103" s="41"/>
      <c r="AP103" s="45" t="str">
        <f aca="false">IF(B103="","",IF(AND(ISNUMBER(AM103),ISNUMBER(AN103),AM103&gt;0,AN103&gt;0),AN103/AM103-1,""))</f>
        <v/>
      </c>
      <c r="AQ103" s="9" t="str">
        <f aca="false">IF(I103="","",(YEAR(I103)-IF(MONTH(I103)&lt;4,1,0))&amp;"-"&amp;RIGHT((YEAR(I103)-IF(MONTH(I103)&lt;4,1,0))+1,2))</f>
        <v/>
      </c>
      <c r="AR103" s="9" t="str">
        <f aca="false">IF(J103="","",(YEAR(J103)-IF(MONTH(J103)&lt;4,1,0))&amp;"-"&amp;RIGHT((YEAR(J103)-IF(MONTH(J103)&lt;4,1,0))+1,2))</f>
        <v/>
      </c>
      <c r="AS103" s="43" t="str">
        <f aca="false">IF(OR(B103="",Q103="",D103&lt;&gt;"Active"),"",DATE(YEAR(AsOf)+IF(DATE(YEAR(AsOf),MONTH(Q103),DAY(Q103))&lt;AsOf,1,0),MONTH(Q103),DAY(Q103))-AsOf)</f>
        <v/>
      </c>
      <c r="AT103" s="43" t="str">
        <f aca="false">IF(OR(B103="",I103="",D103&lt;&gt;"Active"),"",IF(YEAR(DATE(YEAR(AsOf)+IF(DATE(YEAR(AsOf),MONTH(I103),DAY(I103))&lt;AsOf,1,0),MONTH(I103),DAY(I103)))-YEAR(I103)&lt;1,"",DATE(YEAR(AsOf)+IF(DATE(YEAR(AsOf),MONTH(I103),DAY(I103))&lt;AsOf,1,0),MONTH(I103),DAY(I103))-AsOf))</f>
        <v/>
      </c>
      <c r="AU103" s="43" t="str">
        <f aca="false">IF(B103="","",IF(AV103="",0,LEN(AV103)-LEN(SUBSTITUTE(AV103,";",""))))</f>
        <v/>
      </c>
      <c r="AV103" s="9" t="str">
        <f aca="false">IF(B103="","",IF(COUNTIF($B$6:$B$505,B103)&gt;1,"Duplicate Emp Code; ","")&amp;IF(C103="","Name missing; ","")&amp;IF(I103="","DOJ missing; ","")&amp;IF(AND(J103&lt;&gt;"",I103&lt;&gt;"",J103&lt;I103),"Exit before DOJ; ","")&amp;IF(Q103="","DOB missing; ","")&amp;IF(T103="","Aadhaar missing; ",IF(LEN(T103)&lt;&gt;12,"Aadhaar not 12 digits; ",IF(COUNTIF($T$6:$T$505,T103)&gt;1,"Duplicate Aadhaar; ","")))&amp;IF(U103="","PAN missing; ",IF(LEN(U103)&lt;&gt;10,"PAN not 10 chars; ",""))&amp;IF(V103="","Mobile missing; ",IF(LEN(V103)&lt;&gt;10,"Mobile not 10 digits; ",""))&amp;IF(AG103="","Bank A/c missing; ","")&amp;IF(AH103="","IFSC missing; ",IF(LEN(AH103)&lt;&gt;11,"IFSC not 11 chars; ","")))</f>
        <v/>
      </c>
      <c r="AW103" s="46" t="str">
        <f aca="false">IF(AS103="","",AS103+ROW()/100000)</f>
        <v/>
      </c>
      <c r="AX103" s="46" t="str">
        <f aca="false">IF(AT103="","",AT103+ROW()/100000)</f>
        <v/>
      </c>
    </row>
    <row r="104" customFormat="false" ht="15" hidden="false" customHeight="false" outlineLevel="0" collapsed="false">
      <c r="A104" s="9" t="str">
        <f aca="false">IF(B104="","",ROW()-5)</f>
        <v/>
      </c>
      <c r="B104" s="40"/>
      <c r="C104" s="8"/>
      <c r="D104" s="9" t="str">
        <f aca="false">IF(B104="","",IF(J104="","Active","Exited"))</f>
        <v/>
      </c>
      <c r="E104" s="8"/>
      <c r="F104" s="8"/>
      <c r="G104" s="8"/>
      <c r="H104" s="9" t="str">
        <f aca="false">IF(OR(B104="",I104=""),"",IF(IF(J104="",AsOf,J104)-I104&gt;=Settings!$C$13,"Permanent","Probation"))</f>
        <v/>
      </c>
      <c r="I104" s="41"/>
      <c r="J104" s="41"/>
      <c r="K104" s="8"/>
      <c r="L104" s="42" t="str">
        <f aca="false">IF(OR(B104="",I104=""),"",ROUND((IF(J104="",AsOf,J104)-I104)/365.25,1))</f>
        <v/>
      </c>
      <c r="M104" s="8"/>
      <c r="N104" s="8"/>
      <c r="O104" s="8"/>
      <c r="P104" s="8"/>
      <c r="Q104" s="41"/>
      <c r="R104" s="43" t="str">
        <f aca="false">IF(OR(B104="",Q104=""),"",INT((AsOf-Q104)/365.25))</f>
        <v/>
      </c>
      <c r="S104" s="8"/>
      <c r="T104" s="40"/>
      <c r="U104" s="40"/>
      <c r="V104" s="40"/>
      <c r="W104" s="40"/>
      <c r="X104" s="8"/>
      <c r="Y104" s="8"/>
      <c r="Z104" s="8"/>
      <c r="AA104" s="8"/>
      <c r="AB104" s="8"/>
      <c r="AC104" s="8"/>
      <c r="AD104" s="8"/>
      <c r="AE104" s="40"/>
      <c r="AF104" s="8"/>
      <c r="AG104" s="40"/>
      <c r="AH104" s="40"/>
      <c r="AI104" s="8"/>
      <c r="AJ104" s="40"/>
      <c r="AK104" s="40"/>
      <c r="AL104" s="40"/>
      <c r="AM104" s="44"/>
      <c r="AN104" s="44"/>
      <c r="AO104" s="41"/>
      <c r="AP104" s="45" t="str">
        <f aca="false">IF(B104="","",IF(AND(ISNUMBER(AM104),ISNUMBER(AN104),AM104&gt;0,AN104&gt;0),AN104/AM104-1,""))</f>
        <v/>
      </c>
      <c r="AQ104" s="9" t="str">
        <f aca="false">IF(I104="","",(YEAR(I104)-IF(MONTH(I104)&lt;4,1,0))&amp;"-"&amp;RIGHT((YEAR(I104)-IF(MONTH(I104)&lt;4,1,0))+1,2))</f>
        <v/>
      </c>
      <c r="AR104" s="9" t="str">
        <f aca="false">IF(J104="","",(YEAR(J104)-IF(MONTH(J104)&lt;4,1,0))&amp;"-"&amp;RIGHT((YEAR(J104)-IF(MONTH(J104)&lt;4,1,0))+1,2))</f>
        <v/>
      </c>
      <c r="AS104" s="43" t="str">
        <f aca="false">IF(OR(B104="",Q104="",D104&lt;&gt;"Active"),"",DATE(YEAR(AsOf)+IF(DATE(YEAR(AsOf),MONTH(Q104),DAY(Q104))&lt;AsOf,1,0),MONTH(Q104),DAY(Q104))-AsOf)</f>
        <v/>
      </c>
      <c r="AT104" s="43" t="str">
        <f aca="false">IF(OR(B104="",I104="",D104&lt;&gt;"Active"),"",IF(YEAR(DATE(YEAR(AsOf)+IF(DATE(YEAR(AsOf),MONTH(I104),DAY(I104))&lt;AsOf,1,0),MONTH(I104),DAY(I104)))-YEAR(I104)&lt;1,"",DATE(YEAR(AsOf)+IF(DATE(YEAR(AsOf),MONTH(I104),DAY(I104))&lt;AsOf,1,0),MONTH(I104),DAY(I104))-AsOf))</f>
        <v/>
      </c>
      <c r="AU104" s="43" t="str">
        <f aca="false">IF(B104="","",IF(AV104="",0,LEN(AV104)-LEN(SUBSTITUTE(AV104,";",""))))</f>
        <v/>
      </c>
      <c r="AV104" s="9" t="str">
        <f aca="false">IF(B104="","",IF(COUNTIF($B$6:$B$505,B104)&gt;1,"Duplicate Emp Code; ","")&amp;IF(C104="","Name missing; ","")&amp;IF(I104="","DOJ missing; ","")&amp;IF(AND(J104&lt;&gt;"",I104&lt;&gt;"",J104&lt;I104),"Exit before DOJ; ","")&amp;IF(Q104="","DOB missing; ","")&amp;IF(T104="","Aadhaar missing; ",IF(LEN(T104)&lt;&gt;12,"Aadhaar not 12 digits; ",IF(COUNTIF($T$6:$T$505,T104)&gt;1,"Duplicate Aadhaar; ","")))&amp;IF(U104="","PAN missing; ",IF(LEN(U104)&lt;&gt;10,"PAN not 10 chars; ",""))&amp;IF(V104="","Mobile missing; ",IF(LEN(V104)&lt;&gt;10,"Mobile not 10 digits; ",""))&amp;IF(AG104="","Bank A/c missing; ","")&amp;IF(AH104="","IFSC missing; ",IF(LEN(AH104)&lt;&gt;11,"IFSC not 11 chars; ","")))</f>
        <v/>
      </c>
      <c r="AW104" s="46" t="str">
        <f aca="false">IF(AS104="","",AS104+ROW()/100000)</f>
        <v/>
      </c>
      <c r="AX104" s="46" t="str">
        <f aca="false">IF(AT104="","",AT104+ROW()/100000)</f>
        <v/>
      </c>
    </row>
    <row r="105" customFormat="false" ht="15" hidden="false" customHeight="false" outlineLevel="0" collapsed="false">
      <c r="A105" s="9" t="str">
        <f aca="false">IF(B105="","",ROW()-5)</f>
        <v/>
      </c>
      <c r="B105" s="40"/>
      <c r="C105" s="8"/>
      <c r="D105" s="9" t="str">
        <f aca="false">IF(B105="","",IF(J105="","Active","Exited"))</f>
        <v/>
      </c>
      <c r="E105" s="8"/>
      <c r="F105" s="8"/>
      <c r="G105" s="8"/>
      <c r="H105" s="9" t="str">
        <f aca="false">IF(OR(B105="",I105=""),"",IF(IF(J105="",AsOf,J105)-I105&gt;=Settings!$C$13,"Permanent","Probation"))</f>
        <v/>
      </c>
      <c r="I105" s="41"/>
      <c r="J105" s="41"/>
      <c r="K105" s="8"/>
      <c r="L105" s="42" t="str">
        <f aca="false">IF(OR(B105="",I105=""),"",ROUND((IF(J105="",AsOf,J105)-I105)/365.25,1))</f>
        <v/>
      </c>
      <c r="M105" s="8"/>
      <c r="N105" s="8"/>
      <c r="O105" s="8"/>
      <c r="P105" s="8"/>
      <c r="Q105" s="41"/>
      <c r="R105" s="43" t="str">
        <f aca="false">IF(OR(B105="",Q105=""),"",INT((AsOf-Q105)/365.25))</f>
        <v/>
      </c>
      <c r="S105" s="8"/>
      <c r="T105" s="40"/>
      <c r="U105" s="40"/>
      <c r="V105" s="40"/>
      <c r="W105" s="40"/>
      <c r="X105" s="8"/>
      <c r="Y105" s="8"/>
      <c r="Z105" s="8"/>
      <c r="AA105" s="8"/>
      <c r="AB105" s="8"/>
      <c r="AC105" s="8"/>
      <c r="AD105" s="8"/>
      <c r="AE105" s="40"/>
      <c r="AF105" s="8"/>
      <c r="AG105" s="40"/>
      <c r="AH105" s="40"/>
      <c r="AI105" s="8"/>
      <c r="AJ105" s="40"/>
      <c r="AK105" s="40"/>
      <c r="AL105" s="40"/>
      <c r="AM105" s="44"/>
      <c r="AN105" s="44"/>
      <c r="AO105" s="41"/>
      <c r="AP105" s="45" t="str">
        <f aca="false">IF(B105="","",IF(AND(ISNUMBER(AM105),ISNUMBER(AN105),AM105&gt;0,AN105&gt;0),AN105/AM105-1,""))</f>
        <v/>
      </c>
      <c r="AQ105" s="9" t="str">
        <f aca="false">IF(I105="","",(YEAR(I105)-IF(MONTH(I105)&lt;4,1,0))&amp;"-"&amp;RIGHT((YEAR(I105)-IF(MONTH(I105)&lt;4,1,0))+1,2))</f>
        <v/>
      </c>
      <c r="AR105" s="9" t="str">
        <f aca="false">IF(J105="","",(YEAR(J105)-IF(MONTH(J105)&lt;4,1,0))&amp;"-"&amp;RIGHT((YEAR(J105)-IF(MONTH(J105)&lt;4,1,0))+1,2))</f>
        <v/>
      </c>
      <c r="AS105" s="43" t="str">
        <f aca="false">IF(OR(B105="",Q105="",D105&lt;&gt;"Active"),"",DATE(YEAR(AsOf)+IF(DATE(YEAR(AsOf),MONTH(Q105),DAY(Q105))&lt;AsOf,1,0),MONTH(Q105),DAY(Q105))-AsOf)</f>
        <v/>
      </c>
      <c r="AT105" s="43" t="str">
        <f aca="false">IF(OR(B105="",I105="",D105&lt;&gt;"Active"),"",IF(YEAR(DATE(YEAR(AsOf)+IF(DATE(YEAR(AsOf),MONTH(I105),DAY(I105))&lt;AsOf,1,0),MONTH(I105),DAY(I105)))-YEAR(I105)&lt;1,"",DATE(YEAR(AsOf)+IF(DATE(YEAR(AsOf),MONTH(I105),DAY(I105))&lt;AsOf,1,0),MONTH(I105),DAY(I105))-AsOf))</f>
        <v/>
      </c>
      <c r="AU105" s="43" t="str">
        <f aca="false">IF(B105="","",IF(AV105="",0,LEN(AV105)-LEN(SUBSTITUTE(AV105,";",""))))</f>
        <v/>
      </c>
      <c r="AV105" s="9" t="str">
        <f aca="false">IF(B105="","",IF(COUNTIF($B$6:$B$505,B105)&gt;1,"Duplicate Emp Code; ","")&amp;IF(C105="","Name missing; ","")&amp;IF(I105="","DOJ missing; ","")&amp;IF(AND(J105&lt;&gt;"",I105&lt;&gt;"",J105&lt;I105),"Exit before DOJ; ","")&amp;IF(Q105="","DOB missing; ","")&amp;IF(T105="","Aadhaar missing; ",IF(LEN(T105)&lt;&gt;12,"Aadhaar not 12 digits; ",IF(COUNTIF($T$6:$T$505,T105)&gt;1,"Duplicate Aadhaar; ","")))&amp;IF(U105="","PAN missing; ",IF(LEN(U105)&lt;&gt;10,"PAN not 10 chars; ",""))&amp;IF(V105="","Mobile missing; ",IF(LEN(V105)&lt;&gt;10,"Mobile not 10 digits; ",""))&amp;IF(AG105="","Bank A/c missing; ","")&amp;IF(AH105="","IFSC missing; ",IF(LEN(AH105)&lt;&gt;11,"IFSC not 11 chars; ","")))</f>
        <v/>
      </c>
      <c r="AW105" s="46" t="str">
        <f aca="false">IF(AS105="","",AS105+ROW()/100000)</f>
        <v/>
      </c>
      <c r="AX105" s="46" t="str">
        <f aca="false">IF(AT105="","",AT105+ROW()/100000)</f>
        <v/>
      </c>
    </row>
    <row r="106" customFormat="false" ht="15" hidden="false" customHeight="false" outlineLevel="0" collapsed="false">
      <c r="A106" s="9" t="str">
        <f aca="false">IF(B106="","",ROW()-5)</f>
        <v/>
      </c>
      <c r="B106" s="40"/>
      <c r="C106" s="8"/>
      <c r="D106" s="9" t="str">
        <f aca="false">IF(B106="","",IF(J106="","Active","Exited"))</f>
        <v/>
      </c>
      <c r="E106" s="8"/>
      <c r="F106" s="8"/>
      <c r="G106" s="8"/>
      <c r="H106" s="9" t="str">
        <f aca="false">IF(OR(B106="",I106=""),"",IF(IF(J106="",AsOf,J106)-I106&gt;=Settings!$C$13,"Permanent","Probation"))</f>
        <v/>
      </c>
      <c r="I106" s="41"/>
      <c r="J106" s="41"/>
      <c r="K106" s="8"/>
      <c r="L106" s="42" t="str">
        <f aca="false">IF(OR(B106="",I106=""),"",ROUND((IF(J106="",AsOf,J106)-I106)/365.25,1))</f>
        <v/>
      </c>
      <c r="M106" s="8"/>
      <c r="N106" s="8"/>
      <c r="O106" s="8"/>
      <c r="P106" s="8"/>
      <c r="Q106" s="41"/>
      <c r="R106" s="43" t="str">
        <f aca="false">IF(OR(B106="",Q106=""),"",INT((AsOf-Q106)/365.25))</f>
        <v/>
      </c>
      <c r="S106" s="8"/>
      <c r="T106" s="40"/>
      <c r="U106" s="40"/>
      <c r="V106" s="40"/>
      <c r="W106" s="40"/>
      <c r="X106" s="8"/>
      <c r="Y106" s="8"/>
      <c r="Z106" s="8"/>
      <c r="AA106" s="8"/>
      <c r="AB106" s="8"/>
      <c r="AC106" s="8"/>
      <c r="AD106" s="8"/>
      <c r="AE106" s="40"/>
      <c r="AF106" s="8"/>
      <c r="AG106" s="40"/>
      <c r="AH106" s="40"/>
      <c r="AI106" s="8"/>
      <c r="AJ106" s="40"/>
      <c r="AK106" s="40"/>
      <c r="AL106" s="40"/>
      <c r="AM106" s="44"/>
      <c r="AN106" s="44"/>
      <c r="AO106" s="41"/>
      <c r="AP106" s="45" t="str">
        <f aca="false">IF(B106="","",IF(AND(ISNUMBER(AM106),ISNUMBER(AN106),AM106&gt;0,AN106&gt;0),AN106/AM106-1,""))</f>
        <v/>
      </c>
      <c r="AQ106" s="9" t="str">
        <f aca="false">IF(I106="","",(YEAR(I106)-IF(MONTH(I106)&lt;4,1,0))&amp;"-"&amp;RIGHT((YEAR(I106)-IF(MONTH(I106)&lt;4,1,0))+1,2))</f>
        <v/>
      </c>
      <c r="AR106" s="9" t="str">
        <f aca="false">IF(J106="","",(YEAR(J106)-IF(MONTH(J106)&lt;4,1,0))&amp;"-"&amp;RIGHT((YEAR(J106)-IF(MONTH(J106)&lt;4,1,0))+1,2))</f>
        <v/>
      </c>
      <c r="AS106" s="43" t="str">
        <f aca="false">IF(OR(B106="",Q106="",D106&lt;&gt;"Active"),"",DATE(YEAR(AsOf)+IF(DATE(YEAR(AsOf),MONTH(Q106),DAY(Q106))&lt;AsOf,1,0),MONTH(Q106),DAY(Q106))-AsOf)</f>
        <v/>
      </c>
      <c r="AT106" s="43" t="str">
        <f aca="false">IF(OR(B106="",I106="",D106&lt;&gt;"Active"),"",IF(YEAR(DATE(YEAR(AsOf)+IF(DATE(YEAR(AsOf),MONTH(I106),DAY(I106))&lt;AsOf,1,0),MONTH(I106),DAY(I106)))-YEAR(I106)&lt;1,"",DATE(YEAR(AsOf)+IF(DATE(YEAR(AsOf),MONTH(I106),DAY(I106))&lt;AsOf,1,0),MONTH(I106),DAY(I106))-AsOf))</f>
        <v/>
      </c>
      <c r="AU106" s="43" t="str">
        <f aca="false">IF(B106="","",IF(AV106="",0,LEN(AV106)-LEN(SUBSTITUTE(AV106,";",""))))</f>
        <v/>
      </c>
      <c r="AV106" s="9" t="str">
        <f aca="false">IF(B106="","",IF(COUNTIF($B$6:$B$505,B106)&gt;1,"Duplicate Emp Code; ","")&amp;IF(C106="","Name missing; ","")&amp;IF(I106="","DOJ missing; ","")&amp;IF(AND(J106&lt;&gt;"",I106&lt;&gt;"",J106&lt;I106),"Exit before DOJ; ","")&amp;IF(Q106="","DOB missing; ","")&amp;IF(T106="","Aadhaar missing; ",IF(LEN(T106)&lt;&gt;12,"Aadhaar not 12 digits; ",IF(COUNTIF($T$6:$T$505,T106)&gt;1,"Duplicate Aadhaar; ","")))&amp;IF(U106="","PAN missing; ",IF(LEN(U106)&lt;&gt;10,"PAN not 10 chars; ",""))&amp;IF(V106="","Mobile missing; ",IF(LEN(V106)&lt;&gt;10,"Mobile not 10 digits; ",""))&amp;IF(AG106="","Bank A/c missing; ","")&amp;IF(AH106="","IFSC missing; ",IF(LEN(AH106)&lt;&gt;11,"IFSC not 11 chars; ","")))</f>
        <v/>
      </c>
      <c r="AW106" s="46" t="str">
        <f aca="false">IF(AS106="","",AS106+ROW()/100000)</f>
        <v/>
      </c>
      <c r="AX106" s="46" t="str">
        <f aca="false">IF(AT106="","",AT106+ROW()/100000)</f>
        <v/>
      </c>
    </row>
    <row r="107" customFormat="false" ht="15" hidden="false" customHeight="false" outlineLevel="0" collapsed="false">
      <c r="A107" s="9" t="str">
        <f aca="false">IF(B107="","",ROW()-5)</f>
        <v/>
      </c>
      <c r="B107" s="40"/>
      <c r="C107" s="8"/>
      <c r="D107" s="9" t="str">
        <f aca="false">IF(B107="","",IF(J107="","Active","Exited"))</f>
        <v/>
      </c>
      <c r="E107" s="8"/>
      <c r="F107" s="8"/>
      <c r="G107" s="8"/>
      <c r="H107" s="9" t="str">
        <f aca="false">IF(OR(B107="",I107=""),"",IF(IF(J107="",AsOf,J107)-I107&gt;=Settings!$C$13,"Permanent","Probation"))</f>
        <v/>
      </c>
      <c r="I107" s="41"/>
      <c r="J107" s="41"/>
      <c r="K107" s="8"/>
      <c r="L107" s="42" t="str">
        <f aca="false">IF(OR(B107="",I107=""),"",ROUND((IF(J107="",AsOf,J107)-I107)/365.25,1))</f>
        <v/>
      </c>
      <c r="M107" s="8"/>
      <c r="N107" s="8"/>
      <c r="O107" s="8"/>
      <c r="P107" s="8"/>
      <c r="Q107" s="41"/>
      <c r="R107" s="43" t="str">
        <f aca="false">IF(OR(B107="",Q107=""),"",INT((AsOf-Q107)/365.25))</f>
        <v/>
      </c>
      <c r="S107" s="8"/>
      <c r="T107" s="40"/>
      <c r="U107" s="40"/>
      <c r="V107" s="40"/>
      <c r="W107" s="40"/>
      <c r="X107" s="8"/>
      <c r="Y107" s="8"/>
      <c r="Z107" s="8"/>
      <c r="AA107" s="8"/>
      <c r="AB107" s="8"/>
      <c r="AC107" s="8"/>
      <c r="AD107" s="8"/>
      <c r="AE107" s="40"/>
      <c r="AF107" s="8"/>
      <c r="AG107" s="40"/>
      <c r="AH107" s="40"/>
      <c r="AI107" s="8"/>
      <c r="AJ107" s="40"/>
      <c r="AK107" s="40"/>
      <c r="AL107" s="40"/>
      <c r="AM107" s="44"/>
      <c r="AN107" s="44"/>
      <c r="AO107" s="41"/>
      <c r="AP107" s="45" t="str">
        <f aca="false">IF(B107="","",IF(AND(ISNUMBER(AM107),ISNUMBER(AN107),AM107&gt;0,AN107&gt;0),AN107/AM107-1,""))</f>
        <v/>
      </c>
      <c r="AQ107" s="9" t="str">
        <f aca="false">IF(I107="","",(YEAR(I107)-IF(MONTH(I107)&lt;4,1,0))&amp;"-"&amp;RIGHT((YEAR(I107)-IF(MONTH(I107)&lt;4,1,0))+1,2))</f>
        <v/>
      </c>
      <c r="AR107" s="9" t="str">
        <f aca="false">IF(J107="","",(YEAR(J107)-IF(MONTH(J107)&lt;4,1,0))&amp;"-"&amp;RIGHT((YEAR(J107)-IF(MONTH(J107)&lt;4,1,0))+1,2))</f>
        <v/>
      </c>
      <c r="AS107" s="43" t="str">
        <f aca="false">IF(OR(B107="",Q107="",D107&lt;&gt;"Active"),"",DATE(YEAR(AsOf)+IF(DATE(YEAR(AsOf),MONTH(Q107),DAY(Q107))&lt;AsOf,1,0),MONTH(Q107),DAY(Q107))-AsOf)</f>
        <v/>
      </c>
      <c r="AT107" s="43" t="str">
        <f aca="false">IF(OR(B107="",I107="",D107&lt;&gt;"Active"),"",IF(YEAR(DATE(YEAR(AsOf)+IF(DATE(YEAR(AsOf),MONTH(I107),DAY(I107))&lt;AsOf,1,0),MONTH(I107),DAY(I107)))-YEAR(I107)&lt;1,"",DATE(YEAR(AsOf)+IF(DATE(YEAR(AsOf),MONTH(I107),DAY(I107))&lt;AsOf,1,0),MONTH(I107),DAY(I107))-AsOf))</f>
        <v/>
      </c>
      <c r="AU107" s="43" t="str">
        <f aca="false">IF(B107="","",IF(AV107="",0,LEN(AV107)-LEN(SUBSTITUTE(AV107,";",""))))</f>
        <v/>
      </c>
      <c r="AV107" s="9" t="str">
        <f aca="false">IF(B107="","",IF(COUNTIF($B$6:$B$505,B107)&gt;1,"Duplicate Emp Code; ","")&amp;IF(C107="","Name missing; ","")&amp;IF(I107="","DOJ missing; ","")&amp;IF(AND(J107&lt;&gt;"",I107&lt;&gt;"",J107&lt;I107),"Exit before DOJ; ","")&amp;IF(Q107="","DOB missing; ","")&amp;IF(T107="","Aadhaar missing; ",IF(LEN(T107)&lt;&gt;12,"Aadhaar not 12 digits; ",IF(COUNTIF($T$6:$T$505,T107)&gt;1,"Duplicate Aadhaar; ","")))&amp;IF(U107="","PAN missing; ",IF(LEN(U107)&lt;&gt;10,"PAN not 10 chars; ",""))&amp;IF(V107="","Mobile missing; ",IF(LEN(V107)&lt;&gt;10,"Mobile not 10 digits; ",""))&amp;IF(AG107="","Bank A/c missing; ","")&amp;IF(AH107="","IFSC missing; ",IF(LEN(AH107)&lt;&gt;11,"IFSC not 11 chars; ","")))</f>
        <v/>
      </c>
      <c r="AW107" s="46" t="str">
        <f aca="false">IF(AS107="","",AS107+ROW()/100000)</f>
        <v/>
      </c>
      <c r="AX107" s="46" t="str">
        <f aca="false">IF(AT107="","",AT107+ROW()/100000)</f>
        <v/>
      </c>
    </row>
    <row r="108" customFormat="false" ht="15" hidden="false" customHeight="false" outlineLevel="0" collapsed="false">
      <c r="A108" s="9" t="str">
        <f aca="false">IF(B108="","",ROW()-5)</f>
        <v/>
      </c>
      <c r="B108" s="40"/>
      <c r="C108" s="8"/>
      <c r="D108" s="9" t="str">
        <f aca="false">IF(B108="","",IF(J108="","Active","Exited"))</f>
        <v/>
      </c>
      <c r="E108" s="8"/>
      <c r="F108" s="8"/>
      <c r="G108" s="8"/>
      <c r="H108" s="9" t="str">
        <f aca="false">IF(OR(B108="",I108=""),"",IF(IF(J108="",AsOf,J108)-I108&gt;=Settings!$C$13,"Permanent","Probation"))</f>
        <v/>
      </c>
      <c r="I108" s="41"/>
      <c r="J108" s="41"/>
      <c r="K108" s="8"/>
      <c r="L108" s="42" t="str">
        <f aca="false">IF(OR(B108="",I108=""),"",ROUND((IF(J108="",AsOf,J108)-I108)/365.25,1))</f>
        <v/>
      </c>
      <c r="M108" s="8"/>
      <c r="N108" s="8"/>
      <c r="O108" s="8"/>
      <c r="P108" s="8"/>
      <c r="Q108" s="41"/>
      <c r="R108" s="43" t="str">
        <f aca="false">IF(OR(B108="",Q108=""),"",INT((AsOf-Q108)/365.25))</f>
        <v/>
      </c>
      <c r="S108" s="8"/>
      <c r="T108" s="40"/>
      <c r="U108" s="40"/>
      <c r="V108" s="40"/>
      <c r="W108" s="40"/>
      <c r="X108" s="8"/>
      <c r="Y108" s="8"/>
      <c r="Z108" s="8"/>
      <c r="AA108" s="8"/>
      <c r="AB108" s="8"/>
      <c r="AC108" s="8"/>
      <c r="AD108" s="8"/>
      <c r="AE108" s="40"/>
      <c r="AF108" s="8"/>
      <c r="AG108" s="40"/>
      <c r="AH108" s="40"/>
      <c r="AI108" s="8"/>
      <c r="AJ108" s="40"/>
      <c r="AK108" s="40"/>
      <c r="AL108" s="40"/>
      <c r="AM108" s="44"/>
      <c r="AN108" s="44"/>
      <c r="AO108" s="41"/>
      <c r="AP108" s="45" t="str">
        <f aca="false">IF(B108="","",IF(AND(ISNUMBER(AM108),ISNUMBER(AN108),AM108&gt;0,AN108&gt;0),AN108/AM108-1,""))</f>
        <v/>
      </c>
      <c r="AQ108" s="9" t="str">
        <f aca="false">IF(I108="","",(YEAR(I108)-IF(MONTH(I108)&lt;4,1,0))&amp;"-"&amp;RIGHT((YEAR(I108)-IF(MONTH(I108)&lt;4,1,0))+1,2))</f>
        <v/>
      </c>
      <c r="AR108" s="9" t="str">
        <f aca="false">IF(J108="","",(YEAR(J108)-IF(MONTH(J108)&lt;4,1,0))&amp;"-"&amp;RIGHT((YEAR(J108)-IF(MONTH(J108)&lt;4,1,0))+1,2))</f>
        <v/>
      </c>
      <c r="AS108" s="43" t="str">
        <f aca="false">IF(OR(B108="",Q108="",D108&lt;&gt;"Active"),"",DATE(YEAR(AsOf)+IF(DATE(YEAR(AsOf),MONTH(Q108),DAY(Q108))&lt;AsOf,1,0),MONTH(Q108),DAY(Q108))-AsOf)</f>
        <v/>
      </c>
      <c r="AT108" s="43" t="str">
        <f aca="false">IF(OR(B108="",I108="",D108&lt;&gt;"Active"),"",IF(YEAR(DATE(YEAR(AsOf)+IF(DATE(YEAR(AsOf),MONTH(I108),DAY(I108))&lt;AsOf,1,0),MONTH(I108),DAY(I108)))-YEAR(I108)&lt;1,"",DATE(YEAR(AsOf)+IF(DATE(YEAR(AsOf),MONTH(I108),DAY(I108))&lt;AsOf,1,0),MONTH(I108),DAY(I108))-AsOf))</f>
        <v/>
      </c>
      <c r="AU108" s="43" t="str">
        <f aca="false">IF(B108="","",IF(AV108="",0,LEN(AV108)-LEN(SUBSTITUTE(AV108,";",""))))</f>
        <v/>
      </c>
      <c r="AV108" s="9" t="str">
        <f aca="false">IF(B108="","",IF(COUNTIF($B$6:$B$505,B108)&gt;1,"Duplicate Emp Code; ","")&amp;IF(C108="","Name missing; ","")&amp;IF(I108="","DOJ missing; ","")&amp;IF(AND(J108&lt;&gt;"",I108&lt;&gt;"",J108&lt;I108),"Exit before DOJ; ","")&amp;IF(Q108="","DOB missing; ","")&amp;IF(T108="","Aadhaar missing; ",IF(LEN(T108)&lt;&gt;12,"Aadhaar not 12 digits; ",IF(COUNTIF($T$6:$T$505,T108)&gt;1,"Duplicate Aadhaar; ","")))&amp;IF(U108="","PAN missing; ",IF(LEN(U108)&lt;&gt;10,"PAN not 10 chars; ",""))&amp;IF(V108="","Mobile missing; ",IF(LEN(V108)&lt;&gt;10,"Mobile not 10 digits; ",""))&amp;IF(AG108="","Bank A/c missing; ","")&amp;IF(AH108="","IFSC missing; ",IF(LEN(AH108)&lt;&gt;11,"IFSC not 11 chars; ","")))</f>
        <v/>
      </c>
      <c r="AW108" s="46" t="str">
        <f aca="false">IF(AS108="","",AS108+ROW()/100000)</f>
        <v/>
      </c>
      <c r="AX108" s="46" t="str">
        <f aca="false">IF(AT108="","",AT108+ROW()/100000)</f>
        <v/>
      </c>
    </row>
    <row r="109" customFormat="false" ht="15" hidden="false" customHeight="false" outlineLevel="0" collapsed="false">
      <c r="A109" s="9" t="str">
        <f aca="false">IF(B109="","",ROW()-5)</f>
        <v/>
      </c>
      <c r="B109" s="40"/>
      <c r="C109" s="8"/>
      <c r="D109" s="9" t="str">
        <f aca="false">IF(B109="","",IF(J109="","Active","Exited"))</f>
        <v/>
      </c>
      <c r="E109" s="8"/>
      <c r="F109" s="8"/>
      <c r="G109" s="8"/>
      <c r="H109" s="9" t="str">
        <f aca="false">IF(OR(B109="",I109=""),"",IF(IF(J109="",AsOf,J109)-I109&gt;=Settings!$C$13,"Permanent","Probation"))</f>
        <v/>
      </c>
      <c r="I109" s="41"/>
      <c r="J109" s="41"/>
      <c r="K109" s="8"/>
      <c r="L109" s="42" t="str">
        <f aca="false">IF(OR(B109="",I109=""),"",ROUND((IF(J109="",AsOf,J109)-I109)/365.25,1))</f>
        <v/>
      </c>
      <c r="M109" s="8"/>
      <c r="N109" s="8"/>
      <c r="O109" s="8"/>
      <c r="P109" s="8"/>
      <c r="Q109" s="41"/>
      <c r="R109" s="43" t="str">
        <f aca="false">IF(OR(B109="",Q109=""),"",INT((AsOf-Q109)/365.25))</f>
        <v/>
      </c>
      <c r="S109" s="8"/>
      <c r="T109" s="40"/>
      <c r="U109" s="40"/>
      <c r="V109" s="40"/>
      <c r="W109" s="40"/>
      <c r="X109" s="8"/>
      <c r="Y109" s="8"/>
      <c r="Z109" s="8"/>
      <c r="AA109" s="8"/>
      <c r="AB109" s="8"/>
      <c r="AC109" s="8"/>
      <c r="AD109" s="8"/>
      <c r="AE109" s="40"/>
      <c r="AF109" s="8"/>
      <c r="AG109" s="40"/>
      <c r="AH109" s="40"/>
      <c r="AI109" s="8"/>
      <c r="AJ109" s="40"/>
      <c r="AK109" s="40"/>
      <c r="AL109" s="40"/>
      <c r="AM109" s="44"/>
      <c r="AN109" s="44"/>
      <c r="AO109" s="41"/>
      <c r="AP109" s="45" t="str">
        <f aca="false">IF(B109="","",IF(AND(ISNUMBER(AM109),ISNUMBER(AN109),AM109&gt;0,AN109&gt;0),AN109/AM109-1,""))</f>
        <v/>
      </c>
      <c r="AQ109" s="9" t="str">
        <f aca="false">IF(I109="","",(YEAR(I109)-IF(MONTH(I109)&lt;4,1,0))&amp;"-"&amp;RIGHT((YEAR(I109)-IF(MONTH(I109)&lt;4,1,0))+1,2))</f>
        <v/>
      </c>
      <c r="AR109" s="9" t="str">
        <f aca="false">IF(J109="","",(YEAR(J109)-IF(MONTH(J109)&lt;4,1,0))&amp;"-"&amp;RIGHT((YEAR(J109)-IF(MONTH(J109)&lt;4,1,0))+1,2))</f>
        <v/>
      </c>
      <c r="AS109" s="43" t="str">
        <f aca="false">IF(OR(B109="",Q109="",D109&lt;&gt;"Active"),"",DATE(YEAR(AsOf)+IF(DATE(YEAR(AsOf),MONTH(Q109),DAY(Q109))&lt;AsOf,1,0),MONTH(Q109),DAY(Q109))-AsOf)</f>
        <v/>
      </c>
      <c r="AT109" s="43" t="str">
        <f aca="false">IF(OR(B109="",I109="",D109&lt;&gt;"Active"),"",IF(YEAR(DATE(YEAR(AsOf)+IF(DATE(YEAR(AsOf),MONTH(I109),DAY(I109))&lt;AsOf,1,0),MONTH(I109),DAY(I109)))-YEAR(I109)&lt;1,"",DATE(YEAR(AsOf)+IF(DATE(YEAR(AsOf),MONTH(I109),DAY(I109))&lt;AsOf,1,0),MONTH(I109),DAY(I109))-AsOf))</f>
        <v/>
      </c>
      <c r="AU109" s="43" t="str">
        <f aca="false">IF(B109="","",IF(AV109="",0,LEN(AV109)-LEN(SUBSTITUTE(AV109,";",""))))</f>
        <v/>
      </c>
      <c r="AV109" s="9" t="str">
        <f aca="false">IF(B109="","",IF(COUNTIF($B$6:$B$505,B109)&gt;1,"Duplicate Emp Code; ","")&amp;IF(C109="","Name missing; ","")&amp;IF(I109="","DOJ missing; ","")&amp;IF(AND(J109&lt;&gt;"",I109&lt;&gt;"",J109&lt;I109),"Exit before DOJ; ","")&amp;IF(Q109="","DOB missing; ","")&amp;IF(T109="","Aadhaar missing; ",IF(LEN(T109)&lt;&gt;12,"Aadhaar not 12 digits; ",IF(COUNTIF($T$6:$T$505,T109)&gt;1,"Duplicate Aadhaar; ","")))&amp;IF(U109="","PAN missing; ",IF(LEN(U109)&lt;&gt;10,"PAN not 10 chars; ",""))&amp;IF(V109="","Mobile missing; ",IF(LEN(V109)&lt;&gt;10,"Mobile not 10 digits; ",""))&amp;IF(AG109="","Bank A/c missing; ","")&amp;IF(AH109="","IFSC missing; ",IF(LEN(AH109)&lt;&gt;11,"IFSC not 11 chars; ","")))</f>
        <v/>
      </c>
      <c r="AW109" s="46" t="str">
        <f aca="false">IF(AS109="","",AS109+ROW()/100000)</f>
        <v/>
      </c>
      <c r="AX109" s="46" t="str">
        <f aca="false">IF(AT109="","",AT109+ROW()/100000)</f>
        <v/>
      </c>
    </row>
    <row r="110" customFormat="false" ht="15" hidden="false" customHeight="false" outlineLevel="0" collapsed="false">
      <c r="A110" s="9" t="str">
        <f aca="false">IF(B110="","",ROW()-5)</f>
        <v/>
      </c>
      <c r="B110" s="40"/>
      <c r="C110" s="8"/>
      <c r="D110" s="9" t="str">
        <f aca="false">IF(B110="","",IF(J110="","Active","Exited"))</f>
        <v/>
      </c>
      <c r="E110" s="8"/>
      <c r="F110" s="8"/>
      <c r="G110" s="8"/>
      <c r="H110" s="9" t="str">
        <f aca="false">IF(OR(B110="",I110=""),"",IF(IF(J110="",AsOf,J110)-I110&gt;=Settings!$C$13,"Permanent","Probation"))</f>
        <v/>
      </c>
      <c r="I110" s="41"/>
      <c r="J110" s="41"/>
      <c r="K110" s="8"/>
      <c r="L110" s="42" t="str">
        <f aca="false">IF(OR(B110="",I110=""),"",ROUND((IF(J110="",AsOf,J110)-I110)/365.25,1))</f>
        <v/>
      </c>
      <c r="M110" s="8"/>
      <c r="N110" s="8"/>
      <c r="O110" s="8"/>
      <c r="P110" s="8"/>
      <c r="Q110" s="41"/>
      <c r="R110" s="43" t="str">
        <f aca="false">IF(OR(B110="",Q110=""),"",INT((AsOf-Q110)/365.25))</f>
        <v/>
      </c>
      <c r="S110" s="8"/>
      <c r="T110" s="40"/>
      <c r="U110" s="40"/>
      <c r="V110" s="40"/>
      <c r="W110" s="40"/>
      <c r="X110" s="8"/>
      <c r="Y110" s="8"/>
      <c r="Z110" s="8"/>
      <c r="AA110" s="8"/>
      <c r="AB110" s="8"/>
      <c r="AC110" s="8"/>
      <c r="AD110" s="8"/>
      <c r="AE110" s="40"/>
      <c r="AF110" s="8"/>
      <c r="AG110" s="40"/>
      <c r="AH110" s="40"/>
      <c r="AI110" s="8"/>
      <c r="AJ110" s="40"/>
      <c r="AK110" s="40"/>
      <c r="AL110" s="40"/>
      <c r="AM110" s="44"/>
      <c r="AN110" s="44"/>
      <c r="AO110" s="41"/>
      <c r="AP110" s="45" t="str">
        <f aca="false">IF(B110="","",IF(AND(ISNUMBER(AM110),ISNUMBER(AN110),AM110&gt;0,AN110&gt;0),AN110/AM110-1,""))</f>
        <v/>
      </c>
      <c r="AQ110" s="9" t="str">
        <f aca="false">IF(I110="","",(YEAR(I110)-IF(MONTH(I110)&lt;4,1,0))&amp;"-"&amp;RIGHT((YEAR(I110)-IF(MONTH(I110)&lt;4,1,0))+1,2))</f>
        <v/>
      </c>
      <c r="AR110" s="9" t="str">
        <f aca="false">IF(J110="","",(YEAR(J110)-IF(MONTH(J110)&lt;4,1,0))&amp;"-"&amp;RIGHT((YEAR(J110)-IF(MONTH(J110)&lt;4,1,0))+1,2))</f>
        <v/>
      </c>
      <c r="AS110" s="43" t="str">
        <f aca="false">IF(OR(B110="",Q110="",D110&lt;&gt;"Active"),"",DATE(YEAR(AsOf)+IF(DATE(YEAR(AsOf),MONTH(Q110),DAY(Q110))&lt;AsOf,1,0),MONTH(Q110),DAY(Q110))-AsOf)</f>
        <v/>
      </c>
      <c r="AT110" s="43" t="str">
        <f aca="false">IF(OR(B110="",I110="",D110&lt;&gt;"Active"),"",IF(YEAR(DATE(YEAR(AsOf)+IF(DATE(YEAR(AsOf),MONTH(I110),DAY(I110))&lt;AsOf,1,0),MONTH(I110),DAY(I110)))-YEAR(I110)&lt;1,"",DATE(YEAR(AsOf)+IF(DATE(YEAR(AsOf),MONTH(I110),DAY(I110))&lt;AsOf,1,0),MONTH(I110),DAY(I110))-AsOf))</f>
        <v/>
      </c>
      <c r="AU110" s="43" t="str">
        <f aca="false">IF(B110="","",IF(AV110="",0,LEN(AV110)-LEN(SUBSTITUTE(AV110,";",""))))</f>
        <v/>
      </c>
      <c r="AV110" s="9" t="str">
        <f aca="false">IF(B110="","",IF(COUNTIF($B$6:$B$505,B110)&gt;1,"Duplicate Emp Code; ","")&amp;IF(C110="","Name missing; ","")&amp;IF(I110="","DOJ missing; ","")&amp;IF(AND(J110&lt;&gt;"",I110&lt;&gt;"",J110&lt;I110),"Exit before DOJ; ","")&amp;IF(Q110="","DOB missing; ","")&amp;IF(T110="","Aadhaar missing; ",IF(LEN(T110)&lt;&gt;12,"Aadhaar not 12 digits; ",IF(COUNTIF($T$6:$T$505,T110)&gt;1,"Duplicate Aadhaar; ","")))&amp;IF(U110="","PAN missing; ",IF(LEN(U110)&lt;&gt;10,"PAN not 10 chars; ",""))&amp;IF(V110="","Mobile missing; ",IF(LEN(V110)&lt;&gt;10,"Mobile not 10 digits; ",""))&amp;IF(AG110="","Bank A/c missing; ","")&amp;IF(AH110="","IFSC missing; ",IF(LEN(AH110)&lt;&gt;11,"IFSC not 11 chars; ","")))</f>
        <v/>
      </c>
      <c r="AW110" s="46" t="str">
        <f aca="false">IF(AS110="","",AS110+ROW()/100000)</f>
        <v/>
      </c>
      <c r="AX110" s="46" t="str">
        <f aca="false">IF(AT110="","",AT110+ROW()/100000)</f>
        <v/>
      </c>
    </row>
    <row r="111" customFormat="false" ht="15" hidden="false" customHeight="false" outlineLevel="0" collapsed="false">
      <c r="A111" s="9" t="str">
        <f aca="false">IF(B111="","",ROW()-5)</f>
        <v/>
      </c>
      <c r="B111" s="40"/>
      <c r="C111" s="8"/>
      <c r="D111" s="9" t="str">
        <f aca="false">IF(B111="","",IF(J111="","Active","Exited"))</f>
        <v/>
      </c>
      <c r="E111" s="8"/>
      <c r="F111" s="8"/>
      <c r="G111" s="8"/>
      <c r="H111" s="9" t="str">
        <f aca="false">IF(OR(B111="",I111=""),"",IF(IF(J111="",AsOf,J111)-I111&gt;=Settings!$C$13,"Permanent","Probation"))</f>
        <v/>
      </c>
      <c r="I111" s="41"/>
      <c r="J111" s="41"/>
      <c r="K111" s="8"/>
      <c r="L111" s="42" t="str">
        <f aca="false">IF(OR(B111="",I111=""),"",ROUND((IF(J111="",AsOf,J111)-I111)/365.25,1))</f>
        <v/>
      </c>
      <c r="M111" s="8"/>
      <c r="N111" s="8"/>
      <c r="O111" s="8"/>
      <c r="P111" s="8"/>
      <c r="Q111" s="41"/>
      <c r="R111" s="43" t="str">
        <f aca="false">IF(OR(B111="",Q111=""),"",INT((AsOf-Q111)/365.25))</f>
        <v/>
      </c>
      <c r="S111" s="8"/>
      <c r="T111" s="40"/>
      <c r="U111" s="40"/>
      <c r="V111" s="40"/>
      <c r="W111" s="40"/>
      <c r="X111" s="8"/>
      <c r="Y111" s="8"/>
      <c r="Z111" s="8"/>
      <c r="AA111" s="8"/>
      <c r="AB111" s="8"/>
      <c r="AC111" s="8"/>
      <c r="AD111" s="8"/>
      <c r="AE111" s="40"/>
      <c r="AF111" s="8"/>
      <c r="AG111" s="40"/>
      <c r="AH111" s="40"/>
      <c r="AI111" s="8"/>
      <c r="AJ111" s="40"/>
      <c r="AK111" s="40"/>
      <c r="AL111" s="40"/>
      <c r="AM111" s="44"/>
      <c r="AN111" s="44"/>
      <c r="AO111" s="41"/>
      <c r="AP111" s="45" t="str">
        <f aca="false">IF(B111="","",IF(AND(ISNUMBER(AM111),ISNUMBER(AN111),AM111&gt;0,AN111&gt;0),AN111/AM111-1,""))</f>
        <v/>
      </c>
      <c r="AQ111" s="9" t="str">
        <f aca="false">IF(I111="","",(YEAR(I111)-IF(MONTH(I111)&lt;4,1,0))&amp;"-"&amp;RIGHT((YEAR(I111)-IF(MONTH(I111)&lt;4,1,0))+1,2))</f>
        <v/>
      </c>
      <c r="AR111" s="9" t="str">
        <f aca="false">IF(J111="","",(YEAR(J111)-IF(MONTH(J111)&lt;4,1,0))&amp;"-"&amp;RIGHT((YEAR(J111)-IF(MONTH(J111)&lt;4,1,0))+1,2))</f>
        <v/>
      </c>
      <c r="AS111" s="43" t="str">
        <f aca="false">IF(OR(B111="",Q111="",D111&lt;&gt;"Active"),"",DATE(YEAR(AsOf)+IF(DATE(YEAR(AsOf),MONTH(Q111),DAY(Q111))&lt;AsOf,1,0),MONTH(Q111),DAY(Q111))-AsOf)</f>
        <v/>
      </c>
      <c r="AT111" s="43" t="str">
        <f aca="false">IF(OR(B111="",I111="",D111&lt;&gt;"Active"),"",IF(YEAR(DATE(YEAR(AsOf)+IF(DATE(YEAR(AsOf),MONTH(I111),DAY(I111))&lt;AsOf,1,0),MONTH(I111),DAY(I111)))-YEAR(I111)&lt;1,"",DATE(YEAR(AsOf)+IF(DATE(YEAR(AsOf),MONTH(I111),DAY(I111))&lt;AsOf,1,0),MONTH(I111),DAY(I111))-AsOf))</f>
        <v/>
      </c>
      <c r="AU111" s="43" t="str">
        <f aca="false">IF(B111="","",IF(AV111="",0,LEN(AV111)-LEN(SUBSTITUTE(AV111,";",""))))</f>
        <v/>
      </c>
      <c r="AV111" s="9" t="str">
        <f aca="false">IF(B111="","",IF(COUNTIF($B$6:$B$505,B111)&gt;1,"Duplicate Emp Code; ","")&amp;IF(C111="","Name missing; ","")&amp;IF(I111="","DOJ missing; ","")&amp;IF(AND(J111&lt;&gt;"",I111&lt;&gt;"",J111&lt;I111),"Exit before DOJ; ","")&amp;IF(Q111="","DOB missing; ","")&amp;IF(T111="","Aadhaar missing; ",IF(LEN(T111)&lt;&gt;12,"Aadhaar not 12 digits; ",IF(COUNTIF($T$6:$T$505,T111)&gt;1,"Duplicate Aadhaar; ","")))&amp;IF(U111="","PAN missing; ",IF(LEN(U111)&lt;&gt;10,"PAN not 10 chars; ",""))&amp;IF(V111="","Mobile missing; ",IF(LEN(V111)&lt;&gt;10,"Mobile not 10 digits; ",""))&amp;IF(AG111="","Bank A/c missing; ","")&amp;IF(AH111="","IFSC missing; ",IF(LEN(AH111)&lt;&gt;11,"IFSC not 11 chars; ","")))</f>
        <v/>
      </c>
      <c r="AW111" s="46" t="str">
        <f aca="false">IF(AS111="","",AS111+ROW()/100000)</f>
        <v/>
      </c>
      <c r="AX111" s="46" t="str">
        <f aca="false">IF(AT111="","",AT111+ROW()/100000)</f>
        <v/>
      </c>
    </row>
    <row r="112" customFormat="false" ht="15" hidden="false" customHeight="false" outlineLevel="0" collapsed="false">
      <c r="A112" s="9" t="str">
        <f aca="false">IF(B112="","",ROW()-5)</f>
        <v/>
      </c>
      <c r="B112" s="40"/>
      <c r="C112" s="8"/>
      <c r="D112" s="9" t="str">
        <f aca="false">IF(B112="","",IF(J112="","Active","Exited"))</f>
        <v/>
      </c>
      <c r="E112" s="8"/>
      <c r="F112" s="8"/>
      <c r="G112" s="8"/>
      <c r="H112" s="9" t="str">
        <f aca="false">IF(OR(B112="",I112=""),"",IF(IF(J112="",AsOf,J112)-I112&gt;=Settings!$C$13,"Permanent","Probation"))</f>
        <v/>
      </c>
      <c r="I112" s="41"/>
      <c r="J112" s="41"/>
      <c r="K112" s="8"/>
      <c r="L112" s="42" t="str">
        <f aca="false">IF(OR(B112="",I112=""),"",ROUND((IF(J112="",AsOf,J112)-I112)/365.25,1))</f>
        <v/>
      </c>
      <c r="M112" s="8"/>
      <c r="N112" s="8"/>
      <c r="O112" s="8"/>
      <c r="P112" s="8"/>
      <c r="Q112" s="41"/>
      <c r="R112" s="43" t="str">
        <f aca="false">IF(OR(B112="",Q112=""),"",INT((AsOf-Q112)/365.25))</f>
        <v/>
      </c>
      <c r="S112" s="8"/>
      <c r="T112" s="40"/>
      <c r="U112" s="40"/>
      <c r="V112" s="40"/>
      <c r="W112" s="40"/>
      <c r="X112" s="8"/>
      <c r="Y112" s="8"/>
      <c r="Z112" s="8"/>
      <c r="AA112" s="8"/>
      <c r="AB112" s="8"/>
      <c r="AC112" s="8"/>
      <c r="AD112" s="8"/>
      <c r="AE112" s="40"/>
      <c r="AF112" s="8"/>
      <c r="AG112" s="40"/>
      <c r="AH112" s="40"/>
      <c r="AI112" s="8"/>
      <c r="AJ112" s="40"/>
      <c r="AK112" s="40"/>
      <c r="AL112" s="40"/>
      <c r="AM112" s="44"/>
      <c r="AN112" s="44"/>
      <c r="AO112" s="41"/>
      <c r="AP112" s="45" t="str">
        <f aca="false">IF(B112="","",IF(AND(ISNUMBER(AM112),ISNUMBER(AN112),AM112&gt;0,AN112&gt;0),AN112/AM112-1,""))</f>
        <v/>
      </c>
      <c r="AQ112" s="9" t="str">
        <f aca="false">IF(I112="","",(YEAR(I112)-IF(MONTH(I112)&lt;4,1,0))&amp;"-"&amp;RIGHT((YEAR(I112)-IF(MONTH(I112)&lt;4,1,0))+1,2))</f>
        <v/>
      </c>
      <c r="AR112" s="9" t="str">
        <f aca="false">IF(J112="","",(YEAR(J112)-IF(MONTH(J112)&lt;4,1,0))&amp;"-"&amp;RIGHT((YEAR(J112)-IF(MONTH(J112)&lt;4,1,0))+1,2))</f>
        <v/>
      </c>
      <c r="AS112" s="43" t="str">
        <f aca="false">IF(OR(B112="",Q112="",D112&lt;&gt;"Active"),"",DATE(YEAR(AsOf)+IF(DATE(YEAR(AsOf),MONTH(Q112),DAY(Q112))&lt;AsOf,1,0),MONTH(Q112),DAY(Q112))-AsOf)</f>
        <v/>
      </c>
      <c r="AT112" s="43" t="str">
        <f aca="false">IF(OR(B112="",I112="",D112&lt;&gt;"Active"),"",IF(YEAR(DATE(YEAR(AsOf)+IF(DATE(YEAR(AsOf),MONTH(I112),DAY(I112))&lt;AsOf,1,0),MONTH(I112),DAY(I112)))-YEAR(I112)&lt;1,"",DATE(YEAR(AsOf)+IF(DATE(YEAR(AsOf),MONTH(I112),DAY(I112))&lt;AsOf,1,0),MONTH(I112),DAY(I112))-AsOf))</f>
        <v/>
      </c>
      <c r="AU112" s="43" t="str">
        <f aca="false">IF(B112="","",IF(AV112="",0,LEN(AV112)-LEN(SUBSTITUTE(AV112,";",""))))</f>
        <v/>
      </c>
      <c r="AV112" s="9" t="str">
        <f aca="false">IF(B112="","",IF(COUNTIF($B$6:$B$505,B112)&gt;1,"Duplicate Emp Code; ","")&amp;IF(C112="","Name missing; ","")&amp;IF(I112="","DOJ missing; ","")&amp;IF(AND(J112&lt;&gt;"",I112&lt;&gt;"",J112&lt;I112),"Exit before DOJ; ","")&amp;IF(Q112="","DOB missing; ","")&amp;IF(T112="","Aadhaar missing; ",IF(LEN(T112)&lt;&gt;12,"Aadhaar not 12 digits; ",IF(COUNTIF($T$6:$T$505,T112)&gt;1,"Duplicate Aadhaar; ","")))&amp;IF(U112="","PAN missing; ",IF(LEN(U112)&lt;&gt;10,"PAN not 10 chars; ",""))&amp;IF(V112="","Mobile missing; ",IF(LEN(V112)&lt;&gt;10,"Mobile not 10 digits; ",""))&amp;IF(AG112="","Bank A/c missing; ","")&amp;IF(AH112="","IFSC missing; ",IF(LEN(AH112)&lt;&gt;11,"IFSC not 11 chars; ","")))</f>
        <v/>
      </c>
      <c r="AW112" s="46" t="str">
        <f aca="false">IF(AS112="","",AS112+ROW()/100000)</f>
        <v/>
      </c>
      <c r="AX112" s="46" t="str">
        <f aca="false">IF(AT112="","",AT112+ROW()/100000)</f>
        <v/>
      </c>
    </row>
    <row r="113" customFormat="false" ht="15" hidden="false" customHeight="false" outlineLevel="0" collapsed="false">
      <c r="A113" s="9" t="str">
        <f aca="false">IF(B113="","",ROW()-5)</f>
        <v/>
      </c>
      <c r="B113" s="40"/>
      <c r="C113" s="8"/>
      <c r="D113" s="9" t="str">
        <f aca="false">IF(B113="","",IF(J113="","Active","Exited"))</f>
        <v/>
      </c>
      <c r="E113" s="8"/>
      <c r="F113" s="8"/>
      <c r="G113" s="8"/>
      <c r="H113" s="9" t="str">
        <f aca="false">IF(OR(B113="",I113=""),"",IF(IF(J113="",AsOf,J113)-I113&gt;=Settings!$C$13,"Permanent","Probation"))</f>
        <v/>
      </c>
      <c r="I113" s="41"/>
      <c r="J113" s="41"/>
      <c r="K113" s="8"/>
      <c r="L113" s="42" t="str">
        <f aca="false">IF(OR(B113="",I113=""),"",ROUND((IF(J113="",AsOf,J113)-I113)/365.25,1))</f>
        <v/>
      </c>
      <c r="M113" s="8"/>
      <c r="N113" s="8"/>
      <c r="O113" s="8"/>
      <c r="P113" s="8"/>
      <c r="Q113" s="41"/>
      <c r="R113" s="43" t="str">
        <f aca="false">IF(OR(B113="",Q113=""),"",INT((AsOf-Q113)/365.25))</f>
        <v/>
      </c>
      <c r="S113" s="8"/>
      <c r="T113" s="40"/>
      <c r="U113" s="40"/>
      <c r="V113" s="40"/>
      <c r="W113" s="40"/>
      <c r="X113" s="8"/>
      <c r="Y113" s="8"/>
      <c r="Z113" s="8"/>
      <c r="AA113" s="8"/>
      <c r="AB113" s="8"/>
      <c r="AC113" s="8"/>
      <c r="AD113" s="8"/>
      <c r="AE113" s="40"/>
      <c r="AF113" s="8"/>
      <c r="AG113" s="40"/>
      <c r="AH113" s="40"/>
      <c r="AI113" s="8"/>
      <c r="AJ113" s="40"/>
      <c r="AK113" s="40"/>
      <c r="AL113" s="40"/>
      <c r="AM113" s="44"/>
      <c r="AN113" s="44"/>
      <c r="AO113" s="41"/>
      <c r="AP113" s="45" t="str">
        <f aca="false">IF(B113="","",IF(AND(ISNUMBER(AM113),ISNUMBER(AN113),AM113&gt;0,AN113&gt;0),AN113/AM113-1,""))</f>
        <v/>
      </c>
      <c r="AQ113" s="9" t="str">
        <f aca="false">IF(I113="","",(YEAR(I113)-IF(MONTH(I113)&lt;4,1,0))&amp;"-"&amp;RIGHT((YEAR(I113)-IF(MONTH(I113)&lt;4,1,0))+1,2))</f>
        <v/>
      </c>
      <c r="AR113" s="9" t="str">
        <f aca="false">IF(J113="","",(YEAR(J113)-IF(MONTH(J113)&lt;4,1,0))&amp;"-"&amp;RIGHT((YEAR(J113)-IF(MONTH(J113)&lt;4,1,0))+1,2))</f>
        <v/>
      </c>
      <c r="AS113" s="43" t="str">
        <f aca="false">IF(OR(B113="",Q113="",D113&lt;&gt;"Active"),"",DATE(YEAR(AsOf)+IF(DATE(YEAR(AsOf),MONTH(Q113),DAY(Q113))&lt;AsOf,1,0),MONTH(Q113),DAY(Q113))-AsOf)</f>
        <v/>
      </c>
      <c r="AT113" s="43" t="str">
        <f aca="false">IF(OR(B113="",I113="",D113&lt;&gt;"Active"),"",IF(YEAR(DATE(YEAR(AsOf)+IF(DATE(YEAR(AsOf),MONTH(I113),DAY(I113))&lt;AsOf,1,0),MONTH(I113),DAY(I113)))-YEAR(I113)&lt;1,"",DATE(YEAR(AsOf)+IF(DATE(YEAR(AsOf),MONTH(I113),DAY(I113))&lt;AsOf,1,0),MONTH(I113),DAY(I113))-AsOf))</f>
        <v/>
      </c>
      <c r="AU113" s="43" t="str">
        <f aca="false">IF(B113="","",IF(AV113="",0,LEN(AV113)-LEN(SUBSTITUTE(AV113,";",""))))</f>
        <v/>
      </c>
      <c r="AV113" s="9" t="str">
        <f aca="false">IF(B113="","",IF(COUNTIF($B$6:$B$505,B113)&gt;1,"Duplicate Emp Code; ","")&amp;IF(C113="","Name missing; ","")&amp;IF(I113="","DOJ missing; ","")&amp;IF(AND(J113&lt;&gt;"",I113&lt;&gt;"",J113&lt;I113),"Exit before DOJ; ","")&amp;IF(Q113="","DOB missing; ","")&amp;IF(T113="","Aadhaar missing; ",IF(LEN(T113)&lt;&gt;12,"Aadhaar not 12 digits; ",IF(COUNTIF($T$6:$T$505,T113)&gt;1,"Duplicate Aadhaar; ","")))&amp;IF(U113="","PAN missing; ",IF(LEN(U113)&lt;&gt;10,"PAN not 10 chars; ",""))&amp;IF(V113="","Mobile missing; ",IF(LEN(V113)&lt;&gt;10,"Mobile not 10 digits; ",""))&amp;IF(AG113="","Bank A/c missing; ","")&amp;IF(AH113="","IFSC missing; ",IF(LEN(AH113)&lt;&gt;11,"IFSC not 11 chars; ","")))</f>
        <v/>
      </c>
      <c r="AW113" s="46" t="str">
        <f aca="false">IF(AS113="","",AS113+ROW()/100000)</f>
        <v/>
      </c>
      <c r="AX113" s="46" t="str">
        <f aca="false">IF(AT113="","",AT113+ROW()/100000)</f>
        <v/>
      </c>
    </row>
    <row r="114" customFormat="false" ht="15" hidden="false" customHeight="false" outlineLevel="0" collapsed="false">
      <c r="A114" s="9" t="str">
        <f aca="false">IF(B114="","",ROW()-5)</f>
        <v/>
      </c>
      <c r="B114" s="40"/>
      <c r="C114" s="8"/>
      <c r="D114" s="9" t="str">
        <f aca="false">IF(B114="","",IF(J114="","Active","Exited"))</f>
        <v/>
      </c>
      <c r="E114" s="8"/>
      <c r="F114" s="8"/>
      <c r="G114" s="8"/>
      <c r="H114" s="9" t="str">
        <f aca="false">IF(OR(B114="",I114=""),"",IF(IF(J114="",AsOf,J114)-I114&gt;=Settings!$C$13,"Permanent","Probation"))</f>
        <v/>
      </c>
      <c r="I114" s="41"/>
      <c r="J114" s="41"/>
      <c r="K114" s="8"/>
      <c r="L114" s="42" t="str">
        <f aca="false">IF(OR(B114="",I114=""),"",ROUND((IF(J114="",AsOf,J114)-I114)/365.25,1))</f>
        <v/>
      </c>
      <c r="M114" s="8"/>
      <c r="N114" s="8"/>
      <c r="O114" s="8"/>
      <c r="P114" s="8"/>
      <c r="Q114" s="41"/>
      <c r="R114" s="43" t="str">
        <f aca="false">IF(OR(B114="",Q114=""),"",INT((AsOf-Q114)/365.25))</f>
        <v/>
      </c>
      <c r="S114" s="8"/>
      <c r="T114" s="40"/>
      <c r="U114" s="40"/>
      <c r="V114" s="40"/>
      <c r="W114" s="40"/>
      <c r="X114" s="8"/>
      <c r="Y114" s="8"/>
      <c r="Z114" s="8"/>
      <c r="AA114" s="8"/>
      <c r="AB114" s="8"/>
      <c r="AC114" s="8"/>
      <c r="AD114" s="8"/>
      <c r="AE114" s="40"/>
      <c r="AF114" s="8"/>
      <c r="AG114" s="40"/>
      <c r="AH114" s="40"/>
      <c r="AI114" s="8"/>
      <c r="AJ114" s="40"/>
      <c r="AK114" s="40"/>
      <c r="AL114" s="40"/>
      <c r="AM114" s="44"/>
      <c r="AN114" s="44"/>
      <c r="AO114" s="41"/>
      <c r="AP114" s="45" t="str">
        <f aca="false">IF(B114="","",IF(AND(ISNUMBER(AM114),ISNUMBER(AN114),AM114&gt;0,AN114&gt;0),AN114/AM114-1,""))</f>
        <v/>
      </c>
      <c r="AQ114" s="9" t="str">
        <f aca="false">IF(I114="","",(YEAR(I114)-IF(MONTH(I114)&lt;4,1,0))&amp;"-"&amp;RIGHT((YEAR(I114)-IF(MONTH(I114)&lt;4,1,0))+1,2))</f>
        <v/>
      </c>
      <c r="AR114" s="9" t="str">
        <f aca="false">IF(J114="","",(YEAR(J114)-IF(MONTH(J114)&lt;4,1,0))&amp;"-"&amp;RIGHT((YEAR(J114)-IF(MONTH(J114)&lt;4,1,0))+1,2))</f>
        <v/>
      </c>
      <c r="AS114" s="43" t="str">
        <f aca="false">IF(OR(B114="",Q114="",D114&lt;&gt;"Active"),"",DATE(YEAR(AsOf)+IF(DATE(YEAR(AsOf),MONTH(Q114),DAY(Q114))&lt;AsOf,1,0),MONTH(Q114),DAY(Q114))-AsOf)</f>
        <v/>
      </c>
      <c r="AT114" s="43" t="str">
        <f aca="false">IF(OR(B114="",I114="",D114&lt;&gt;"Active"),"",IF(YEAR(DATE(YEAR(AsOf)+IF(DATE(YEAR(AsOf),MONTH(I114),DAY(I114))&lt;AsOf,1,0),MONTH(I114),DAY(I114)))-YEAR(I114)&lt;1,"",DATE(YEAR(AsOf)+IF(DATE(YEAR(AsOf),MONTH(I114),DAY(I114))&lt;AsOf,1,0),MONTH(I114),DAY(I114))-AsOf))</f>
        <v/>
      </c>
      <c r="AU114" s="43" t="str">
        <f aca="false">IF(B114="","",IF(AV114="",0,LEN(AV114)-LEN(SUBSTITUTE(AV114,";",""))))</f>
        <v/>
      </c>
      <c r="AV114" s="9" t="str">
        <f aca="false">IF(B114="","",IF(COUNTIF($B$6:$B$505,B114)&gt;1,"Duplicate Emp Code; ","")&amp;IF(C114="","Name missing; ","")&amp;IF(I114="","DOJ missing; ","")&amp;IF(AND(J114&lt;&gt;"",I114&lt;&gt;"",J114&lt;I114),"Exit before DOJ; ","")&amp;IF(Q114="","DOB missing; ","")&amp;IF(T114="","Aadhaar missing; ",IF(LEN(T114)&lt;&gt;12,"Aadhaar not 12 digits; ",IF(COUNTIF($T$6:$T$505,T114)&gt;1,"Duplicate Aadhaar; ","")))&amp;IF(U114="","PAN missing; ",IF(LEN(U114)&lt;&gt;10,"PAN not 10 chars; ",""))&amp;IF(V114="","Mobile missing; ",IF(LEN(V114)&lt;&gt;10,"Mobile not 10 digits; ",""))&amp;IF(AG114="","Bank A/c missing; ","")&amp;IF(AH114="","IFSC missing; ",IF(LEN(AH114)&lt;&gt;11,"IFSC not 11 chars; ","")))</f>
        <v/>
      </c>
      <c r="AW114" s="46" t="str">
        <f aca="false">IF(AS114="","",AS114+ROW()/100000)</f>
        <v/>
      </c>
      <c r="AX114" s="46" t="str">
        <f aca="false">IF(AT114="","",AT114+ROW()/100000)</f>
        <v/>
      </c>
    </row>
    <row r="115" customFormat="false" ht="15" hidden="false" customHeight="false" outlineLevel="0" collapsed="false">
      <c r="A115" s="9" t="str">
        <f aca="false">IF(B115="","",ROW()-5)</f>
        <v/>
      </c>
      <c r="B115" s="40"/>
      <c r="C115" s="8"/>
      <c r="D115" s="9" t="str">
        <f aca="false">IF(B115="","",IF(J115="","Active","Exited"))</f>
        <v/>
      </c>
      <c r="E115" s="8"/>
      <c r="F115" s="8"/>
      <c r="G115" s="8"/>
      <c r="H115" s="9" t="str">
        <f aca="false">IF(OR(B115="",I115=""),"",IF(IF(J115="",AsOf,J115)-I115&gt;=Settings!$C$13,"Permanent","Probation"))</f>
        <v/>
      </c>
      <c r="I115" s="41"/>
      <c r="J115" s="41"/>
      <c r="K115" s="8"/>
      <c r="L115" s="42" t="str">
        <f aca="false">IF(OR(B115="",I115=""),"",ROUND((IF(J115="",AsOf,J115)-I115)/365.25,1))</f>
        <v/>
      </c>
      <c r="M115" s="8"/>
      <c r="N115" s="8"/>
      <c r="O115" s="8"/>
      <c r="P115" s="8"/>
      <c r="Q115" s="41"/>
      <c r="R115" s="43" t="str">
        <f aca="false">IF(OR(B115="",Q115=""),"",INT((AsOf-Q115)/365.25))</f>
        <v/>
      </c>
      <c r="S115" s="8"/>
      <c r="T115" s="40"/>
      <c r="U115" s="40"/>
      <c r="V115" s="40"/>
      <c r="W115" s="40"/>
      <c r="X115" s="8"/>
      <c r="Y115" s="8"/>
      <c r="Z115" s="8"/>
      <c r="AA115" s="8"/>
      <c r="AB115" s="8"/>
      <c r="AC115" s="8"/>
      <c r="AD115" s="8"/>
      <c r="AE115" s="40"/>
      <c r="AF115" s="8"/>
      <c r="AG115" s="40"/>
      <c r="AH115" s="40"/>
      <c r="AI115" s="8"/>
      <c r="AJ115" s="40"/>
      <c r="AK115" s="40"/>
      <c r="AL115" s="40"/>
      <c r="AM115" s="44"/>
      <c r="AN115" s="44"/>
      <c r="AO115" s="41"/>
      <c r="AP115" s="45" t="str">
        <f aca="false">IF(B115="","",IF(AND(ISNUMBER(AM115),ISNUMBER(AN115),AM115&gt;0,AN115&gt;0),AN115/AM115-1,""))</f>
        <v/>
      </c>
      <c r="AQ115" s="9" t="str">
        <f aca="false">IF(I115="","",(YEAR(I115)-IF(MONTH(I115)&lt;4,1,0))&amp;"-"&amp;RIGHT((YEAR(I115)-IF(MONTH(I115)&lt;4,1,0))+1,2))</f>
        <v/>
      </c>
      <c r="AR115" s="9" t="str">
        <f aca="false">IF(J115="","",(YEAR(J115)-IF(MONTH(J115)&lt;4,1,0))&amp;"-"&amp;RIGHT((YEAR(J115)-IF(MONTH(J115)&lt;4,1,0))+1,2))</f>
        <v/>
      </c>
      <c r="AS115" s="43" t="str">
        <f aca="false">IF(OR(B115="",Q115="",D115&lt;&gt;"Active"),"",DATE(YEAR(AsOf)+IF(DATE(YEAR(AsOf),MONTH(Q115),DAY(Q115))&lt;AsOf,1,0),MONTH(Q115),DAY(Q115))-AsOf)</f>
        <v/>
      </c>
      <c r="AT115" s="43" t="str">
        <f aca="false">IF(OR(B115="",I115="",D115&lt;&gt;"Active"),"",IF(YEAR(DATE(YEAR(AsOf)+IF(DATE(YEAR(AsOf),MONTH(I115),DAY(I115))&lt;AsOf,1,0),MONTH(I115),DAY(I115)))-YEAR(I115)&lt;1,"",DATE(YEAR(AsOf)+IF(DATE(YEAR(AsOf),MONTH(I115),DAY(I115))&lt;AsOf,1,0),MONTH(I115),DAY(I115))-AsOf))</f>
        <v/>
      </c>
      <c r="AU115" s="43" t="str">
        <f aca="false">IF(B115="","",IF(AV115="",0,LEN(AV115)-LEN(SUBSTITUTE(AV115,";",""))))</f>
        <v/>
      </c>
      <c r="AV115" s="9" t="str">
        <f aca="false">IF(B115="","",IF(COUNTIF($B$6:$B$505,B115)&gt;1,"Duplicate Emp Code; ","")&amp;IF(C115="","Name missing; ","")&amp;IF(I115="","DOJ missing; ","")&amp;IF(AND(J115&lt;&gt;"",I115&lt;&gt;"",J115&lt;I115),"Exit before DOJ; ","")&amp;IF(Q115="","DOB missing; ","")&amp;IF(T115="","Aadhaar missing; ",IF(LEN(T115)&lt;&gt;12,"Aadhaar not 12 digits; ",IF(COUNTIF($T$6:$T$505,T115)&gt;1,"Duplicate Aadhaar; ","")))&amp;IF(U115="","PAN missing; ",IF(LEN(U115)&lt;&gt;10,"PAN not 10 chars; ",""))&amp;IF(V115="","Mobile missing; ",IF(LEN(V115)&lt;&gt;10,"Mobile not 10 digits; ",""))&amp;IF(AG115="","Bank A/c missing; ","")&amp;IF(AH115="","IFSC missing; ",IF(LEN(AH115)&lt;&gt;11,"IFSC not 11 chars; ","")))</f>
        <v/>
      </c>
      <c r="AW115" s="46" t="str">
        <f aca="false">IF(AS115="","",AS115+ROW()/100000)</f>
        <v/>
      </c>
      <c r="AX115" s="46" t="str">
        <f aca="false">IF(AT115="","",AT115+ROW()/100000)</f>
        <v/>
      </c>
    </row>
    <row r="116" customFormat="false" ht="15" hidden="false" customHeight="false" outlineLevel="0" collapsed="false">
      <c r="A116" s="9" t="str">
        <f aca="false">IF(B116="","",ROW()-5)</f>
        <v/>
      </c>
      <c r="B116" s="40"/>
      <c r="C116" s="8"/>
      <c r="D116" s="9" t="str">
        <f aca="false">IF(B116="","",IF(J116="","Active","Exited"))</f>
        <v/>
      </c>
      <c r="E116" s="8"/>
      <c r="F116" s="8"/>
      <c r="G116" s="8"/>
      <c r="H116" s="9" t="str">
        <f aca="false">IF(OR(B116="",I116=""),"",IF(IF(J116="",AsOf,J116)-I116&gt;=Settings!$C$13,"Permanent","Probation"))</f>
        <v/>
      </c>
      <c r="I116" s="41"/>
      <c r="J116" s="41"/>
      <c r="K116" s="8"/>
      <c r="L116" s="42" t="str">
        <f aca="false">IF(OR(B116="",I116=""),"",ROUND((IF(J116="",AsOf,J116)-I116)/365.25,1))</f>
        <v/>
      </c>
      <c r="M116" s="8"/>
      <c r="N116" s="8"/>
      <c r="O116" s="8"/>
      <c r="P116" s="8"/>
      <c r="Q116" s="41"/>
      <c r="R116" s="43" t="str">
        <f aca="false">IF(OR(B116="",Q116=""),"",INT((AsOf-Q116)/365.25))</f>
        <v/>
      </c>
      <c r="S116" s="8"/>
      <c r="T116" s="40"/>
      <c r="U116" s="40"/>
      <c r="V116" s="40"/>
      <c r="W116" s="40"/>
      <c r="X116" s="8"/>
      <c r="Y116" s="8"/>
      <c r="Z116" s="8"/>
      <c r="AA116" s="8"/>
      <c r="AB116" s="8"/>
      <c r="AC116" s="8"/>
      <c r="AD116" s="8"/>
      <c r="AE116" s="40"/>
      <c r="AF116" s="8"/>
      <c r="AG116" s="40"/>
      <c r="AH116" s="40"/>
      <c r="AI116" s="8"/>
      <c r="AJ116" s="40"/>
      <c r="AK116" s="40"/>
      <c r="AL116" s="40"/>
      <c r="AM116" s="44"/>
      <c r="AN116" s="44"/>
      <c r="AO116" s="41"/>
      <c r="AP116" s="45" t="str">
        <f aca="false">IF(B116="","",IF(AND(ISNUMBER(AM116),ISNUMBER(AN116),AM116&gt;0,AN116&gt;0),AN116/AM116-1,""))</f>
        <v/>
      </c>
      <c r="AQ116" s="9" t="str">
        <f aca="false">IF(I116="","",(YEAR(I116)-IF(MONTH(I116)&lt;4,1,0))&amp;"-"&amp;RIGHT((YEAR(I116)-IF(MONTH(I116)&lt;4,1,0))+1,2))</f>
        <v/>
      </c>
      <c r="AR116" s="9" t="str">
        <f aca="false">IF(J116="","",(YEAR(J116)-IF(MONTH(J116)&lt;4,1,0))&amp;"-"&amp;RIGHT((YEAR(J116)-IF(MONTH(J116)&lt;4,1,0))+1,2))</f>
        <v/>
      </c>
      <c r="AS116" s="43" t="str">
        <f aca="false">IF(OR(B116="",Q116="",D116&lt;&gt;"Active"),"",DATE(YEAR(AsOf)+IF(DATE(YEAR(AsOf),MONTH(Q116),DAY(Q116))&lt;AsOf,1,0),MONTH(Q116),DAY(Q116))-AsOf)</f>
        <v/>
      </c>
      <c r="AT116" s="43" t="str">
        <f aca="false">IF(OR(B116="",I116="",D116&lt;&gt;"Active"),"",IF(YEAR(DATE(YEAR(AsOf)+IF(DATE(YEAR(AsOf),MONTH(I116),DAY(I116))&lt;AsOf,1,0),MONTH(I116),DAY(I116)))-YEAR(I116)&lt;1,"",DATE(YEAR(AsOf)+IF(DATE(YEAR(AsOf),MONTH(I116),DAY(I116))&lt;AsOf,1,0),MONTH(I116),DAY(I116))-AsOf))</f>
        <v/>
      </c>
      <c r="AU116" s="43" t="str">
        <f aca="false">IF(B116="","",IF(AV116="",0,LEN(AV116)-LEN(SUBSTITUTE(AV116,";",""))))</f>
        <v/>
      </c>
      <c r="AV116" s="9" t="str">
        <f aca="false">IF(B116="","",IF(COUNTIF($B$6:$B$505,B116)&gt;1,"Duplicate Emp Code; ","")&amp;IF(C116="","Name missing; ","")&amp;IF(I116="","DOJ missing; ","")&amp;IF(AND(J116&lt;&gt;"",I116&lt;&gt;"",J116&lt;I116),"Exit before DOJ; ","")&amp;IF(Q116="","DOB missing; ","")&amp;IF(T116="","Aadhaar missing; ",IF(LEN(T116)&lt;&gt;12,"Aadhaar not 12 digits; ",IF(COUNTIF($T$6:$T$505,T116)&gt;1,"Duplicate Aadhaar; ","")))&amp;IF(U116="","PAN missing; ",IF(LEN(U116)&lt;&gt;10,"PAN not 10 chars; ",""))&amp;IF(V116="","Mobile missing; ",IF(LEN(V116)&lt;&gt;10,"Mobile not 10 digits; ",""))&amp;IF(AG116="","Bank A/c missing; ","")&amp;IF(AH116="","IFSC missing; ",IF(LEN(AH116)&lt;&gt;11,"IFSC not 11 chars; ","")))</f>
        <v/>
      </c>
      <c r="AW116" s="46" t="str">
        <f aca="false">IF(AS116="","",AS116+ROW()/100000)</f>
        <v/>
      </c>
      <c r="AX116" s="46" t="str">
        <f aca="false">IF(AT116="","",AT116+ROW()/100000)</f>
        <v/>
      </c>
    </row>
    <row r="117" customFormat="false" ht="15" hidden="false" customHeight="false" outlineLevel="0" collapsed="false">
      <c r="A117" s="9" t="str">
        <f aca="false">IF(B117="","",ROW()-5)</f>
        <v/>
      </c>
      <c r="B117" s="40"/>
      <c r="C117" s="8"/>
      <c r="D117" s="9" t="str">
        <f aca="false">IF(B117="","",IF(J117="","Active","Exited"))</f>
        <v/>
      </c>
      <c r="E117" s="8"/>
      <c r="F117" s="8"/>
      <c r="G117" s="8"/>
      <c r="H117" s="9" t="str">
        <f aca="false">IF(OR(B117="",I117=""),"",IF(IF(J117="",AsOf,J117)-I117&gt;=Settings!$C$13,"Permanent","Probation"))</f>
        <v/>
      </c>
      <c r="I117" s="41"/>
      <c r="J117" s="41"/>
      <c r="K117" s="8"/>
      <c r="L117" s="42" t="str">
        <f aca="false">IF(OR(B117="",I117=""),"",ROUND((IF(J117="",AsOf,J117)-I117)/365.25,1))</f>
        <v/>
      </c>
      <c r="M117" s="8"/>
      <c r="N117" s="8"/>
      <c r="O117" s="8"/>
      <c r="P117" s="8"/>
      <c r="Q117" s="41"/>
      <c r="R117" s="43" t="str">
        <f aca="false">IF(OR(B117="",Q117=""),"",INT((AsOf-Q117)/365.25))</f>
        <v/>
      </c>
      <c r="S117" s="8"/>
      <c r="T117" s="40"/>
      <c r="U117" s="40"/>
      <c r="V117" s="40"/>
      <c r="W117" s="40"/>
      <c r="X117" s="8"/>
      <c r="Y117" s="8"/>
      <c r="Z117" s="8"/>
      <c r="AA117" s="8"/>
      <c r="AB117" s="8"/>
      <c r="AC117" s="8"/>
      <c r="AD117" s="8"/>
      <c r="AE117" s="40"/>
      <c r="AF117" s="8"/>
      <c r="AG117" s="40"/>
      <c r="AH117" s="40"/>
      <c r="AI117" s="8"/>
      <c r="AJ117" s="40"/>
      <c r="AK117" s="40"/>
      <c r="AL117" s="40"/>
      <c r="AM117" s="44"/>
      <c r="AN117" s="44"/>
      <c r="AO117" s="41"/>
      <c r="AP117" s="45" t="str">
        <f aca="false">IF(B117="","",IF(AND(ISNUMBER(AM117),ISNUMBER(AN117),AM117&gt;0,AN117&gt;0),AN117/AM117-1,""))</f>
        <v/>
      </c>
      <c r="AQ117" s="9" t="str">
        <f aca="false">IF(I117="","",(YEAR(I117)-IF(MONTH(I117)&lt;4,1,0))&amp;"-"&amp;RIGHT((YEAR(I117)-IF(MONTH(I117)&lt;4,1,0))+1,2))</f>
        <v/>
      </c>
      <c r="AR117" s="9" t="str">
        <f aca="false">IF(J117="","",(YEAR(J117)-IF(MONTH(J117)&lt;4,1,0))&amp;"-"&amp;RIGHT((YEAR(J117)-IF(MONTH(J117)&lt;4,1,0))+1,2))</f>
        <v/>
      </c>
      <c r="AS117" s="43" t="str">
        <f aca="false">IF(OR(B117="",Q117="",D117&lt;&gt;"Active"),"",DATE(YEAR(AsOf)+IF(DATE(YEAR(AsOf),MONTH(Q117),DAY(Q117))&lt;AsOf,1,0),MONTH(Q117),DAY(Q117))-AsOf)</f>
        <v/>
      </c>
      <c r="AT117" s="43" t="str">
        <f aca="false">IF(OR(B117="",I117="",D117&lt;&gt;"Active"),"",IF(YEAR(DATE(YEAR(AsOf)+IF(DATE(YEAR(AsOf),MONTH(I117),DAY(I117))&lt;AsOf,1,0),MONTH(I117),DAY(I117)))-YEAR(I117)&lt;1,"",DATE(YEAR(AsOf)+IF(DATE(YEAR(AsOf),MONTH(I117),DAY(I117))&lt;AsOf,1,0),MONTH(I117),DAY(I117))-AsOf))</f>
        <v/>
      </c>
      <c r="AU117" s="43" t="str">
        <f aca="false">IF(B117="","",IF(AV117="",0,LEN(AV117)-LEN(SUBSTITUTE(AV117,";",""))))</f>
        <v/>
      </c>
      <c r="AV117" s="9" t="str">
        <f aca="false">IF(B117="","",IF(COUNTIF($B$6:$B$505,B117)&gt;1,"Duplicate Emp Code; ","")&amp;IF(C117="","Name missing; ","")&amp;IF(I117="","DOJ missing; ","")&amp;IF(AND(J117&lt;&gt;"",I117&lt;&gt;"",J117&lt;I117),"Exit before DOJ; ","")&amp;IF(Q117="","DOB missing; ","")&amp;IF(T117="","Aadhaar missing; ",IF(LEN(T117)&lt;&gt;12,"Aadhaar not 12 digits; ",IF(COUNTIF($T$6:$T$505,T117)&gt;1,"Duplicate Aadhaar; ","")))&amp;IF(U117="","PAN missing; ",IF(LEN(U117)&lt;&gt;10,"PAN not 10 chars; ",""))&amp;IF(V117="","Mobile missing; ",IF(LEN(V117)&lt;&gt;10,"Mobile not 10 digits; ",""))&amp;IF(AG117="","Bank A/c missing; ","")&amp;IF(AH117="","IFSC missing; ",IF(LEN(AH117)&lt;&gt;11,"IFSC not 11 chars; ","")))</f>
        <v/>
      </c>
      <c r="AW117" s="46" t="str">
        <f aca="false">IF(AS117="","",AS117+ROW()/100000)</f>
        <v/>
      </c>
      <c r="AX117" s="46" t="str">
        <f aca="false">IF(AT117="","",AT117+ROW()/100000)</f>
        <v/>
      </c>
    </row>
    <row r="118" customFormat="false" ht="15" hidden="false" customHeight="false" outlineLevel="0" collapsed="false">
      <c r="A118" s="9" t="str">
        <f aca="false">IF(B118="","",ROW()-5)</f>
        <v/>
      </c>
      <c r="B118" s="40"/>
      <c r="C118" s="8"/>
      <c r="D118" s="9" t="str">
        <f aca="false">IF(B118="","",IF(J118="","Active","Exited"))</f>
        <v/>
      </c>
      <c r="E118" s="8"/>
      <c r="F118" s="8"/>
      <c r="G118" s="8"/>
      <c r="H118" s="9" t="str">
        <f aca="false">IF(OR(B118="",I118=""),"",IF(IF(J118="",AsOf,J118)-I118&gt;=Settings!$C$13,"Permanent","Probation"))</f>
        <v/>
      </c>
      <c r="I118" s="41"/>
      <c r="J118" s="41"/>
      <c r="K118" s="8"/>
      <c r="L118" s="42" t="str">
        <f aca="false">IF(OR(B118="",I118=""),"",ROUND((IF(J118="",AsOf,J118)-I118)/365.25,1))</f>
        <v/>
      </c>
      <c r="M118" s="8"/>
      <c r="N118" s="8"/>
      <c r="O118" s="8"/>
      <c r="P118" s="8"/>
      <c r="Q118" s="41"/>
      <c r="R118" s="43" t="str">
        <f aca="false">IF(OR(B118="",Q118=""),"",INT((AsOf-Q118)/365.25))</f>
        <v/>
      </c>
      <c r="S118" s="8"/>
      <c r="T118" s="40"/>
      <c r="U118" s="40"/>
      <c r="V118" s="40"/>
      <c r="W118" s="40"/>
      <c r="X118" s="8"/>
      <c r="Y118" s="8"/>
      <c r="Z118" s="8"/>
      <c r="AA118" s="8"/>
      <c r="AB118" s="8"/>
      <c r="AC118" s="8"/>
      <c r="AD118" s="8"/>
      <c r="AE118" s="40"/>
      <c r="AF118" s="8"/>
      <c r="AG118" s="40"/>
      <c r="AH118" s="40"/>
      <c r="AI118" s="8"/>
      <c r="AJ118" s="40"/>
      <c r="AK118" s="40"/>
      <c r="AL118" s="40"/>
      <c r="AM118" s="44"/>
      <c r="AN118" s="44"/>
      <c r="AO118" s="41"/>
      <c r="AP118" s="45" t="str">
        <f aca="false">IF(B118="","",IF(AND(ISNUMBER(AM118),ISNUMBER(AN118),AM118&gt;0,AN118&gt;0),AN118/AM118-1,""))</f>
        <v/>
      </c>
      <c r="AQ118" s="9" t="str">
        <f aca="false">IF(I118="","",(YEAR(I118)-IF(MONTH(I118)&lt;4,1,0))&amp;"-"&amp;RIGHT((YEAR(I118)-IF(MONTH(I118)&lt;4,1,0))+1,2))</f>
        <v/>
      </c>
      <c r="AR118" s="9" t="str">
        <f aca="false">IF(J118="","",(YEAR(J118)-IF(MONTH(J118)&lt;4,1,0))&amp;"-"&amp;RIGHT((YEAR(J118)-IF(MONTH(J118)&lt;4,1,0))+1,2))</f>
        <v/>
      </c>
      <c r="AS118" s="43" t="str">
        <f aca="false">IF(OR(B118="",Q118="",D118&lt;&gt;"Active"),"",DATE(YEAR(AsOf)+IF(DATE(YEAR(AsOf),MONTH(Q118),DAY(Q118))&lt;AsOf,1,0),MONTH(Q118),DAY(Q118))-AsOf)</f>
        <v/>
      </c>
      <c r="AT118" s="43" t="str">
        <f aca="false">IF(OR(B118="",I118="",D118&lt;&gt;"Active"),"",IF(YEAR(DATE(YEAR(AsOf)+IF(DATE(YEAR(AsOf),MONTH(I118),DAY(I118))&lt;AsOf,1,0),MONTH(I118),DAY(I118)))-YEAR(I118)&lt;1,"",DATE(YEAR(AsOf)+IF(DATE(YEAR(AsOf),MONTH(I118),DAY(I118))&lt;AsOf,1,0),MONTH(I118),DAY(I118))-AsOf))</f>
        <v/>
      </c>
      <c r="AU118" s="43" t="str">
        <f aca="false">IF(B118="","",IF(AV118="",0,LEN(AV118)-LEN(SUBSTITUTE(AV118,";",""))))</f>
        <v/>
      </c>
      <c r="AV118" s="9" t="str">
        <f aca="false">IF(B118="","",IF(COUNTIF($B$6:$B$505,B118)&gt;1,"Duplicate Emp Code; ","")&amp;IF(C118="","Name missing; ","")&amp;IF(I118="","DOJ missing; ","")&amp;IF(AND(J118&lt;&gt;"",I118&lt;&gt;"",J118&lt;I118),"Exit before DOJ; ","")&amp;IF(Q118="","DOB missing; ","")&amp;IF(T118="","Aadhaar missing; ",IF(LEN(T118)&lt;&gt;12,"Aadhaar not 12 digits; ",IF(COUNTIF($T$6:$T$505,T118)&gt;1,"Duplicate Aadhaar; ","")))&amp;IF(U118="","PAN missing; ",IF(LEN(U118)&lt;&gt;10,"PAN not 10 chars; ",""))&amp;IF(V118="","Mobile missing; ",IF(LEN(V118)&lt;&gt;10,"Mobile not 10 digits; ",""))&amp;IF(AG118="","Bank A/c missing; ","")&amp;IF(AH118="","IFSC missing; ",IF(LEN(AH118)&lt;&gt;11,"IFSC not 11 chars; ","")))</f>
        <v/>
      </c>
      <c r="AW118" s="46" t="str">
        <f aca="false">IF(AS118="","",AS118+ROW()/100000)</f>
        <v/>
      </c>
      <c r="AX118" s="46" t="str">
        <f aca="false">IF(AT118="","",AT118+ROW()/100000)</f>
        <v/>
      </c>
    </row>
    <row r="119" customFormat="false" ht="15" hidden="false" customHeight="false" outlineLevel="0" collapsed="false">
      <c r="A119" s="9" t="str">
        <f aca="false">IF(B119="","",ROW()-5)</f>
        <v/>
      </c>
      <c r="B119" s="40"/>
      <c r="C119" s="8"/>
      <c r="D119" s="9" t="str">
        <f aca="false">IF(B119="","",IF(J119="","Active","Exited"))</f>
        <v/>
      </c>
      <c r="E119" s="8"/>
      <c r="F119" s="8"/>
      <c r="G119" s="8"/>
      <c r="H119" s="9" t="str">
        <f aca="false">IF(OR(B119="",I119=""),"",IF(IF(J119="",AsOf,J119)-I119&gt;=Settings!$C$13,"Permanent","Probation"))</f>
        <v/>
      </c>
      <c r="I119" s="41"/>
      <c r="J119" s="41"/>
      <c r="K119" s="8"/>
      <c r="L119" s="42" t="str">
        <f aca="false">IF(OR(B119="",I119=""),"",ROUND((IF(J119="",AsOf,J119)-I119)/365.25,1))</f>
        <v/>
      </c>
      <c r="M119" s="8"/>
      <c r="N119" s="8"/>
      <c r="O119" s="8"/>
      <c r="P119" s="8"/>
      <c r="Q119" s="41"/>
      <c r="R119" s="43" t="str">
        <f aca="false">IF(OR(B119="",Q119=""),"",INT((AsOf-Q119)/365.25))</f>
        <v/>
      </c>
      <c r="S119" s="8"/>
      <c r="T119" s="40"/>
      <c r="U119" s="40"/>
      <c r="V119" s="40"/>
      <c r="W119" s="40"/>
      <c r="X119" s="8"/>
      <c r="Y119" s="8"/>
      <c r="Z119" s="8"/>
      <c r="AA119" s="8"/>
      <c r="AB119" s="8"/>
      <c r="AC119" s="8"/>
      <c r="AD119" s="8"/>
      <c r="AE119" s="40"/>
      <c r="AF119" s="8"/>
      <c r="AG119" s="40"/>
      <c r="AH119" s="40"/>
      <c r="AI119" s="8"/>
      <c r="AJ119" s="40"/>
      <c r="AK119" s="40"/>
      <c r="AL119" s="40"/>
      <c r="AM119" s="44"/>
      <c r="AN119" s="44"/>
      <c r="AO119" s="41"/>
      <c r="AP119" s="45" t="str">
        <f aca="false">IF(B119="","",IF(AND(ISNUMBER(AM119),ISNUMBER(AN119),AM119&gt;0,AN119&gt;0),AN119/AM119-1,""))</f>
        <v/>
      </c>
      <c r="AQ119" s="9" t="str">
        <f aca="false">IF(I119="","",(YEAR(I119)-IF(MONTH(I119)&lt;4,1,0))&amp;"-"&amp;RIGHT((YEAR(I119)-IF(MONTH(I119)&lt;4,1,0))+1,2))</f>
        <v/>
      </c>
      <c r="AR119" s="9" t="str">
        <f aca="false">IF(J119="","",(YEAR(J119)-IF(MONTH(J119)&lt;4,1,0))&amp;"-"&amp;RIGHT((YEAR(J119)-IF(MONTH(J119)&lt;4,1,0))+1,2))</f>
        <v/>
      </c>
      <c r="AS119" s="43" t="str">
        <f aca="false">IF(OR(B119="",Q119="",D119&lt;&gt;"Active"),"",DATE(YEAR(AsOf)+IF(DATE(YEAR(AsOf),MONTH(Q119),DAY(Q119))&lt;AsOf,1,0),MONTH(Q119),DAY(Q119))-AsOf)</f>
        <v/>
      </c>
      <c r="AT119" s="43" t="str">
        <f aca="false">IF(OR(B119="",I119="",D119&lt;&gt;"Active"),"",IF(YEAR(DATE(YEAR(AsOf)+IF(DATE(YEAR(AsOf),MONTH(I119),DAY(I119))&lt;AsOf,1,0),MONTH(I119),DAY(I119)))-YEAR(I119)&lt;1,"",DATE(YEAR(AsOf)+IF(DATE(YEAR(AsOf),MONTH(I119),DAY(I119))&lt;AsOf,1,0),MONTH(I119),DAY(I119))-AsOf))</f>
        <v/>
      </c>
      <c r="AU119" s="43" t="str">
        <f aca="false">IF(B119="","",IF(AV119="",0,LEN(AV119)-LEN(SUBSTITUTE(AV119,";",""))))</f>
        <v/>
      </c>
      <c r="AV119" s="9" t="str">
        <f aca="false">IF(B119="","",IF(COUNTIF($B$6:$B$505,B119)&gt;1,"Duplicate Emp Code; ","")&amp;IF(C119="","Name missing; ","")&amp;IF(I119="","DOJ missing; ","")&amp;IF(AND(J119&lt;&gt;"",I119&lt;&gt;"",J119&lt;I119),"Exit before DOJ; ","")&amp;IF(Q119="","DOB missing; ","")&amp;IF(T119="","Aadhaar missing; ",IF(LEN(T119)&lt;&gt;12,"Aadhaar not 12 digits; ",IF(COUNTIF($T$6:$T$505,T119)&gt;1,"Duplicate Aadhaar; ","")))&amp;IF(U119="","PAN missing; ",IF(LEN(U119)&lt;&gt;10,"PAN not 10 chars; ",""))&amp;IF(V119="","Mobile missing; ",IF(LEN(V119)&lt;&gt;10,"Mobile not 10 digits; ",""))&amp;IF(AG119="","Bank A/c missing; ","")&amp;IF(AH119="","IFSC missing; ",IF(LEN(AH119)&lt;&gt;11,"IFSC not 11 chars; ","")))</f>
        <v/>
      </c>
      <c r="AW119" s="46" t="str">
        <f aca="false">IF(AS119="","",AS119+ROW()/100000)</f>
        <v/>
      </c>
      <c r="AX119" s="46" t="str">
        <f aca="false">IF(AT119="","",AT119+ROW()/100000)</f>
        <v/>
      </c>
    </row>
    <row r="120" customFormat="false" ht="15" hidden="false" customHeight="false" outlineLevel="0" collapsed="false">
      <c r="A120" s="9" t="str">
        <f aca="false">IF(B120="","",ROW()-5)</f>
        <v/>
      </c>
      <c r="B120" s="40"/>
      <c r="C120" s="8"/>
      <c r="D120" s="9" t="str">
        <f aca="false">IF(B120="","",IF(J120="","Active","Exited"))</f>
        <v/>
      </c>
      <c r="E120" s="8"/>
      <c r="F120" s="8"/>
      <c r="G120" s="8"/>
      <c r="H120" s="9" t="str">
        <f aca="false">IF(OR(B120="",I120=""),"",IF(IF(J120="",AsOf,J120)-I120&gt;=Settings!$C$13,"Permanent","Probation"))</f>
        <v/>
      </c>
      <c r="I120" s="41"/>
      <c r="J120" s="41"/>
      <c r="K120" s="8"/>
      <c r="L120" s="42" t="str">
        <f aca="false">IF(OR(B120="",I120=""),"",ROUND((IF(J120="",AsOf,J120)-I120)/365.25,1))</f>
        <v/>
      </c>
      <c r="M120" s="8"/>
      <c r="N120" s="8"/>
      <c r="O120" s="8"/>
      <c r="P120" s="8"/>
      <c r="Q120" s="41"/>
      <c r="R120" s="43" t="str">
        <f aca="false">IF(OR(B120="",Q120=""),"",INT((AsOf-Q120)/365.25))</f>
        <v/>
      </c>
      <c r="S120" s="8"/>
      <c r="T120" s="40"/>
      <c r="U120" s="40"/>
      <c r="V120" s="40"/>
      <c r="W120" s="40"/>
      <c r="X120" s="8"/>
      <c r="Y120" s="8"/>
      <c r="Z120" s="8"/>
      <c r="AA120" s="8"/>
      <c r="AB120" s="8"/>
      <c r="AC120" s="8"/>
      <c r="AD120" s="8"/>
      <c r="AE120" s="40"/>
      <c r="AF120" s="8"/>
      <c r="AG120" s="40"/>
      <c r="AH120" s="40"/>
      <c r="AI120" s="8"/>
      <c r="AJ120" s="40"/>
      <c r="AK120" s="40"/>
      <c r="AL120" s="40"/>
      <c r="AM120" s="44"/>
      <c r="AN120" s="44"/>
      <c r="AO120" s="41"/>
      <c r="AP120" s="45" t="str">
        <f aca="false">IF(B120="","",IF(AND(ISNUMBER(AM120),ISNUMBER(AN120),AM120&gt;0,AN120&gt;0),AN120/AM120-1,""))</f>
        <v/>
      </c>
      <c r="AQ120" s="9" t="str">
        <f aca="false">IF(I120="","",(YEAR(I120)-IF(MONTH(I120)&lt;4,1,0))&amp;"-"&amp;RIGHT((YEAR(I120)-IF(MONTH(I120)&lt;4,1,0))+1,2))</f>
        <v/>
      </c>
      <c r="AR120" s="9" t="str">
        <f aca="false">IF(J120="","",(YEAR(J120)-IF(MONTH(J120)&lt;4,1,0))&amp;"-"&amp;RIGHT((YEAR(J120)-IF(MONTH(J120)&lt;4,1,0))+1,2))</f>
        <v/>
      </c>
      <c r="AS120" s="43" t="str">
        <f aca="false">IF(OR(B120="",Q120="",D120&lt;&gt;"Active"),"",DATE(YEAR(AsOf)+IF(DATE(YEAR(AsOf),MONTH(Q120),DAY(Q120))&lt;AsOf,1,0),MONTH(Q120),DAY(Q120))-AsOf)</f>
        <v/>
      </c>
      <c r="AT120" s="43" t="str">
        <f aca="false">IF(OR(B120="",I120="",D120&lt;&gt;"Active"),"",IF(YEAR(DATE(YEAR(AsOf)+IF(DATE(YEAR(AsOf),MONTH(I120),DAY(I120))&lt;AsOf,1,0),MONTH(I120),DAY(I120)))-YEAR(I120)&lt;1,"",DATE(YEAR(AsOf)+IF(DATE(YEAR(AsOf),MONTH(I120),DAY(I120))&lt;AsOf,1,0),MONTH(I120),DAY(I120))-AsOf))</f>
        <v/>
      </c>
      <c r="AU120" s="43" t="str">
        <f aca="false">IF(B120="","",IF(AV120="",0,LEN(AV120)-LEN(SUBSTITUTE(AV120,";",""))))</f>
        <v/>
      </c>
      <c r="AV120" s="9" t="str">
        <f aca="false">IF(B120="","",IF(COUNTIF($B$6:$B$505,B120)&gt;1,"Duplicate Emp Code; ","")&amp;IF(C120="","Name missing; ","")&amp;IF(I120="","DOJ missing; ","")&amp;IF(AND(J120&lt;&gt;"",I120&lt;&gt;"",J120&lt;I120),"Exit before DOJ; ","")&amp;IF(Q120="","DOB missing; ","")&amp;IF(T120="","Aadhaar missing; ",IF(LEN(T120)&lt;&gt;12,"Aadhaar not 12 digits; ",IF(COUNTIF($T$6:$T$505,T120)&gt;1,"Duplicate Aadhaar; ","")))&amp;IF(U120="","PAN missing; ",IF(LEN(U120)&lt;&gt;10,"PAN not 10 chars; ",""))&amp;IF(V120="","Mobile missing; ",IF(LEN(V120)&lt;&gt;10,"Mobile not 10 digits; ",""))&amp;IF(AG120="","Bank A/c missing; ","")&amp;IF(AH120="","IFSC missing; ",IF(LEN(AH120)&lt;&gt;11,"IFSC not 11 chars; ","")))</f>
        <v/>
      </c>
      <c r="AW120" s="46" t="str">
        <f aca="false">IF(AS120="","",AS120+ROW()/100000)</f>
        <v/>
      </c>
      <c r="AX120" s="46" t="str">
        <f aca="false">IF(AT120="","",AT120+ROW()/100000)</f>
        <v/>
      </c>
    </row>
    <row r="121" customFormat="false" ht="15" hidden="false" customHeight="false" outlineLevel="0" collapsed="false">
      <c r="A121" s="9" t="str">
        <f aca="false">IF(B121="","",ROW()-5)</f>
        <v/>
      </c>
      <c r="B121" s="40"/>
      <c r="C121" s="8"/>
      <c r="D121" s="9" t="str">
        <f aca="false">IF(B121="","",IF(J121="","Active","Exited"))</f>
        <v/>
      </c>
      <c r="E121" s="8"/>
      <c r="F121" s="8"/>
      <c r="G121" s="8"/>
      <c r="H121" s="9" t="str">
        <f aca="false">IF(OR(B121="",I121=""),"",IF(IF(J121="",AsOf,J121)-I121&gt;=Settings!$C$13,"Permanent","Probation"))</f>
        <v/>
      </c>
      <c r="I121" s="41"/>
      <c r="J121" s="41"/>
      <c r="K121" s="8"/>
      <c r="L121" s="42" t="str">
        <f aca="false">IF(OR(B121="",I121=""),"",ROUND((IF(J121="",AsOf,J121)-I121)/365.25,1))</f>
        <v/>
      </c>
      <c r="M121" s="8"/>
      <c r="N121" s="8"/>
      <c r="O121" s="8"/>
      <c r="P121" s="8"/>
      <c r="Q121" s="41"/>
      <c r="R121" s="43" t="str">
        <f aca="false">IF(OR(B121="",Q121=""),"",INT((AsOf-Q121)/365.25))</f>
        <v/>
      </c>
      <c r="S121" s="8"/>
      <c r="T121" s="40"/>
      <c r="U121" s="40"/>
      <c r="V121" s="40"/>
      <c r="W121" s="40"/>
      <c r="X121" s="8"/>
      <c r="Y121" s="8"/>
      <c r="Z121" s="8"/>
      <c r="AA121" s="8"/>
      <c r="AB121" s="8"/>
      <c r="AC121" s="8"/>
      <c r="AD121" s="8"/>
      <c r="AE121" s="40"/>
      <c r="AF121" s="8"/>
      <c r="AG121" s="40"/>
      <c r="AH121" s="40"/>
      <c r="AI121" s="8"/>
      <c r="AJ121" s="40"/>
      <c r="AK121" s="40"/>
      <c r="AL121" s="40"/>
      <c r="AM121" s="44"/>
      <c r="AN121" s="44"/>
      <c r="AO121" s="41"/>
      <c r="AP121" s="45" t="str">
        <f aca="false">IF(B121="","",IF(AND(ISNUMBER(AM121),ISNUMBER(AN121),AM121&gt;0,AN121&gt;0),AN121/AM121-1,""))</f>
        <v/>
      </c>
      <c r="AQ121" s="9" t="str">
        <f aca="false">IF(I121="","",(YEAR(I121)-IF(MONTH(I121)&lt;4,1,0))&amp;"-"&amp;RIGHT((YEAR(I121)-IF(MONTH(I121)&lt;4,1,0))+1,2))</f>
        <v/>
      </c>
      <c r="AR121" s="9" t="str">
        <f aca="false">IF(J121="","",(YEAR(J121)-IF(MONTH(J121)&lt;4,1,0))&amp;"-"&amp;RIGHT((YEAR(J121)-IF(MONTH(J121)&lt;4,1,0))+1,2))</f>
        <v/>
      </c>
      <c r="AS121" s="43" t="str">
        <f aca="false">IF(OR(B121="",Q121="",D121&lt;&gt;"Active"),"",DATE(YEAR(AsOf)+IF(DATE(YEAR(AsOf),MONTH(Q121),DAY(Q121))&lt;AsOf,1,0),MONTH(Q121),DAY(Q121))-AsOf)</f>
        <v/>
      </c>
      <c r="AT121" s="43" t="str">
        <f aca="false">IF(OR(B121="",I121="",D121&lt;&gt;"Active"),"",IF(YEAR(DATE(YEAR(AsOf)+IF(DATE(YEAR(AsOf),MONTH(I121),DAY(I121))&lt;AsOf,1,0),MONTH(I121),DAY(I121)))-YEAR(I121)&lt;1,"",DATE(YEAR(AsOf)+IF(DATE(YEAR(AsOf),MONTH(I121),DAY(I121))&lt;AsOf,1,0),MONTH(I121),DAY(I121))-AsOf))</f>
        <v/>
      </c>
      <c r="AU121" s="43" t="str">
        <f aca="false">IF(B121="","",IF(AV121="",0,LEN(AV121)-LEN(SUBSTITUTE(AV121,";",""))))</f>
        <v/>
      </c>
      <c r="AV121" s="9" t="str">
        <f aca="false">IF(B121="","",IF(COUNTIF($B$6:$B$505,B121)&gt;1,"Duplicate Emp Code; ","")&amp;IF(C121="","Name missing; ","")&amp;IF(I121="","DOJ missing; ","")&amp;IF(AND(J121&lt;&gt;"",I121&lt;&gt;"",J121&lt;I121),"Exit before DOJ; ","")&amp;IF(Q121="","DOB missing; ","")&amp;IF(T121="","Aadhaar missing; ",IF(LEN(T121)&lt;&gt;12,"Aadhaar not 12 digits; ",IF(COUNTIF($T$6:$T$505,T121)&gt;1,"Duplicate Aadhaar; ","")))&amp;IF(U121="","PAN missing; ",IF(LEN(U121)&lt;&gt;10,"PAN not 10 chars; ",""))&amp;IF(V121="","Mobile missing; ",IF(LEN(V121)&lt;&gt;10,"Mobile not 10 digits; ",""))&amp;IF(AG121="","Bank A/c missing; ","")&amp;IF(AH121="","IFSC missing; ",IF(LEN(AH121)&lt;&gt;11,"IFSC not 11 chars; ","")))</f>
        <v/>
      </c>
      <c r="AW121" s="46" t="str">
        <f aca="false">IF(AS121="","",AS121+ROW()/100000)</f>
        <v/>
      </c>
      <c r="AX121" s="46" t="str">
        <f aca="false">IF(AT121="","",AT121+ROW()/100000)</f>
        <v/>
      </c>
    </row>
    <row r="122" customFormat="false" ht="15" hidden="false" customHeight="false" outlineLevel="0" collapsed="false">
      <c r="A122" s="9" t="str">
        <f aca="false">IF(B122="","",ROW()-5)</f>
        <v/>
      </c>
      <c r="B122" s="40"/>
      <c r="C122" s="8"/>
      <c r="D122" s="9" t="str">
        <f aca="false">IF(B122="","",IF(J122="","Active","Exited"))</f>
        <v/>
      </c>
      <c r="E122" s="8"/>
      <c r="F122" s="8"/>
      <c r="G122" s="8"/>
      <c r="H122" s="9" t="str">
        <f aca="false">IF(OR(B122="",I122=""),"",IF(IF(J122="",AsOf,J122)-I122&gt;=Settings!$C$13,"Permanent","Probation"))</f>
        <v/>
      </c>
      <c r="I122" s="41"/>
      <c r="J122" s="41"/>
      <c r="K122" s="8"/>
      <c r="L122" s="42" t="str">
        <f aca="false">IF(OR(B122="",I122=""),"",ROUND((IF(J122="",AsOf,J122)-I122)/365.25,1))</f>
        <v/>
      </c>
      <c r="M122" s="8"/>
      <c r="N122" s="8"/>
      <c r="O122" s="8"/>
      <c r="P122" s="8"/>
      <c r="Q122" s="41"/>
      <c r="R122" s="43" t="str">
        <f aca="false">IF(OR(B122="",Q122=""),"",INT((AsOf-Q122)/365.25))</f>
        <v/>
      </c>
      <c r="S122" s="8"/>
      <c r="T122" s="40"/>
      <c r="U122" s="40"/>
      <c r="V122" s="40"/>
      <c r="W122" s="40"/>
      <c r="X122" s="8"/>
      <c r="Y122" s="8"/>
      <c r="Z122" s="8"/>
      <c r="AA122" s="8"/>
      <c r="AB122" s="8"/>
      <c r="AC122" s="8"/>
      <c r="AD122" s="8"/>
      <c r="AE122" s="40"/>
      <c r="AF122" s="8"/>
      <c r="AG122" s="40"/>
      <c r="AH122" s="40"/>
      <c r="AI122" s="8"/>
      <c r="AJ122" s="40"/>
      <c r="AK122" s="40"/>
      <c r="AL122" s="40"/>
      <c r="AM122" s="44"/>
      <c r="AN122" s="44"/>
      <c r="AO122" s="41"/>
      <c r="AP122" s="45" t="str">
        <f aca="false">IF(B122="","",IF(AND(ISNUMBER(AM122),ISNUMBER(AN122),AM122&gt;0,AN122&gt;0),AN122/AM122-1,""))</f>
        <v/>
      </c>
      <c r="AQ122" s="9" t="str">
        <f aca="false">IF(I122="","",(YEAR(I122)-IF(MONTH(I122)&lt;4,1,0))&amp;"-"&amp;RIGHT((YEAR(I122)-IF(MONTH(I122)&lt;4,1,0))+1,2))</f>
        <v/>
      </c>
      <c r="AR122" s="9" t="str">
        <f aca="false">IF(J122="","",(YEAR(J122)-IF(MONTH(J122)&lt;4,1,0))&amp;"-"&amp;RIGHT((YEAR(J122)-IF(MONTH(J122)&lt;4,1,0))+1,2))</f>
        <v/>
      </c>
      <c r="AS122" s="43" t="str">
        <f aca="false">IF(OR(B122="",Q122="",D122&lt;&gt;"Active"),"",DATE(YEAR(AsOf)+IF(DATE(YEAR(AsOf),MONTH(Q122),DAY(Q122))&lt;AsOf,1,0),MONTH(Q122),DAY(Q122))-AsOf)</f>
        <v/>
      </c>
      <c r="AT122" s="43" t="str">
        <f aca="false">IF(OR(B122="",I122="",D122&lt;&gt;"Active"),"",IF(YEAR(DATE(YEAR(AsOf)+IF(DATE(YEAR(AsOf),MONTH(I122),DAY(I122))&lt;AsOf,1,0),MONTH(I122),DAY(I122)))-YEAR(I122)&lt;1,"",DATE(YEAR(AsOf)+IF(DATE(YEAR(AsOf),MONTH(I122),DAY(I122))&lt;AsOf,1,0),MONTH(I122),DAY(I122))-AsOf))</f>
        <v/>
      </c>
      <c r="AU122" s="43" t="str">
        <f aca="false">IF(B122="","",IF(AV122="",0,LEN(AV122)-LEN(SUBSTITUTE(AV122,";",""))))</f>
        <v/>
      </c>
      <c r="AV122" s="9" t="str">
        <f aca="false">IF(B122="","",IF(COUNTIF($B$6:$B$505,B122)&gt;1,"Duplicate Emp Code; ","")&amp;IF(C122="","Name missing; ","")&amp;IF(I122="","DOJ missing; ","")&amp;IF(AND(J122&lt;&gt;"",I122&lt;&gt;"",J122&lt;I122),"Exit before DOJ; ","")&amp;IF(Q122="","DOB missing; ","")&amp;IF(T122="","Aadhaar missing; ",IF(LEN(T122)&lt;&gt;12,"Aadhaar not 12 digits; ",IF(COUNTIF($T$6:$T$505,T122)&gt;1,"Duplicate Aadhaar; ","")))&amp;IF(U122="","PAN missing; ",IF(LEN(U122)&lt;&gt;10,"PAN not 10 chars; ",""))&amp;IF(V122="","Mobile missing; ",IF(LEN(V122)&lt;&gt;10,"Mobile not 10 digits; ",""))&amp;IF(AG122="","Bank A/c missing; ","")&amp;IF(AH122="","IFSC missing; ",IF(LEN(AH122)&lt;&gt;11,"IFSC not 11 chars; ","")))</f>
        <v/>
      </c>
      <c r="AW122" s="46" t="str">
        <f aca="false">IF(AS122="","",AS122+ROW()/100000)</f>
        <v/>
      </c>
      <c r="AX122" s="46" t="str">
        <f aca="false">IF(AT122="","",AT122+ROW()/100000)</f>
        <v/>
      </c>
    </row>
    <row r="123" customFormat="false" ht="15" hidden="false" customHeight="false" outlineLevel="0" collapsed="false">
      <c r="A123" s="9" t="str">
        <f aca="false">IF(B123="","",ROW()-5)</f>
        <v/>
      </c>
      <c r="B123" s="40"/>
      <c r="C123" s="8"/>
      <c r="D123" s="9" t="str">
        <f aca="false">IF(B123="","",IF(J123="","Active","Exited"))</f>
        <v/>
      </c>
      <c r="E123" s="8"/>
      <c r="F123" s="8"/>
      <c r="G123" s="8"/>
      <c r="H123" s="9" t="str">
        <f aca="false">IF(OR(B123="",I123=""),"",IF(IF(J123="",AsOf,J123)-I123&gt;=Settings!$C$13,"Permanent","Probation"))</f>
        <v/>
      </c>
      <c r="I123" s="41"/>
      <c r="J123" s="41"/>
      <c r="K123" s="8"/>
      <c r="L123" s="42" t="str">
        <f aca="false">IF(OR(B123="",I123=""),"",ROUND((IF(J123="",AsOf,J123)-I123)/365.25,1))</f>
        <v/>
      </c>
      <c r="M123" s="8"/>
      <c r="N123" s="8"/>
      <c r="O123" s="8"/>
      <c r="P123" s="8"/>
      <c r="Q123" s="41"/>
      <c r="R123" s="43" t="str">
        <f aca="false">IF(OR(B123="",Q123=""),"",INT((AsOf-Q123)/365.25))</f>
        <v/>
      </c>
      <c r="S123" s="8"/>
      <c r="T123" s="40"/>
      <c r="U123" s="40"/>
      <c r="V123" s="40"/>
      <c r="W123" s="40"/>
      <c r="X123" s="8"/>
      <c r="Y123" s="8"/>
      <c r="Z123" s="8"/>
      <c r="AA123" s="8"/>
      <c r="AB123" s="8"/>
      <c r="AC123" s="8"/>
      <c r="AD123" s="8"/>
      <c r="AE123" s="40"/>
      <c r="AF123" s="8"/>
      <c r="AG123" s="40"/>
      <c r="AH123" s="40"/>
      <c r="AI123" s="8"/>
      <c r="AJ123" s="40"/>
      <c r="AK123" s="40"/>
      <c r="AL123" s="40"/>
      <c r="AM123" s="44"/>
      <c r="AN123" s="44"/>
      <c r="AO123" s="41"/>
      <c r="AP123" s="45" t="str">
        <f aca="false">IF(B123="","",IF(AND(ISNUMBER(AM123),ISNUMBER(AN123),AM123&gt;0,AN123&gt;0),AN123/AM123-1,""))</f>
        <v/>
      </c>
      <c r="AQ123" s="9" t="str">
        <f aca="false">IF(I123="","",(YEAR(I123)-IF(MONTH(I123)&lt;4,1,0))&amp;"-"&amp;RIGHT((YEAR(I123)-IF(MONTH(I123)&lt;4,1,0))+1,2))</f>
        <v/>
      </c>
      <c r="AR123" s="9" t="str">
        <f aca="false">IF(J123="","",(YEAR(J123)-IF(MONTH(J123)&lt;4,1,0))&amp;"-"&amp;RIGHT((YEAR(J123)-IF(MONTH(J123)&lt;4,1,0))+1,2))</f>
        <v/>
      </c>
      <c r="AS123" s="43" t="str">
        <f aca="false">IF(OR(B123="",Q123="",D123&lt;&gt;"Active"),"",DATE(YEAR(AsOf)+IF(DATE(YEAR(AsOf),MONTH(Q123),DAY(Q123))&lt;AsOf,1,0),MONTH(Q123),DAY(Q123))-AsOf)</f>
        <v/>
      </c>
      <c r="AT123" s="43" t="str">
        <f aca="false">IF(OR(B123="",I123="",D123&lt;&gt;"Active"),"",IF(YEAR(DATE(YEAR(AsOf)+IF(DATE(YEAR(AsOf),MONTH(I123),DAY(I123))&lt;AsOf,1,0),MONTH(I123),DAY(I123)))-YEAR(I123)&lt;1,"",DATE(YEAR(AsOf)+IF(DATE(YEAR(AsOf),MONTH(I123),DAY(I123))&lt;AsOf,1,0),MONTH(I123),DAY(I123))-AsOf))</f>
        <v/>
      </c>
      <c r="AU123" s="43" t="str">
        <f aca="false">IF(B123="","",IF(AV123="",0,LEN(AV123)-LEN(SUBSTITUTE(AV123,";",""))))</f>
        <v/>
      </c>
      <c r="AV123" s="9" t="str">
        <f aca="false">IF(B123="","",IF(COUNTIF($B$6:$B$505,B123)&gt;1,"Duplicate Emp Code; ","")&amp;IF(C123="","Name missing; ","")&amp;IF(I123="","DOJ missing; ","")&amp;IF(AND(J123&lt;&gt;"",I123&lt;&gt;"",J123&lt;I123),"Exit before DOJ; ","")&amp;IF(Q123="","DOB missing; ","")&amp;IF(T123="","Aadhaar missing; ",IF(LEN(T123)&lt;&gt;12,"Aadhaar not 12 digits; ",IF(COUNTIF($T$6:$T$505,T123)&gt;1,"Duplicate Aadhaar; ","")))&amp;IF(U123="","PAN missing; ",IF(LEN(U123)&lt;&gt;10,"PAN not 10 chars; ",""))&amp;IF(V123="","Mobile missing; ",IF(LEN(V123)&lt;&gt;10,"Mobile not 10 digits; ",""))&amp;IF(AG123="","Bank A/c missing; ","")&amp;IF(AH123="","IFSC missing; ",IF(LEN(AH123)&lt;&gt;11,"IFSC not 11 chars; ","")))</f>
        <v/>
      </c>
      <c r="AW123" s="46" t="str">
        <f aca="false">IF(AS123="","",AS123+ROW()/100000)</f>
        <v/>
      </c>
      <c r="AX123" s="46" t="str">
        <f aca="false">IF(AT123="","",AT123+ROW()/100000)</f>
        <v/>
      </c>
    </row>
    <row r="124" customFormat="false" ht="15" hidden="false" customHeight="false" outlineLevel="0" collapsed="false">
      <c r="A124" s="9" t="str">
        <f aca="false">IF(B124="","",ROW()-5)</f>
        <v/>
      </c>
      <c r="B124" s="40"/>
      <c r="C124" s="8"/>
      <c r="D124" s="9" t="str">
        <f aca="false">IF(B124="","",IF(J124="","Active","Exited"))</f>
        <v/>
      </c>
      <c r="E124" s="8"/>
      <c r="F124" s="8"/>
      <c r="G124" s="8"/>
      <c r="H124" s="9" t="str">
        <f aca="false">IF(OR(B124="",I124=""),"",IF(IF(J124="",AsOf,J124)-I124&gt;=Settings!$C$13,"Permanent","Probation"))</f>
        <v/>
      </c>
      <c r="I124" s="41"/>
      <c r="J124" s="41"/>
      <c r="K124" s="8"/>
      <c r="L124" s="42" t="str">
        <f aca="false">IF(OR(B124="",I124=""),"",ROUND((IF(J124="",AsOf,J124)-I124)/365.25,1))</f>
        <v/>
      </c>
      <c r="M124" s="8"/>
      <c r="N124" s="8"/>
      <c r="O124" s="8"/>
      <c r="P124" s="8"/>
      <c r="Q124" s="41"/>
      <c r="R124" s="43" t="str">
        <f aca="false">IF(OR(B124="",Q124=""),"",INT((AsOf-Q124)/365.25))</f>
        <v/>
      </c>
      <c r="S124" s="8"/>
      <c r="T124" s="40"/>
      <c r="U124" s="40"/>
      <c r="V124" s="40"/>
      <c r="W124" s="40"/>
      <c r="X124" s="8"/>
      <c r="Y124" s="8"/>
      <c r="Z124" s="8"/>
      <c r="AA124" s="8"/>
      <c r="AB124" s="8"/>
      <c r="AC124" s="8"/>
      <c r="AD124" s="8"/>
      <c r="AE124" s="40"/>
      <c r="AF124" s="8"/>
      <c r="AG124" s="40"/>
      <c r="AH124" s="40"/>
      <c r="AI124" s="8"/>
      <c r="AJ124" s="40"/>
      <c r="AK124" s="40"/>
      <c r="AL124" s="40"/>
      <c r="AM124" s="44"/>
      <c r="AN124" s="44"/>
      <c r="AO124" s="41"/>
      <c r="AP124" s="45" t="str">
        <f aca="false">IF(B124="","",IF(AND(ISNUMBER(AM124),ISNUMBER(AN124),AM124&gt;0,AN124&gt;0),AN124/AM124-1,""))</f>
        <v/>
      </c>
      <c r="AQ124" s="9" t="str">
        <f aca="false">IF(I124="","",(YEAR(I124)-IF(MONTH(I124)&lt;4,1,0))&amp;"-"&amp;RIGHT((YEAR(I124)-IF(MONTH(I124)&lt;4,1,0))+1,2))</f>
        <v/>
      </c>
      <c r="AR124" s="9" t="str">
        <f aca="false">IF(J124="","",(YEAR(J124)-IF(MONTH(J124)&lt;4,1,0))&amp;"-"&amp;RIGHT((YEAR(J124)-IF(MONTH(J124)&lt;4,1,0))+1,2))</f>
        <v/>
      </c>
      <c r="AS124" s="43" t="str">
        <f aca="false">IF(OR(B124="",Q124="",D124&lt;&gt;"Active"),"",DATE(YEAR(AsOf)+IF(DATE(YEAR(AsOf),MONTH(Q124),DAY(Q124))&lt;AsOf,1,0),MONTH(Q124),DAY(Q124))-AsOf)</f>
        <v/>
      </c>
      <c r="AT124" s="43" t="str">
        <f aca="false">IF(OR(B124="",I124="",D124&lt;&gt;"Active"),"",IF(YEAR(DATE(YEAR(AsOf)+IF(DATE(YEAR(AsOf),MONTH(I124),DAY(I124))&lt;AsOf,1,0),MONTH(I124),DAY(I124)))-YEAR(I124)&lt;1,"",DATE(YEAR(AsOf)+IF(DATE(YEAR(AsOf),MONTH(I124),DAY(I124))&lt;AsOf,1,0),MONTH(I124),DAY(I124))-AsOf))</f>
        <v/>
      </c>
      <c r="AU124" s="43" t="str">
        <f aca="false">IF(B124="","",IF(AV124="",0,LEN(AV124)-LEN(SUBSTITUTE(AV124,";",""))))</f>
        <v/>
      </c>
      <c r="AV124" s="9" t="str">
        <f aca="false">IF(B124="","",IF(COUNTIF($B$6:$B$505,B124)&gt;1,"Duplicate Emp Code; ","")&amp;IF(C124="","Name missing; ","")&amp;IF(I124="","DOJ missing; ","")&amp;IF(AND(J124&lt;&gt;"",I124&lt;&gt;"",J124&lt;I124),"Exit before DOJ; ","")&amp;IF(Q124="","DOB missing; ","")&amp;IF(T124="","Aadhaar missing; ",IF(LEN(T124)&lt;&gt;12,"Aadhaar not 12 digits; ",IF(COUNTIF($T$6:$T$505,T124)&gt;1,"Duplicate Aadhaar; ","")))&amp;IF(U124="","PAN missing; ",IF(LEN(U124)&lt;&gt;10,"PAN not 10 chars; ",""))&amp;IF(V124="","Mobile missing; ",IF(LEN(V124)&lt;&gt;10,"Mobile not 10 digits; ",""))&amp;IF(AG124="","Bank A/c missing; ","")&amp;IF(AH124="","IFSC missing; ",IF(LEN(AH124)&lt;&gt;11,"IFSC not 11 chars; ","")))</f>
        <v/>
      </c>
      <c r="AW124" s="46" t="str">
        <f aca="false">IF(AS124="","",AS124+ROW()/100000)</f>
        <v/>
      </c>
      <c r="AX124" s="46" t="str">
        <f aca="false">IF(AT124="","",AT124+ROW()/100000)</f>
        <v/>
      </c>
    </row>
    <row r="125" customFormat="false" ht="15" hidden="false" customHeight="false" outlineLevel="0" collapsed="false">
      <c r="A125" s="9" t="str">
        <f aca="false">IF(B125="","",ROW()-5)</f>
        <v/>
      </c>
      <c r="B125" s="40"/>
      <c r="C125" s="8"/>
      <c r="D125" s="9" t="str">
        <f aca="false">IF(B125="","",IF(J125="","Active","Exited"))</f>
        <v/>
      </c>
      <c r="E125" s="8"/>
      <c r="F125" s="8"/>
      <c r="G125" s="8"/>
      <c r="H125" s="9" t="str">
        <f aca="false">IF(OR(B125="",I125=""),"",IF(IF(J125="",AsOf,J125)-I125&gt;=Settings!$C$13,"Permanent","Probation"))</f>
        <v/>
      </c>
      <c r="I125" s="41"/>
      <c r="J125" s="41"/>
      <c r="K125" s="8"/>
      <c r="L125" s="42" t="str">
        <f aca="false">IF(OR(B125="",I125=""),"",ROUND((IF(J125="",AsOf,J125)-I125)/365.25,1))</f>
        <v/>
      </c>
      <c r="M125" s="8"/>
      <c r="N125" s="8"/>
      <c r="O125" s="8"/>
      <c r="P125" s="8"/>
      <c r="Q125" s="41"/>
      <c r="R125" s="43" t="str">
        <f aca="false">IF(OR(B125="",Q125=""),"",INT((AsOf-Q125)/365.25))</f>
        <v/>
      </c>
      <c r="S125" s="8"/>
      <c r="T125" s="40"/>
      <c r="U125" s="40"/>
      <c r="V125" s="40"/>
      <c r="W125" s="40"/>
      <c r="X125" s="8"/>
      <c r="Y125" s="8"/>
      <c r="Z125" s="8"/>
      <c r="AA125" s="8"/>
      <c r="AB125" s="8"/>
      <c r="AC125" s="8"/>
      <c r="AD125" s="8"/>
      <c r="AE125" s="40"/>
      <c r="AF125" s="8"/>
      <c r="AG125" s="40"/>
      <c r="AH125" s="40"/>
      <c r="AI125" s="8"/>
      <c r="AJ125" s="40"/>
      <c r="AK125" s="40"/>
      <c r="AL125" s="40"/>
      <c r="AM125" s="44"/>
      <c r="AN125" s="44"/>
      <c r="AO125" s="41"/>
      <c r="AP125" s="45" t="str">
        <f aca="false">IF(B125="","",IF(AND(ISNUMBER(AM125),ISNUMBER(AN125),AM125&gt;0,AN125&gt;0),AN125/AM125-1,""))</f>
        <v/>
      </c>
      <c r="AQ125" s="9" t="str">
        <f aca="false">IF(I125="","",(YEAR(I125)-IF(MONTH(I125)&lt;4,1,0))&amp;"-"&amp;RIGHT((YEAR(I125)-IF(MONTH(I125)&lt;4,1,0))+1,2))</f>
        <v/>
      </c>
      <c r="AR125" s="9" t="str">
        <f aca="false">IF(J125="","",(YEAR(J125)-IF(MONTH(J125)&lt;4,1,0))&amp;"-"&amp;RIGHT((YEAR(J125)-IF(MONTH(J125)&lt;4,1,0))+1,2))</f>
        <v/>
      </c>
      <c r="AS125" s="43" t="str">
        <f aca="false">IF(OR(B125="",Q125="",D125&lt;&gt;"Active"),"",DATE(YEAR(AsOf)+IF(DATE(YEAR(AsOf),MONTH(Q125),DAY(Q125))&lt;AsOf,1,0),MONTH(Q125),DAY(Q125))-AsOf)</f>
        <v/>
      </c>
      <c r="AT125" s="43" t="str">
        <f aca="false">IF(OR(B125="",I125="",D125&lt;&gt;"Active"),"",IF(YEAR(DATE(YEAR(AsOf)+IF(DATE(YEAR(AsOf),MONTH(I125),DAY(I125))&lt;AsOf,1,0),MONTH(I125),DAY(I125)))-YEAR(I125)&lt;1,"",DATE(YEAR(AsOf)+IF(DATE(YEAR(AsOf),MONTH(I125),DAY(I125))&lt;AsOf,1,0),MONTH(I125),DAY(I125))-AsOf))</f>
        <v/>
      </c>
      <c r="AU125" s="43" t="str">
        <f aca="false">IF(B125="","",IF(AV125="",0,LEN(AV125)-LEN(SUBSTITUTE(AV125,";",""))))</f>
        <v/>
      </c>
      <c r="AV125" s="9" t="str">
        <f aca="false">IF(B125="","",IF(COUNTIF($B$6:$B$505,B125)&gt;1,"Duplicate Emp Code; ","")&amp;IF(C125="","Name missing; ","")&amp;IF(I125="","DOJ missing; ","")&amp;IF(AND(J125&lt;&gt;"",I125&lt;&gt;"",J125&lt;I125),"Exit before DOJ; ","")&amp;IF(Q125="","DOB missing; ","")&amp;IF(T125="","Aadhaar missing; ",IF(LEN(T125)&lt;&gt;12,"Aadhaar not 12 digits; ",IF(COUNTIF($T$6:$T$505,T125)&gt;1,"Duplicate Aadhaar; ","")))&amp;IF(U125="","PAN missing; ",IF(LEN(U125)&lt;&gt;10,"PAN not 10 chars; ",""))&amp;IF(V125="","Mobile missing; ",IF(LEN(V125)&lt;&gt;10,"Mobile not 10 digits; ",""))&amp;IF(AG125="","Bank A/c missing; ","")&amp;IF(AH125="","IFSC missing; ",IF(LEN(AH125)&lt;&gt;11,"IFSC not 11 chars; ","")))</f>
        <v/>
      </c>
      <c r="AW125" s="46" t="str">
        <f aca="false">IF(AS125="","",AS125+ROW()/100000)</f>
        <v/>
      </c>
      <c r="AX125" s="46" t="str">
        <f aca="false">IF(AT125="","",AT125+ROW()/100000)</f>
        <v/>
      </c>
    </row>
    <row r="126" customFormat="false" ht="15" hidden="false" customHeight="false" outlineLevel="0" collapsed="false">
      <c r="A126" s="9" t="str">
        <f aca="false">IF(B126="","",ROW()-5)</f>
        <v/>
      </c>
      <c r="B126" s="40"/>
      <c r="C126" s="8"/>
      <c r="D126" s="9" t="str">
        <f aca="false">IF(B126="","",IF(J126="","Active","Exited"))</f>
        <v/>
      </c>
      <c r="E126" s="8"/>
      <c r="F126" s="8"/>
      <c r="G126" s="8"/>
      <c r="H126" s="9" t="str">
        <f aca="false">IF(OR(B126="",I126=""),"",IF(IF(J126="",AsOf,J126)-I126&gt;=Settings!$C$13,"Permanent","Probation"))</f>
        <v/>
      </c>
      <c r="I126" s="41"/>
      <c r="J126" s="41"/>
      <c r="K126" s="8"/>
      <c r="L126" s="42" t="str">
        <f aca="false">IF(OR(B126="",I126=""),"",ROUND((IF(J126="",AsOf,J126)-I126)/365.25,1))</f>
        <v/>
      </c>
      <c r="M126" s="8"/>
      <c r="N126" s="8"/>
      <c r="O126" s="8"/>
      <c r="P126" s="8"/>
      <c r="Q126" s="41"/>
      <c r="R126" s="43" t="str">
        <f aca="false">IF(OR(B126="",Q126=""),"",INT((AsOf-Q126)/365.25))</f>
        <v/>
      </c>
      <c r="S126" s="8"/>
      <c r="T126" s="40"/>
      <c r="U126" s="40"/>
      <c r="V126" s="40"/>
      <c r="W126" s="40"/>
      <c r="X126" s="8"/>
      <c r="Y126" s="8"/>
      <c r="Z126" s="8"/>
      <c r="AA126" s="8"/>
      <c r="AB126" s="8"/>
      <c r="AC126" s="8"/>
      <c r="AD126" s="8"/>
      <c r="AE126" s="40"/>
      <c r="AF126" s="8"/>
      <c r="AG126" s="40"/>
      <c r="AH126" s="40"/>
      <c r="AI126" s="8"/>
      <c r="AJ126" s="40"/>
      <c r="AK126" s="40"/>
      <c r="AL126" s="40"/>
      <c r="AM126" s="44"/>
      <c r="AN126" s="44"/>
      <c r="AO126" s="41"/>
      <c r="AP126" s="45" t="str">
        <f aca="false">IF(B126="","",IF(AND(ISNUMBER(AM126),ISNUMBER(AN126),AM126&gt;0,AN126&gt;0),AN126/AM126-1,""))</f>
        <v/>
      </c>
      <c r="AQ126" s="9" t="str">
        <f aca="false">IF(I126="","",(YEAR(I126)-IF(MONTH(I126)&lt;4,1,0))&amp;"-"&amp;RIGHT((YEAR(I126)-IF(MONTH(I126)&lt;4,1,0))+1,2))</f>
        <v/>
      </c>
      <c r="AR126" s="9" t="str">
        <f aca="false">IF(J126="","",(YEAR(J126)-IF(MONTH(J126)&lt;4,1,0))&amp;"-"&amp;RIGHT((YEAR(J126)-IF(MONTH(J126)&lt;4,1,0))+1,2))</f>
        <v/>
      </c>
      <c r="AS126" s="43" t="str">
        <f aca="false">IF(OR(B126="",Q126="",D126&lt;&gt;"Active"),"",DATE(YEAR(AsOf)+IF(DATE(YEAR(AsOf),MONTH(Q126),DAY(Q126))&lt;AsOf,1,0),MONTH(Q126),DAY(Q126))-AsOf)</f>
        <v/>
      </c>
      <c r="AT126" s="43" t="str">
        <f aca="false">IF(OR(B126="",I126="",D126&lt;&gt;"Active"),"",IF(YEAR(DATE(YEAR(AsOf)+IF(DATE(YEAR(AsOf),MONTH(I126),DAY(I126))&lt;AsOf,1,0),MONTH(I126),DAY(I126)))-YEAR(I126)&lt;1,"",DATE(YEAR(AsOf)+IF(DATE(YEAR(AsOf),MONTH(I126),DAY(I126))&lt;AsOf,1,0),MONTH(I126),DAY(I126))-AsOf))</f>
        <v/>
      </c>
      <c r="AU126" s="43" t="str">
        <f aca="false">IF(B126="","",IF(AV126="",0,LEN(AV126)-LEN(SUBSTITUTE(AV126,";",""))))</f>
        <v/>
      </c>
      <c r="AV126" s="9" t="str">
        <f aca="false">IF(B126="","",IF(COUNTIF($B$6:$B$505,B126)&gt;1,"Duplicate Emp Code; ","")&amp;IF(C126="","Name missing; ","")&amp;IF(I126="","DOJ missing; ","")&amp;IF(AND(J126&lt;&gt;"",I126&lt;&gt;"",J126&lt;I126),"Exit before DOJ; ","")&amp;IF(Q126="","DOB missing; ","")&amp;IF(T126="","Aadhaar missing; ",IF(LEN(T126)&lt;&gt;12,"Aadhaar not 12 digits; ",IF(COUNTIF($T$6:$T$505,T126)&gt;1,"Duplicate Aadhaar; ","")))&amp;IF(U126="","PAN missing; ",IF(LEN(U126)&lt;&gt;10,"PAN not 10 chars; ",""))&amp;IF(V126="","Mobile missing; ",IF(LEN(V126)&lt;&gt;10,"Mobile not 10 digits; ",""))&amp;IF(AG126="","Bank A/c missing; ","")&amp;IF(AH126="","IFSC missing; ",IF(LEN(AH126)&lt;&gt;11,"IFSC not 11 chars; ","")))</f>
        <v/>
      </c>
      <c r="AW126" s="46" t="str">
        <f aca="false">IF(AS126="","",AS126+ROW()/100000)</f>
        <v/>
      </c>
      <c r="AX126" s="46" t="str">
        <f aca="false">IF(AT126="","",AT126+ROW()/100000)</f>
        <v/>
      </c>
    </row>
    <row r="127" customFormat="false" ht="15" hidden="false" customHeight="false" outlineLevel="0" collapsed="false">
      <c r="A127" s="9" t="str">
        <f aca="false">IF(B127="","",ROW()-5)</f>
        <v/>
      </c>
      <c r="B127" s="40"/>
      <c r="C127" s="8"/>
      <c r="D127" s="9" t="str">
        <f aca="false">IF(B127="","",IF(J127="","Active","Exited"))</f>
        <v/>
      </c>
      <c r="E127" s="8"/>
      <c r="F127" s="8"/>
      <c r="G127" s="8"/>
      <c r="H127" s="9" t="str">
        <f aca="false">IF(OR(B127="",I127=""),"",IF(IF(J127="",AsOf,J127)-I127&gt;=Settings!$C$13,"Permanent","Probation"))</f>
        <v/>
      </c>
      <c r="I127" s="41"/>
      <c r="J127" s="41"/>
      <c r="K127" s="8"/>
      <c r="L127" s="42" t="str">
        <f aca="false">IF(OR(B127="",I127=""),"",ROUND((IF(J127="",AsOf,J127)-I127)/365.25,1))</f>
        <v/>
      </c>
      <c r="M127" s="8"/>
      <c r="N127" s="8"/>
      <c r="O127" s="8"/>
      <c r="P127" s="8"/>
      <c r="Q127" s="41"/>
      <c r="R127" s="43" t="str">
        <f aca="false">IF(OR(B127="",Q127=""),"",INT((AsOf-Q127)/365.25))</f>
        <v/>
      </c>
      <c r="S127" s="8"/>
      <c r="T127" s="40"/>
      <c r="U127" s="40"/>
      <c r="V127" s="40"/>
      <c r="W127" s="40"/>
      <c r="X127" s="8"/>
      <c r="Y127" s="8"/>
      <c r="Z127" s="8"/>
      <c r="AA127" s="8"/>
      <c r="AB127" s="8"/>
      <c r="AC127" s="8"/>
      <c r="AD127" s="8"/>
      <c r="AE127" s="40"/>
      <c r="AF127" s="8"/>
      <c r="AG127" s="40"/>
      <c r="AH127" s="40"/>
      <c r="AI127" s="8"/>
      <c r="AJ127" s="40"/>
      <c r="AK127" s="40"/>
      <c r="AL127" s="40"/>
      <c r="AM127" s="44"/>
      <c r="AN127" s="44"/>
      <c r="AO127" s="41"/>
      <c r="AP127" s="45" t="str">
        <f aca="false">IF(B127="","",IF(AND(ISNUMBER(AM127),ISNUMBER(AN127),AM127&gt;0,AN127&gt;0),AN127/AM127-1,""))</f>
        <v/>
      </c>
      <c r="AQ127" s="9" t="str">
        <f aca="false">IF(I127="","",(YEAR(I127)-IF(MONTH(I127)&lt;4,1,0))&amp;"-"&amp;RIGHT((YEAR(I127)-IF(MONTH(I127)&lt;4,1,0))+1,2))</f>
        <v/>
      </c>
      <c r="AR127" s="9" t="str">
        <f aca="false">IF(J127="","",(YEAR(J127)-IF(MONTH(J127)&lt;4,1,0))&amp;"-"&amp;RIGHT((YEAR(J127)-IF(MONTH(J127)&lt;4,1,0))+1,2))</f>
        <v/>
      </c>
      <c r="AS127" s="43" t="str">
        <f aca="false">IF(OR(B127="",Q127="",D127&lt;&gt;"Active"),"",DATE(YEAR(AsOf)+IF(DATE(YEAR(AsOf),MONTH(Q127),DAY(Q127))&lt;AsOf,1,0),MONTH(Q127),DAY(Q127))-AsOf)</f>
        <v/>
      </c>
      <c r="AT127" s="43" t="str">
        <f aca="false">IF(OR(B127="",I127="",D127&lt;&gt;"Active"),"",IF(YEAR(DATE(YEAR(AsOf)+IF(DATE(YEAR(AsOf),MONTH(I127),DAY(I127))&lt;AsOf,1,0),MONTH(I127),DAY(I127)))-YEAR(I127)&lt;1,"",DATE(YEAR(AsOf)+IF(DATE(YEAR(AsOf),MONTH(I127),DAY(I127))&lt;AsOf,1,0),MONTH(I127),DAY(I127))-AsOf))</f>
        <v/>
      </c>
      <c r="AU127" s="43" t="str">
        <f aca="false">IF(B127="","",IF(AV127="",0,LEN(AV127)-LEN(SUBSTITUTE(AV127,";",""))))</f>
        <v/>
      </c>
      <c r="AV127" s="9" t="str">
        <f aca="false">IF(B127="","",IF(COUNTIF($B$6:$B$505,B127)&gt;1,"Duplicate Emp Code; ","")&amp;IF(C127="","Name missing; ","")&amp;IF(I127="","DOJ missing; ","")&amp;IF(AND(J127&lt;&gt;"",I127&lt;&gt;"",J127&lt;I127),"Exit before DOJ; ","")&amp;IF(Q127="","DOB missing; ","")&amp;IF(T127="","Aadhaar missing; ",IF(LEN(T127)&lt;&gt;12,"Aadhaar not 12 digits; ",IF(COUNTIF($T$6:$T$505,T127)&gt;1,"Duplicate Aadhaar; ","")))&amp;IF(U127="","PAN missing; ",IF(LEN(U127)&lt;&gt;10,"PAN not 10 chars; ",""))&amp;IF(V127="","Mobile missing; ",IF(LEN(V127)&lt;&gt;10,"Mobile not 10 digits; ",""))&amp;IF(AG127="","Bank A/c missing; ","")&amp;IF(AH127="","IFSC missing; ",IF(LEN(AH127)&lt;&gt;11,"IFSC not 11 chars; ","")))</f>
        <v/>
      </c>
      <c r="AW127" s="46" t="str">
        <f aca="false">IF(AS127="","",AS127+ROW()/100000)</f>
        <v/>
      </c>
      <c r="AX127" s="46" t="str">
        <f aca="false">IF(AT127="","",AT127+ROW()/100000)</f>
        <v/>
      </c>
    </row>
    <row r="128" customFormat="false" ht="15" hidden="false" customHeight="false" outlineLevel="0" collapsed="false">
      <c r="A128" s="9" t="str">
        <f aca="false">IF(B128="","",ROW()-5)</f>
        <v/>
      </c>
      <c r="B128" s="40"/>
      <c r="C128" s="8"/>
      <c r="D128" s="9" t="str">
        <f aca="false">IF(B128="","",IF(J128="","Active","Exited"))</f>
        <v/>
      </c>
      <c r="E128" s="8"/>
      <c r="F128" s="8"/>
      <c r="G128" s="8"/>
      <c r="H128" s="9" t="str">
        <f aca="false">IF(OR(B128="",I128=""),"",IF(IF(J128="",AsOf,J128)-I128&gt;=Settings!$C$13,"Permanent","Probation"))</f>
        <v/>
      </c>
      <c r="I128" s="41"/>
      <c r="J128" s="41"/>
      <c r="K128" s="8"/>
      <c r="L128" s="42" t="str">
        <f aca="false">IF(OR(B128="",I128=""),"",ROUND((IF(J128="",AsOf,J128)-I128)/365.25,1))</f>
        <v/>
      </c>
      <c r="M128" s="8"/>
      <c r="N128" s="8"/>
      <c r="O128" s="8"/>
      <c r="P128" s="8"/>
      <c r="Q128" s="41"/>
      <c r="R128" s="43" t="str">
        <f aca="false">IF(OR(B128="",Q128=""),"",INT((AsOf-Q128)/365.25))</f>
        <v/>
      </c>
      <c r="S128" s="8"/>
      <c r="T128" s="40"/>
      <c r="U128" s="40"/>
      <c r="V128" s="40"/>
      <c r="W128" s="40"/>
      <c r="X128" s="8"/>
      <c r="Y128" s="8"/>
      <c r="Z128" s="8"/>
      <c r="AA128" s="8"/>
      <c r="AB128" s="8"/>
      <c r="AC128" s="8"/>
      <c r="AD128" s="8"/>
      <c r="AE128" s="40"/>
      <c r="AF128" s="8"/>
      <c r="AG128" s="40"/>
      <c r="AH128" s="40"/>
      <c r="AI128" s="8"/>
      <c r="AJ128" s="40"/>
      <c r="AK128" s="40"/>
      <c r="AL128" s="40"/>
      <c r="AM128" s="44"/>
      <c r="AN128" s="44"/>
      <c r="AO128" s="41"/>
      <c r="AP128" s="45" t="str">
        <f aca="false">IF(B128="","",IF(AND(ISNUMBER(AM128),ISNUMBER(AN128),AM128&gt;0,AN128&gt;0),AN128/AM128-1,""))</f>
        <v/>
      </c>
      <c r="AQ128" s="9" t="str">
        <f aca="false">IF(I128="","",(YEAR(I128)-IF(MONTH(I128)&lt;4,1,0))&amp;"-"&amp;RIGHT((YEAR(I128)-IF(MONTH(I128)&lt;4,1,0))+1,2))</f>
        <v/>
      </c>
      <c r="AR128" s="9" t="str">
        <f aca="false">IF(J128="","",(YEAR(J128)-IF(MONTH(J128)&lt;4,1,0))&amp;"-"&amp;RIGHT((YEAR(J128)-IF(MONTH(J128)&lt;4,1,0))+1,2))</f>
        <v/>
      </c>
      <c r="AS128" s="43" t="str">
        <f aca="false">IF(OR(B128="",Q128="",D128&lt;&gt;"Active"),"",DATE(YEAR(AsOf)+IF(DATE(YEAR(AsOf),MONTH(Q128),DAY(Q128))&lt;AsOf,1,0),MONTH(Q128),DAY(Q128))-AsOf)</f>
        <v/>
      </c>
      <c r="AT128" s="43" t="str">
        <f aca="false">IF(OR(B128="",I128="",D128&lt;&gt;"Active"),"",IF(YEAR(DATE(YEAR(AsOf)+IF(DATE(YEAR(AsOf),MONTH(I128),DAY(I128))&lt;AsOf,1,0),MONTH(I128),DAY(I128)))-YEAR(I128)&lt;1,"",DATE(YEAR(AsOf)+IF(DATE(YEAR(AsOf),MONTH(I128),DAY(I128))&lt;AsOf,1,0),MONTH(I128),DAY(I128))-AsOf))</f>
        <v/>
      </c>
      <c r="AU128" s="43" t="str">
        <f aca="false">IF(B128="","",IF(AV128="",0,LEN(AV128)-LEN(SUBSTITUTE(AV128,";",""))))</f>
        <v/>
      </c>
      <c r="AV128" s="9" t="str">
        <f aca="false">IF(B128="","",IF(COUNTIF($B$6:$B$505,B128)&gt;1,"Duplicate Emp Code; ","")&amp;IF(C128="","Name missing; ","")&amp;IF(I128="","DOJ missing; ","")&amp;IF(AND(J128&lt;&gt;"",I128&lt;&gt;"",J128&lt;I128),"Exit before DOJ; ","")&amp;IF(Q128="","DOB missing; ","")&amp;IF(T128="","Aadhaar missing; ",IF(LEN(T128)&lt;&gt;12,"Aadhaar not 12 digits; ",IF(COUNTIF($T$6:$T$505,T128)&gt;1,"Duplicate Aadhaar; ","")))&amp;IF(U128="","PAN missing; ",IF(LEN(U128)&lt;&gt;10,"PAN not 10 chars; ",""))&amp;IF(V128="","Mobile missing; ",IF(LEN(V128)&lt;&gt;10,"Mobile not 10 digits; ",""))&amp;IF(AG128="","Bank A/c missing; ","")&amp;IF(AH128="","IFSC missing; ",IF(LEN(AH128)&lt;&gt;11,"IFSC not 11 chars; ","")))</f>
        <v/>
      </c>
      <c r="AW128" s="46" t="str">
        <f aca="false">IF(AS128="","",AS128+ROW()/100000)</f>
        <v/>
      </c>
      <c r="AX128" s="46" t="str">
        <f aca="false">IF(AT128="","",AT128+ROW()/100000)</f>
        <v/>
      </c>
    </row>
    <row r="129" customFormat="false" ht="15" hidden="false" customHeight="false" outlineLevel="0" collapsed="false">
      <c r="A129" s="9" t="str">
        <f aca="false">IF(B129="","",ROW()-5)</f>
        <v/>
      </c>
      <c r="B129" s="40"/>
      <c r="C129" s="8"/>
      <c r="D129" s="9" t="str">
        <f aca="false">IF(B129="","",IF(J129="","Active","Exited"))</f>
        <v/>
      </c>
      <c r="E129" s="8"/>
      <c r="F129" s="8"/>
      <c r="G129" s="8"/>
      <c r="H129" s="9" t="str">
        <f aca="false">IF(OR(B129="",I129=""),"",IF(IF(J129="",AsOf,J129)-I129&gt;=Settings!$C$13,"Permanent","Probation"))</f>
        <v/>
      </c>
      <c r="I129" s="41"/>
      <c r="J129" s="41"/>
      <c r="K129" s="8"/>
      <c r="L129" s="42" t="str">
        <f aca="false">IF(OR(B129="",I129=""),"",ROUND((IF(J129="",AsOf,J129)-I129)/365.25,1))</f>
        <v/>
      </c>
      <c r="M129" s="8"/>
      <c r="N129" s="8"/>
      <c r="O129" s="8"/>
      <c r="P129" s="8"/>
      <c r="Q129" s="41"/>
      <c r="R129" s="43" t="str">
        <f aca="false">IF(OR(B129="",Q129=""),"",INT((AsOf-Q129)/365.25))</f>
        <v/>
      </c>
      <c r="S129" s="8"/>
      <c r="T129" s="40"/>
      <c r="U129" s="40"/>
      <c r="V129" s="40"/>
      <c r="W129" s="40"/>
      <c r="X129" s="8"/>
      <c r="Y129" s="8"/>
      <c r="Z129" s="8"/>
      <c r="AA129" s="8"/>
      <c r="AB129" s="8"/>
      <c r="AC129" s="8"/>
      <c r="AD129" s="8"/>
      <c r="AE129" s="40"/>
      <c r="AF129" s="8"/>
      <c r="AG129" s="40"/>
      <c r="AH129" s="40"/>
      <c r="AI129" s="8"/>
      <c r="AJ129" s="40"/>
      <c r="AK129" s="40"/>
      <c r="AL129" s="40"/>
      <c r="AM129" s="44"/>
      <c r="AN129" s="44"/>
      <c r="AO129" s="41"/>
      <c r="AP129" s="45" t="str">
        <f aca="false">IF(B129="","",IF(AND(ISNUMBER(AM129),ISNUMBER(AN129),AM129&gt;0,AN129&gt;0),AN129/AM129-1,""))</f>
        <v/>
      </c>
      <c r="AQ129" s="9" t="str">
        <f aca="false">IF(I129="","",(YEAR(I129)-IF(MONTH(I129)&lt;4,1,0))&amp;"-"&amp;RIGHT((YEAR(I129)-IF(MONTH(I129)&lt;4,1,0))+1,2))</f>
        <v/>
      </c>
      <c r="AR129" s="9" t="str">
        <f aca="false">IF(J129="","",(YEAR(J129)-IF(MONTH(J129)&lt;4,1,0))&amp;"-"&amp;RIGHT((YEAR(J129)-IF(MONTH(J129)&lt;4,1,0))+1,2))</f>
        <v/>
      </c>
      <c r="AS129" s="43" t="str">
        <f aca="false">IF(OR(B129="",Q129="",D129&lt;&gt;"Active"),"",DATE(YEAR(AsOf)+IF(DATE(YEAR(AsOf),MONTH(Q129),DAY(Q129))&lt;AsOf,1,0),MONTH(Q129),DAY(Q129))-AsOf)</f>
        <v/>
      </c>
      <c r="AT129" s="43" t="str">
        <f aca="false">IF(OR(B129="",I129="",D129&lt;&gt;"Active"),"",IF(YEAR(DATE(YEAR(AsOf)+IF(DATE(YEAR(AsOf),MONTH(I129),DAY(I129))&lt;AsOf,1,0),MONTH(I129),DAY(I129)))-YEAR(I129)&lt;1,"",DATE(YEAR(AsOf)+IF(DATE(YEAR(AsOf),MONTH(I129),DAY(I129))&lt;AsOf,1,0),MONTH(I129),DAY(I129))-AsOf))</f>
        <v/>
      </c>
      <c r="AU129" s="43" t="str">
        <f aca="false">IF(B129="","",IF(AV129="",0,LEN(AV129)-LEN(SUBSTITUTE(AV129,";",""))))</f>
        <v/>
      </c>
      <c r="AV129" s="9" t="str">
        <f aca="false">IF(B129="","",IF(COUNTIF($B$6:$B$505,B129)&gt;1,"Duplicate Emp Code; ","")&amp;IF(C129="","Name missing; ","")&amp;IF(I129="","DOJ missing; ","")&amp;IF(AND(J129&lt;&gt;"",I129&lt;&gt;"",J129&lt;I129),"Exit before DOJ; ","")&amp;IF(Q129="","DOB missing; ","")&amp;IF(T129="","Aadhaar missing; ",IF(LEN(T129)&lt;&gt;12,"Aadhaar not 12 digits; ",IF(COUNTIF($T$6:$T$505,T129)&gt;1,"Duplicate Aadhaar; ","")))&amp;IF(U129="","PAN missing; ",IF(LEN(U129)&lt;&gt;10,"PAN not 10 chars; ",""))&amp;IF(V129="","Mobile missing; ",IF(LEN(V129)&lt;&gt;10,"Mobile not 10 digits; ",""))&amp;IF(AG129="","Bank A/c missing; ","")&amp;IF(AH129="","IFSC missing; ",IF(LEN(AH129)&lt;&gt;11,"IFSC not 11 chars; ","")))</f>
        <v/>
      </c>
      <c r="AW129" s="46" t="str">
        <f aca="false">IF(AS129="","",AS129+ROW()/100000)</f>
        <v/>
      </c>
      <c r="AX129" s="46" t="str">
        <f aca="false">IF(AT129="","",AT129+ROW()/100000)</f>
        <v/>
      </c>
    </row>
    <row r="130" customFormat="false" ht="15" hidden="false" customHeight="false" outlineLevel="0" collapsed="false">
      <c r="A130" s="9" t="str">
        <f aca="false">IF(B130="","",ROW()-5)</f>
        <v/>
      </c>
      <c r="B130" s="40"/>
      <c r="C130" s="8"/>
      <c r="D130" s="9" t="str">
        <f aca="false">IF(B130="","",IF(J130="","Active","Exited"))</f>
        <v/>
      </c>
      <c r="E130" s="8"/>
      <c r="F130" s="8"/>
      <c r="G130" s="8"/>
      <c r="H130" s="9" t="str">
        <f aca="false">IF(OR(B130="",I130=""),"",IF(IF(J130="",AsOf,J130)-I130&gt;=Settings!$C$13,"Permanent","Probation"))</f>
        <v/>
      </c>
      <c r="I130" s="41"/>
      <c r="J130" s="41"/>
      <c r="K130" s="8"/>
      <c r="L130" s="42" t="str">
        <f aca="false">IF(OR(B130="",I130=""),"",ROUND((IF(J130="",AsOf,J130)-I130)/365.25,1))</f>
        <v/>
      </c>
      <c r="M130" s="8"/>
      <c r="N130" s="8"/>
      <c r="O130" s="8"/>
      <c r="P130" s="8"/>
      <c r="Q130" s="41"/>
      <c r="R130" s="43" t="str">
        <f aca="false">IF(OR(B130="",Q130=""),"",INT((AsOf-Q130)/365.25))</f>
        <v/>
      </c>
      <c r="S130" s="8"/>
      <c r="T130" s="40"/>
      <c r="U130" s="40"/>
      <c r="V130" s="40"/>
      <c r="W130" s="40"/>
      <c r="X130" s="8"/>
      <c r="Y130" s="8"/>
      <c r="Z130" s="8"/>
      <c r="AA130" s="8"/>
      <c r="AB130" s="8"/>
      <c r="AC130" s="8"/>
      <c r="AD130" s="8"/>
      <c r="AE130" s="40"/>
      <c r="AF130" s="8"/>
      <c r="AG130" s="40"/>
      <c r="AH130" s="40"/>
      <c r="AI130" s="8"/>
      <c r="AJ130" s="40"/>
      <c r="AK130" s="40"/>
      <c r="AL130" s="40"/>
      <c r="AM130" s="44"/>
      <c r="AN130" s="44"/>
      <c r="AO130" s="41"/>
      <c r="AP130" s="45" t="str">
        <f aca="false">IF(B130="","",IF(AND(ISNUMBER(AM130),ISNUMBER(AN130),AM130&gt;0,AN130&gt;0),AN130/AM130-1,""))</f>
        <v/>
      </c>
      <c r="AQ130" s="9" t="str">
        <f aca="false">IF(I130="","",(YEAR(I130)-IF(MONTH(I130)&lt;4,1,0))&amp;"-"&amp;RIGHT((YEAR(I130)-IF(MONTH(I130)&lt;4,1,0))+1,2))</f>
        <v/>
      </c>
      <c r="AR130" s="9" t="str">
        <f aca="false">IF(J130="","",(YEAR(J130)-IF(MONTH(J130)&lt;4,1,0))&amp;"-"&amp;RIGHT((YEAR(J130)-IF(MONTH(J130)&lt;4,1,0))+1,2))</f>
        <v/>
      </c>
      <c r="AS130" s="43" t="str">
        <f aca="false">IF(OR(B130="",Q130="",D130&lt;&gt;"Active"),"",DATE(YEAR(AsOf)+IF(DATE(YEAR(AsOf),MONTH(Q130),DAY(Q130))&lt;AsOf,1,0),MONTH(Q130),DAY(Q130))-AsOf)</f>
        <v/>
      </c>
      <c r="AT130" s="43" t="str">
        <f aca="false">IF(OR(B130="",I130="",D130&lt;&gt;"Active"),"",IF(YEAR(DATE(YEAR(AsOf)+IF(DATE(YEAR(AsOf),MONTH(I130),DAY(I130))&lt;AsOf,1,0),MONTH(I130),DAY(I130)))-YEAR(I130)&lt;1,"",DATE(YEAR(AsOf)+IF(DATE(YEAR(AsOf),MONTH(I130),DAY(I130))&lt;AsOf,1,0),MONTH(I130),DAY(I130))-AsOf))</f>
        <v/>
      </c>
      <c r="AU130" s="43" t="str">
        <f aca="false">IF(B130="","",IF(AV130="",0,LEN(AV130)-LEN(SUBSTITUTE(AV130,";",""))))</f>
        <v/>
      </c>
      <c r="AV130" s="9" t="str">
        <f aca="false">IF(B130="","",IF(COUNTIF($B$6:$B$505,B130)&gt;1,"Duplicate Emp Code; ","")&amp;IF(C130="","Name missing; ","")&amp;IF(I130="","DOJ missing; ","")&amp;IF(AND(J130&lt;&gt;"",I130&lt;&gt;"",J130&lt;I130),"Exit before DOJ; ","")&amp;IF(Q130="","DOB missing; ","")&amp;IF(T130="","Aadhaar missing; ",IF(LEN(T130)&lt;&gt;12,"Aadhaar not 12 digits; ",IF(COUNTIF($T$6:$T$505,T130)&gt;1,"Duplicate Aadhaar; ","")))&amp;IF(U130="","PAN missing; ",IF(LEN(U130)&lt;&gt;10,"PAN not 10 chars; ",""))&amp;IF(V130="","Mobile missing; ",IF(LEN(V130)&lt;&gt;10,"Mobile not 10 digits; ",""))&amp;IF(AG130="","Bank A/c missing; ","")&amp;IF(AH130="","IFSC missing; ",IF(LEN(AH130)&lt;&gt;11,"IFSC not 11 chars; ","")))</f>
        <v/>
      </c>
      <c r="AW130" s="46" t="str">
        <f aca="false">IF(AS130="","",AS130+ROW()/100000)</f>
        <v/>
      </c>
      <c r="AX130" s="46" t="str">
        <f aca="false">IF(AT130="","",AT130+ROW()/100000)</f>
        <v/>
      </c>
    </row>
    <row r="131" customFormat="false" ht="15" hidden="false" customHeight="false" outlineLevel="0" collapsed="false">
      <c r="A131" s="9" t="str">
        <f aca="false">IF(B131="","",ROW()-5)</f>
        <v/>
      </c>
      <c r="B131" s="40"/>
      <c r="C131" s="8"/>
      <c r="D131" s="9" t="str">
        <f aca="false">IF(B131="","",IF(J131="","Active","Exited"))</f>
        <v/>
      </c>
      <c r="E131" s="8"/>
      <c r="F131" s="8"/>
      <c r="G131" s="8"/>
      <c r="H131" s="9" t="str">
        <f aca="false">IF(OR(B131="",I131=""),"",IF(IF(J131="",AsOf,J131)-I131&gt;=Settings!$C$13,"Permanent","Probation"))</f>
        <v/>
      </c>
      <c r="I131" s="41"/>
      <c r="J131" s="41"/>
      <c r="K131" s="8"/>
      <c r="L131" s="42" t="str">
        <f aca="false">IF(OR(B131="",I131=""),"",ROUND((IF(J131="",AsOf,J131)-I131)/365.25,1))</f>
        <v/>
      </c>
      <c r="M131" s="8"/>
      <c r="N131" s="8"/>
      <c r="O131" s="8"/>
      <c r="P131" s="8"/>
      <c r="Q131" s="41"/>
      <c r="R131" s="43" t="str">
        <f aca="false">IF(OR(B131="",Q131=""),"",INT((AsOf-Q131)/365.25))</f>
        <v/>
      </c>
      <c r="S131" s="8"/>
      <c r="T131" s="40"/>
      <c r="U131" s="40"/>
      <c r="V131" s="40"/>
      <c r="W131" s="40"/>
      <c r="X131" s="8"/>
      <c r="Y131" s="8"/>
      <c r="Z131" s="8"/>
      <c r="AA131" s="8"/>
      <c r="AB131" s="8"/>
      <c r="AC131" s="8"/>
      <c r="AD131" s="8"/>
      <c r="AE131" s="40"/>
      <c r="AF131" s="8"/>
      <c r="AG131" s="40"/>
      <c r="AH131" s="40"/>
      <c r="AI131" s="8"/>
      <c r="AJ131" s="40"/>
      <c r="AK131" s="40"/>
      <c r="AL131" s="40"/>
      <c r="AM131" s="44"/>
      <c r="AN131" s="44"/>
      <c r="AO131" s="41"/>
      <c r="AP131" s="45" t="str">
        <f aca="false">IF(B131="","",IF(AND(ISNUMBER(AM131),ISNUMBER(AN131),AM131&gt;0,AN131&gt;0),AN131/AM131-1,""))</f>
        <v/>
      </c>
      <c r="AQ131" s="9" t="str">
        <f aca="false">IF(I131="","",(YEAR(I131)-IF(MONTH(I131)&lt;4,1,0))&amp;"-"&amp;RIGHT((YEAR(I131)-IF(MONTH(I131)&lt;4,1,0))+1,2))</f>
        <v/>
      </c>
      <c r="AR131" s="9" t="str">
        <f aca="false">IF(J131="","",(YEAR(J131)-IF(MONTH(J131)&lt;4,1,0))&amp;"-"&amp;RIGHT((YEAR(J131)-IF(MONTH(J131)&lt;4,1,0))+1,2))</f>
        <v/>
      </c>
      <c r="AS131" s="43" t="str">
        <f aca="false">IF(OR(B131="",Q131="",D131&lt;&gt;"Active"),"",DATE(YEAR(AsOf)+IF(DATE(YEAR(AsOf),MONTH(Q131),DAY(Q131))&lt;AsOf,1,0),MONTH(Q131),DAY(Q131))-AsOf)</f>
        <v/>
      </c>
      <c r="AT131" s="43" t="str">
        <f aca="false">IF(OR(B131="",I131="",D131&lt;&gt;"Active"),"",IF(YEAR(DATE(YEAR(AsOf)+IF(DATE(YEAR(AsOf),MONTH(I131),DAY(I131))&lt;AsOf,1,0),MONTH(I131),DAY(I131)))-YEAR(I131)&lt;1,"",DATE(YEAR(AsOf)+IF(DATE(YEAR(AsOf),MONTH(I131),DAY(I131))&lt;AsOf,1,0),MONTH(I131),DAY(I131))-AsOf))</f>
        <v/>
      </c>
      <c r="AU131" s="43" t="str">
        <f aca="false">IF(B131="","",IF(AV131="",0,LEN(AV131)-LEN(SUBSTITUTE(AV131,";",""))))</f>
        <v/>
      </c>
      <c r="AV131" s="9" t="str">
        <f aca="false">IF(B131="","",IF(COUNTIF($B$6:$B$505,B131)&gt;1,"Duplicate Emp Code; ","")&amp;IF(C131="","Name missing; ","")&amp;IF(I131="","DOJ missing; ","")&amp;IF(AND(J131&lt;&gt;"",I131&lt;&gt;"",J131&lt;I131),"Exit before DOJ; ","")&amp;IF(Q131="","DOB missing; ","")&amp;IF(T131="","Aadhaar missing; ",IF(LEN(T131)&lt;&gt;12,"Aadhaar not 12 digits; ",IF(COUNTIF($T$6:$T$505,T131)&gt;1,"Duplicate Aadhaar; ","")))&amp;IF(U131="","PAN missing; ",IF(LEN(U131)&lt;&gt;10,"PAN not 10 chars; ",""))&amp;IF(V131="","Mobile missing; ",IF(LEN(V131)&lt;&gt;10,"Mobile not 10 digits; ",""))&amp;IF(AG131="","Bank A/c missing; ","")&amp;IF(AH131="","IFSC missing; ",IF(LEN(AH131)&lt;&gt;11,"IFSC not 11 chars; ","")))</f>
        <v/>
      </c>
      <c r="AW131" s="46" t="str">
        <f aca="false">IF(AS131="","",AS131+ROW()/100000)</f>
        <v/>
      </c>
      <c r="AX131" s="46" t="str">
        <f aca="false">IF(AT131="","",AT131+ROW()/100000)</f>
        <v/>
      </c>
    </row>
    <row r="132" customFormat="false" ht="15" hidden="false" customHeight="false" outlineLevel="0" collapsed="false">
      <c r="A132" s="9" t="str">
        <f aca="false">IF(B132="","",ROW()-5)</f>
        <v/>
      </c>
      <c r="B132" s="40"/>
      <c r="C132" s="8"/>
      <c r="D132" s="9" t="str">
        <f aca="false">IF(B132="","",IF(J132="","Active","Exited"))</f>
        <v/>
      </c>
      <c r="E132" s="8"/>
      <c r="F132" s="8"/>
      <c r="G132" s="8"/>
      <c r="H132" s="9" t="str">
        <f aca="false">IF(OR(B132="",I132=""),"",IF(IF(J132="",AsOf,J132)-I132&gt;=Settings!$C$13,"Permanent","Probation"))</f>
        <v/>
      </c>
      <c r="I132" s="41"/>
      <c r="J132" s="41"/>
      <c r="K132" s="8"/>
      <c r="L132" s="42" t="str">
        <f aca="false">IF(OR(B132="",I132=""),"",ROUND((IF(J132="",AsOf,J132)-I132)/365.25,1))</f>
        <v/>
      </c>
      <c r="M132" s="8"/>
      <c r="N132" s="8"/>
      <c r="O132" s="8"/>
      <c r="P132" s="8"/>
      <c r="Q132" s="41"/>
      <c r="R132" s="43" t="str">
        <f aca="false">IF(OR(B132="",Q132=""),"",INT((AsOf-Q132)/365.25))</f>
        <v/>
      </c>
      <c r="S132" s="8"/>
      <c r="T132" s="40"/>
      <c r="U132" s="40"/>
      <c r="V132" s="40"/>
      <c r="W132" s="40"/>
      <c r="X132" s="8"/>
      <c r="Y132" s="8"/>
      <c r="Z132" s="8"/>
      <c r="AA132" s="8"/>
      <c r="AB132" s="8"/>
      <c r="AC132" s="8"/>
      <c r="AD132" s="8"/>
      <c r="AE132" s="40"/>
      <c r="AF132" s="8"/>
      <c r="AG132" s="40"/>
      <c r="AH132" s="40"/>
      <c r="AI132" s="8"/>
      <c r="AJ132" s="40"/>
      <c r="AK132" s="40"/>
      <c r="AL132" s="40"/>
      <c r="AM132" s="44"/>
      <c r="AN132" s="44"/>
      <c r="AO132" s="41"/>
      <c r="AP132" s="45" t="str">
        <f aca="false">IF(B132="","",IF(AND(ISNUMBER(AM132),ISNUMBER(AN132),AM132&gt;0,AN132&gt;0),AN132/AM132-1,""))</f>
        <v/>
      </c>
      <c r="AQ132" s="9" t="str">
        <f aca="false">IF(I132="","",(YEAR(I132)-IF(MONTH(I132)&lt;4,1,0))&amp;"-"&amp;RIGHT((YEAR(I132)-IF(MONTH(I132)&lt;4,1,0))+1,2))</f>
        <v/>
      </c>
      <c r="AR132" s="9" t="str">
        <f aca="false">IF(J132="","",(YEAR(J132)-IF(MONTH(J132)&lt;4,1,0))&amp;"-"&amp;RIGHT((YEAR(J132)-IF(MONTH(J132)&lt;4,1,0))+1,2))</f>
        <v/>
      </c>
      <c r="AS132" s="43" t="str">
        <f aca="false">IF(OR(B132="",Q132="",D132&lt;&gt;"Active"),"",DATE(YEAR(AsOf)+IF(DATE(YEAR(AsOf),MONTH(Q132),DAY(Q132))&lt;AsOf,1,0),MONTH(Q132),DAY(Q132))-AsOf)</f>
        <v/>
      </c>
      <c r="AT132" s="43" t="str">
        <f aca="false">IF(OR(B132="",I132="",D132&lt;&gt;"Active"),"",IF(YEAR(DATE(YEAR(AsOf)+IF(DATE(YEAR(AsOf),MONTH(I132),DAY(I132))&lt;AsOf,1,0),MONTH(I132),DAY(I132)))-YEAR(I132)&lt;1,"",DATE(YEAR(AsOf)+IF(DATE(YEAR(AsOf),MONTH(I132),DAY(I132))&lt;AsOf,1,0),MONTH(I132),DAY(I132))-AsOf))</f>
        <v/>
      </c>
      <c r="AU132" s="43" t="str">
        <f aca="false">IF(B132="","",IF(AV132="",0,LEN(AV132)-LEN(SUBSTITUTE(AV132,";",""))))</f>
        <v/>
      </c>
      <c r="AV132" s="9" t="str">
        <f aca="false">IF(B132="","",IF(COUNTIF($B$6:$B$505,B132)&gt;1,"Duplicate Emp Code; ","")&amp;IF(C132="","Name missing; ","")&amp;IF(I132="","DOJ missing; ","")&amp;IF(AND(J132&lt;&gt;"",I132&lt;&gt;"",J132&lt;I132),"Exit before DOJ; ","")&amp;IF(Q132="","DOB missing; ","")&amp;IF(T132="","Aadhaar missing; ",IF(LEN(T132)&lt;&gt;12,"Aadhaar not 12 digits; ",IF(COUNTIF($T$6:$T$505,T132)&gt;1,"Duplicate Aadhaar; ","")))&amp;IF(U132="","PAN missing; ",IF(LEN(U132)&lt;&gt;10,"PAN not 10 chars; ",""))&amp;IF(V132="","Mobile missing; ",IF(LEN(V132)&lt;&gt;10,"Mobile not 10 digits; ",""))&amp;IF(AG132="","Bank A/c missing; ","")&amp;IF(AH132="","IFSC missing; ",IF(LEN(AH132)&lt;&gt;11,"IFSC not 11 chars; ","")))</f>
        <v/>
      </c>
      <c r="AW132" s="46" t="str">
        <f aca="false">IF(AS132="","",AS132+ROW()/100000)</f>
        <v/>
      </c>
      <c r="AX132" s="46" t="str">
        <f aca="false">IF(AT132="","",AT132+ROW()/100000)</f>
        <v/>
      </c>
    </row>
    <row r="133" customFormat="false" ht="15" hidden="false" customHeight="false" outlineLevel="0" collapsed="false">
      <c r="A133" s="9" t="str">
        <f aca="false">IF(B133="","",ROW()-5)</f>
        <v/>
      </c>
      <c r="B133" s="40"/>
      <c r="C133" s="8"/>
      <c r="D133" s="9" t="str">
        <f aca="false">IF(B133="","",IF(J133="","Active","Exited"))</f>
        <v/>
      </c>
      <c r="E133" s="8"/>
      <c r="F133" s="8"/>
      <c r="G133" s="8"/>
      <c r="H133" s="9" t="str">
        <f aca="false">IF(OR(B133="",I133=""),"",IF(IF(J133="",AsOf,J133)-I133&gt;=Settings!$C$13,"Permanent","Probation"))</f>
        <v/>
      </c>
      <c r="I133" s="41"/>
      <c r="J133" s="41"/>
      <c r="K133" s="8"/>
      <c r="L133" s="42" t="str">
        <f aca="false">IF(OR(B133="",I133=""),"",ROUND((IF(J133="",AsOf,J133)-I133)/365.25,1))</f>
        <v/>
      </c>
      <c r="M133" s="8"/>
      <c r="N133" s="8"/>
      <c r="O133" s="8"/>
      <c r="P133" s="8"/>
      <c r="Q133" s="41"/>
      <c r="R133" s="43" t="str">
        <f aca="false">IF(OR(B133="",Q133=""),"",INT((AsOf-Q133)/365.25))</f>
        <v/>
      </c>
      <c r="S133" s="8"/>
      <c r="T133" s="40"/>
      <c r="U133" s="40"/>
      <c r="V133" s="40"/>
      <c r="W133" s="40"/>
      <c r="X133" s="8"/>
      <c r="Y133" s="8"/>
      <c r="Z133" s="8"/>
      <c r="AA133" s="8"/>
      <c r="AB133" s="8"/>
      <c r="AC133" s="8"/>
      <c r="AD133" s="8"/>
      <c r="AE133" s="40"/>
      <c r="AF133" s="8"/>
      <c r="AG133" s="40"/>
      <c r="AH133" s="40"/>
      <c r="AI133" s="8"/>
      <c r="AJ133" s="40"/>
      <c r="AK133" s="40"/>
      <c r="AL133" s="40"/>
      <c r="AM133" s="44"/>
      <c r="AN133" s="44"/>
      <c r="AO133" s="41"/>
      <c r="AP133" s="45" t="str">
        <f aca="false">IF(B133="","",IF(AND(ISNUMBER(AM133),ISNUMBER(AN133),AM133&gt;0,AN133&gt;0),AN133/AM133-1,""))</f>
        <v/>
      </c>
      <c r="AQ133" s="9" t="str">
        <f aca="false">IF(I133="","",(YEAR(I133)-IF(MONTH(I133)&lt;4,1,0))&amp;"-"&amp;RIGHT((YEAR(I133)-IF(MONTH(I133)&lt;4,1,0))+1,2))</f>
        <v/>
      </c>
      <c r="AR133" s="9" t="str">
        <f aca="false">IF(J133="","",(YEAR(J133)-IF(MONTH(J133)&lt;4,1,0))&amp;"-"&amp;RIGHT((YEAR(J133)-IF(MONTH(J133)&lt;4,1,0))+1,2))</f>
        <v/>
      </c>
      <c r="AS133" s="43" t="str">
        <f aca="false">IF(OR(B133="",Q133="",D133&lt;&gt;"Active"),"",DATE(YEAR(AsOf)+IF(DATE(YEAR(AsOf),MONTH(Q133),DAY(Q133))&lt;AsOf,1,0),MONTH(Q133),DAY(Q133))-AsOf)</f>
        <v/>
      </c>
      <c r="AT133" s="43" t="str">
        <f aca="false">IF(OR(B133="",I133="",D133&lt;&gt;"Active"),"",IF(YEAR(DATE(YEAR(AsOf)+IF(DATE(YEAR(AsOf),MONTH(I133),DAY(I133))&lt;AsOf,1,0),MONTH(I133),DAY(I133)))-YEAR(I133)&lt;1,"",DATE(YEAR(AsOf)+IF(DATE(YEAR(AsOf),MONTH(I133),DAY(I133))&lt;AsOf,1,0),MONTH(I133),DAY(I133))-AsOf))</f>
        <v/>
      </c>
      <c r="AU133" s="43" t="str">
        <f aca="false">IF(B133="","",IF(AV133="",0,LEN(AV133)-LEN(SUBSTITUTE(AV133,";",""))))</f>
        <v/>
      </c>
      <c r="AV133" s="9" t="str">
        <f aca="false">IF(B133="","",IF(COUNTIF($B$6:$B$505,B133)&gt;1,"Duplicate Emp Code; ","")&amp;IF(C133="","Name missing; ","")&amp;IF(I133="","DOJ missing; ","")&amp;IF(AND(J133&lt;&gt;"",I133&lt;&gt;"",J133&lt;I133),"Exit before DOJ; ","")&amp;IF(Q133="","DOB missing; ","")&amp;IF(T133="","Aadhaar missing; ",IF(LEN(T133)&lt;&gt;12,"Aadhaar not 12 digits; ",IF(COUNTIF($T$6:$T$505,T133)&gt;1,"Duplicate Aadhaar; ","")))&amp;IF(U133="","PAN missing; ",IF(LEN(U133)&lt;&gt;10,"PAN not 10 chars; ",""))&amp;IF(V133="","Mobile missing; ",IF(LEN(V133)&lt;&gt;10,"Mobile not 10 digits; ",""))&amp;IF(AG133="","Bank A/c missing; ","")&amp;IF(AH133="","IFSC missing; ",IF(LEN(AH133)&lt;&gt;11,"IFSC not 11 chars; ","")))</f>
        <v/>
      </c>
      <c r="AW133" s="46" t="str">
        <f aca="false">IF(AS133="","",AS133+ROW()/100000)</f>
        <v/>
      </c>
      <c r="AX133" s="46" t="str">
        <f aca="false">IF(AT133="","",AT133+ROW()/100000)</f>
        <v/>
      </c>
    </row>
    <row r="134" customFormat="false" ht="15" hidden="false" customHeight="false" outlineLevel="0" collapsed="false">
      <c r="A134" s="9" t="str">
        <f aca="false">IF(B134="","",ROW()-5)</f>
        <v/>
      </c>
      <c r="B134" s="40"/>
      <c r="C134" s="8"/>
      <c r="D134" s="9" t="str">
        <f aca="false">IF(B134="","",IF(J134="","Active","Exited"))</f>
        <v/>
      </c>
      <c r="E134" s="8"/>
      <c r="F134" s="8"/>
      <c r="G134" s="8"/>
      <c r="H134" s="9" t="str">
        <f aca="false">IF(OR(B134="",I134=""),"",IF(IF(J134="",AsOf,J134)-I134&gt;=Settings!$C$13,"Permanent","Probation"))</f>
        <v/>
      </c>
      <c r="I134" s="41"/>
      <c r="J134" s="41"/>
      <c r="K134" s="8"/>
      <c r="L134" s="42" t="str">
        <f aca="false">IF(OR(B134="",I134=""),"",ROUND((IF(J134="",AsOf,J134)-I134)/365.25,1))</f>
        <v/>
      </c>
      <c r="M134" s="8"/>
      <c r="N134" s="8"/>
      <c r="O134" s="8"/>
      <c r="P134" s="8"/>
      <c r="Q134" s="41"/>
      <c r="R134" s="43" t="str">
        <f aca="false">IF(OR(B134="",Q134=""),"",INT((AsOf-Q134)/365.25))</f>
        <v/>
      </c>
      <c r="S134" s="8"/>
      <c r="T134" s="40"/>
      <c r="U134" s="40"/>
      <c r="V134" s="40"/>
      <c r="W134" s="40"/>
      <c r="X134" s="8"/>
      <c r="Y134" s="8"/>
      <c r="Z134" s="8"/>
      <c r="AA134" s="8"/>
      <c r="AB134" s="8"/>
      <c r="AC134" s="8"/>
      <c r="AD134" s="8"/>
      <c r="AE134" s="40"/>
      <c r="AF134" s="8"/>
      <c r="AG134" s="40"/>
      <c r="AH134" s="40"/>
      <c r="AI134" s="8"/>
      <c r="AJ134" s="40"/>
      <c r="AK134" s="40"/>
      <c r="AL134" s="40"/>
      <c r="AM134" s="44"/>
      <c r="AN134" s="44"/>
      <c r="AO134" s="41"/>
      <c r="AP134" s="45" t="str">
        <f aca="false">IF(B134="","",IF(AND(ISNUMBER(AM134),ISNUMBER(AN134),AM134&gt;0,AN134&gt;0),AN134/AM134-1,""))</f>
        <v/>
      </c>
      <c r="AQ134" s="9" t="str">
        <f aca="false">IF(I134="","",(YEAR(I134)-IF(MONTH(I134)&lt;4,1,0))&amp;"-"&amp;RIGHT((YEAR(I134)-IF(MONTH(I134)&lt;4,1,0))+1,2))</f>
        <v/>
      </c>
      <c r="AR134" s="9" t="str">
        <f aca="false">IF(J134="","",(YEAR(J134)-IF(MONTH(J134)&lt;4,1,0))&amp;"-"&amp;RIGHT((YEAR(J134)-IF(MONTH(J134)&lt;4,1,0))+1,2))</f>
        <v/>
      </c>
      <c r="AS134" s="43" t="str">
        <f aca="false">IF(OR(B134="",Q134="",D134&lt;&gt;"Active"),"",DATE(YEAR(AsOf)+IF(DATE(YEAR(AsOf),MONTH(Q134),DAY(Q134))&lt;AsOf,1,0),MONTH(Q134),DAY(Q134))-AsOf)</f>
        <v/>
      </c>
      <c r="AT134" s="43" t="str">
        <f aca="false">IF(OR(B134="",I134="",D134&lt;&gt;"Active"),"",IF(YEAR(DATE(YEAR(AsOf)+IF(DATE(YEAR(AsOf),MONTH(I134),DAY(I134))&lt;AsOf,1,0),MONTH(I134),DAY(I134)))-YEAR(I134)&lt;1,"",DATE(YEAR(AsOf)+IF(DATE(YEAR(AsOf),MONTH(I134),DAY(I134))&lt;AsOf,1,0),MONTH(I134),DAY(I134))-AsOf))</f>
        <v/>
      </c>
      <c r="AU134" s="43" t="str">
        <f aca="false">IF(B134="","",IF(AV134="",0,LEN(AV134)-LEN(SUBSTITUTE(AV134,";",""))))</f>
        <v/>
      </c>
      <c r="AV134" s="9" t="str">
        <f aca="false">IF(B134="","",IF(COUNTIF($B$6:$B$505,B134)&gt;1,"Duplicate Emp Code; ","")&amp;IF(C134="","Name missing; ","")&amp;IF(I134="","DOJ missing; ","")&amp;IF(AND(J134&lt;&gt;"",I134&lt;&gt;"",J134&lt;I134),"Exit before DOJ; ","")&amp;IF(Q134="","DOB missing; ","")&amp;IF(T134="","Aadhaar missing; ",IF(LEN(T134)&lt;&gt;12,"Aadhaar not 12 digits; ",IF(COUNTIF($T$6:$T$505,T134)&gt;1,"Duplicate Aadhaar; ","")))&amp;IF(U134="","PAN missing; ",IF(LEN(U134)&lt;&gt;10,"PAN not 10 chars; ",""))&amp;IF(V134="","Mobile missing; ",IF(LEN(V134)&lt;&gt;10,"Mobile not 10 digits; ",""))&amp;IF(AG134="","Bank A/c missing; ","")&amp;IF(AH134="","IFSC missing; ",IF(LEN(AH134)&lt;&gt;11,"IFSC not 11 chars; ","")))</f>
        <v/>
      </c>
      <c r="AW134" s="46" t="str">
        <f aca="false">IF(AS134="","",AS134+ROW()/100000)</f>
        <v/>
      </c>
      <c r="AX134" s="46" t="str">
        <f aca="false">IF(AT134="","",AT134+ROW()/100000)</f>
        <v/>
      </c>
    </row>
    <row r="135" customFormat="false" ht="15" hidden="false" customHeight="false" outlineLevel="0" collapsed="false">
      <c r="A135" s="9" t="str">
        <f aca="false">IF(B135="","",ROW()-5)</f>
        <v/>
      </c>
      <c r="B135" s="40"/>
      <c r="C135" s="8"/>
      <c r="D135" s="9" t="str">
        <f aca="false">IF(B135="","",IF(J135="","Active","Exited"))</f>
        <v/>
      </c>
      <c r="E135" s="8"/>
      <c r="F135" s="8"/>
      <c r="G135" s="8"/>
      <c r="H135" s="9" t="str">
        <f aca="false">IF(OR(B135="",I135=""),"",IF(IF(J135="",AsOf,J135)-I135&gt;=Settings!$C$13,"Permanent","Probation"))</f>
        <v/>
      </c>
      <c r="I135" s="41"/>
      <c r="J135" s="41"/>
      <c r="K135" s="8"/>
      <c r="L135" s="42" t="str">
        <f aca="false">IF(OR(B135="",I135=""),"",ROUND((IF(J135="",AsOf,J135)-I135)/365.25,1))</f>
        <v/>
      </c>
      <c r="M135" s="8"/>
      <c r="N135" s="8"/>
      <c r="O135" s="8"/>
      <c r="P135" s="8"/>
      <c r="Q135" s="41"/>
      <c r="R135" s="43" t="str">
        <f aca="false">IF(OR(B135="",Q135=""),"",INT((AsOf-Q135)/365.25))</f>
        <v/>
      </c>
      <c r="S135" s="8"/>
      <c r="T135" s="40"/>
      <c r="U135" s="40"/>
      <c r="V135" s="40"/>
      <c r="W135" s="40"/>
      <c r="X135" s="8"/>
      <c r="Y135" s="8"/>
      <c r="Z135" s="8"/>
      <c r="AA135" s="8"/>
      <c r="AB135" s="8"/>
      <c r="AC135" s="8"/>
      <c r="AD135" s="8"/>
      <c r="AE135" s="40"/>
      <c r="AF135" s="8"/>
      <c r="AG135" s="40"/>
      <c r="AH135" s="40"/>
      <c r="AI135" s="8"/>
      <c r="AJ135" s="40"/>
      <c r="AK135" s="40"/>
      <c r="AL135" s="40"/>
      <c r="AM135" s="44"/>
      <c r="AN135" s="44"/>
      <c r="AO135" s="41"/>
      <c r="AP135" s="45" t="str">
        <f aca="false">IF(B135="","",IF(AND(ISNUMBER(AM135),ISNUMBER(AN135),AM135&gt;0,AN135&gt;0),AN135/AM135-1,""))</f>
        <v/>
      </c>
      <c r="AQ135" s="9" t="str">
        <f aca="false">IF(I135="","",(YEAR(I135)-IF(MONTH(I135)&lt;4,1,0))&amp;"-"&amp;RIGHT((YEAR(I135)-IF(MONTH(I135)&lt;4,1,0))+1,2))</f>
        <v/>
      </c>
      <c r="AR135" s="9" t="str">
        <f aca="false">IF(J135="","",(YEAR(J135)-IF(MONTH(J135)&lt;4,1,0))&amp;"-"&amp;RIGHT((YEAR(J135)-IF(MONTH(J135)&lt;4,1,0))+1,2))</f>
        <v/>
      </c>
      <c r="AS135" s="43" t="str">
        <f aca="false">IF(OR(B135="",Q135="",D135&lt;&gt;"Active"),"",DATE(YEAR(AsOf)+IF(DATE(YEAR(AsOf),MONTH(Q135),DAY(Q135))&lt;AsOf,1,0),MONTH(Q135),DAY(Q135))-AsOf)</f>
        <v/>
      </c>
      <c r="AT135" s="43" t="str">
        <f aca="false">IF(OR(B135="",I135="",D135&lt;&gt;"Active"),"",IF(YEAR(DATE(YEAR(AsOf)+IF(DATE(YEAR(AsOf),MONTH(I135),DAY(I135))&lt;AsOf,1,0),MONTH(I135),DAY(I135)))-YEAR(I135)&lt;1,"",DATE(YEAR(AsOf)+IF(DATE(YEAR(AsOf),MONTH(I135),DAY(I135))&lt;AsOf,1,0),MONTH(I135),DAY(I135))-AsOf))</f>
        <v/>
      </c>
      <c r="AU135" s="43" t="str">
        <f aca="false">IF(B135="","",IF(AV135="",0,LEN(AV135)-LEN(SUBSTITUTE(AV135,";",""))))</f>
        <v/>
      </c>
      <c r="AV135" s="9" t="str">
        <f aca="false">IF(B135="","",IF(COUNTIF($B$6:$B$505,B135)&gt;1,"Duplicate Emp Code; ","")&amp;IF(C135="","Name missing; ","")&amp;IF(I135="","DOJ missing; ","")&amp;IF(AND(J135&lt;&gt;"",I135&lt;&gt;"",J135&lt;I135),"Exit before DOJ; ","")&amp;IF(Q135="","DOB missing; ","")&amp;IF(T135="","Aadhaar missing; ",IF(LEN(T135)&lt;&gt;12,"Aadhaar not 12 digits; ",IF(COUNTIF($T$6:$T$505,T135)&gt;1,"Duplicate Aadhaar; ","")))&amp;IF(U135="","PAN missing; ",IF(LEN(U135)&lt;&gt;10,"PAN not 10 chars; ",""))&amp;IF(V135="","Mobile missing; ",IF(LEN(V135)&lt;&gt;10,"Mobile not 10 digits; ",""))&amp;IF(AG135="","Bank A/c missing; ","")&amp;IF(AH135="","IFSC missing; ",IF(LEN(AH135)&lt;&gt;11,"IFSC not 11 chars; ","")))</f>
        <v/>
      </c>
      <c r="AW135" s="46" t="str">
        <f aca="false">IF(AS135="","",AS135+ROW()/100000)</f>
        <v/>
      </c>
      <c r="AX135" s="46" t="str">
        <f aca="false">IF(AT135="","",AT135+ROW()/100000)</f>
        <v/>
      </c>
    </row>
    <row r="136" customFormat="false" ht="15" hidden="false" customHeight="false" outlineLevel="0" collapsed="false">
      <c r="A136" s="9" t="str">
        <f aca="false">IF(B136="","",ROW()-5)</f>
        <v/>
      </c>
      <c r="B136" s="40"/>
      <c r="C136" s="8"/>
      <c r="D136" s="9" t="str">
        <f aca="false">IF(B136="","",IF(J136="","Active","Exited"))</f>
        <v/>
      </c>
      <c r="E136" s="8"/>
      <c r="F136" s="8"/>
      <c r="G136" s="8"/>
      <c r="H136" s="9" t="str">
        <f aca="false">IF(OR(B136="",I136=""),"",IF(IF(J136="",AsOf,J136)-I136&gt;=Settings!$C$13,"Permanent","Probation"))</f>
        <v/>
      </c>
      <c r="I136" s="41"/>
      <c r="J136" s="41"/>
      <c r="K136" s="8"/>
      <c r="L136" s="42" t="str">
        <f aca="false">IF(OR(B136="",I136=""),"",ROUND((IF(J136="",AsOf,J136)-I136)/365.25,1))</f>
        <v/>
      </c>
      <c r="M136" s="8"/>
      <c r="N136" s="8"/>
      <c r="O136" s="8"/>
      <c r="P136" s="8"/>
      <c r="Q136" s="41"/>
      <c r="R136" s="43" t="str">
        <f aca="false">IF(OR(B136="",Q136=""),"",INT((AsOf-Q136)/365.25))</f>
        <v/>
      </c>
      <c r="S136" s="8"/>
      <c r="T136" s="40"/>
      <c r="U136" s="40"/>
      <c r="V136" s="40"/>
      <c r="W136" s="40"/>
      <c r="X136" s="8"/>
      <c r="Y136" s="8"/>
      <c r="Z136" s="8"/>
      <c r="AA136" s="8"/>
      <c r="AB136" s="8"/>
      <c r="AC136" s="8"/>
      <c r="AD136" s="8"/>
      <c r="AE136" s="40"/>
      <c r="AF136" s="8"/>
      <c r="AG136" s="40"/>
      <c r="AH136" s="40"/>
      <c r="AI136" s="8"/>
      <c r="AJ136" s="40"/>
      <c r="AK136" s="40"/>
      <c r="AL136" s="40"/>
      <c r="AM136" s="44"/>
      <c r="AN136" s="44"/>
      <c r="AO136" s="41"/>
      <c r="AP136" s="45" t="str">
        <f aca="false">IF(B136="","",IF(AND(ISNUMBER(AM136),ISNUMBER(AN136),AM136&gt;0,AN136&gt;0),AN136/AM136-1,""))</f>
        <v/>
      </c>
      <c r="AQ136" s="9" t="str">
        <f aca="false">IF(I136="","",(YEAR(I136)-IF(MONTH(I136)&lt;4,1,0))&amp;"-"&amp;RIGHT((YEAR(I136)-IF(MONTH(I136)&lt;4,1,0))+1,2))</f>
        <v/>
      </c>
      <c r="AR136" s="9" t="str">
        <f aca="false">IF(J136="","",(YEAR(J136)-IF(MONTH(J136)&lt;4,1,0))&amp;"-"&amp;RIGHT((YEAR(J136)-IF(MONTH(J136)&lt;4,1,0))+1,2))</f>
        <v/>
      </c>
      <c r="AS136" s="43" t="str">
        <f aca="false">IF(OR(B136="",Q136="",D136&lt;&gt;"Active"),"",DATE(YEAR(AsOf)+IF(DATE(YEAR(AsOf),MONTH(Q136),DAY(Q136))&lt;AsOf,1,0),MONTH(Q136),DAY(Q136))-AsOf)</f>
        <v/>
      </c>
      <c r="AT136" s="43" t="str">
        <f aca="false">IF(OR(B136="",I136="",D136&lt;&gt;"Active"),"",IF(YEAR(DATE(YEAR(AsOf)+IF(DATE(YEAR(AsOf),MONTH(I136),DAY(I136))&lt;AsOf,1,0),MONTH(I136),DAY(I136)))-YEAR(I136)&lt;1,"",DATE(YEAR(AsOf)+IF(DATE(YEAR(AsOf),MONTH(I136),DAY(I136))&lt;AsOf,1,0),MONTH(I136),DAY(I136))-AsOf))</f>
        <v/>
      </c>
      <c r="AU136" s="43" t="str">
        <f aca="false">IF(B136="","",IF(AV136="",0,LEN(AV136)-LEN(SUBSTITUTE(AV136,";",""))))</f>
        <v/>
      </c>
      <c r="AV136" s="9" t="str">
        <f aca="false">IF(B136="","",IF(COUNTIF($B$6:$B$505,B136)&gt;1,"Duplicate Emp Code; ","")&amp;IF(C136="","Name missing; ","")&amp;IF(I136="","DOJ missing; ","")&amp;IF(AND(J136&lt;&gt;"",I136&lt;&gt;"",J136&lt;I136),"Exit before DOJ; ","")&amp;IF(Q136="","DOB missing; ","")&amp;IF(T136="","Aadhaar missing; ",IF(LEN(T136)&lt;&gt;12,"Aadhaar not 12 digits; ",IF(COUNTIF($T$6:$T$505,T136)&gt;1,"Duplicate Aadhaar; ","")))&amp;IF(U136="","PAN missing; ",IF(LEN(U136)&lt;&gt;10,"PAN not 10 chars; ",""))&amp;IF(V136="","Mobile missing; ",IF(LEN(V136)&lt;&gt;10,"Mobile not 10 digits; ",""))&amp;IF(AG136="","Bank A/c missing; ","")&amp;IF(AH136="","IFSC missing; ",IF(LEN(AH136)&lt;&gt;11,"IFSC not 11 chars; ","")))</f>
        <v/>
      </c>
      <c r="AW136" s="46" t="str">
        <f aca="false">IF(AS136="","",AS136+ROW()/100000)</f>
        <v/>
      </c>
      <c r="AX136" s="46" t="str">
        <f aca="false">IF(AT136="","",AT136+ROW()/100000)</f>
        <v/>
      </c>
    </row>
    <row r="137" customFormat="false" ht="15" hidden="false" customHeight="false" outlineLevel="0" collapsed="false">
      <c r="A137" s="9" t="str">
        <f aca="false">IF(B137="","",ROW()-5)</f>
        <v/>
      </c>
      <c r="B137" s="40"/>
      <c r="C137" s="8"/>
      <c r="D137" s="9" t="str">
        <f aca="false">IF(B137="","",IF(J137="","Active","Exited"))</f>
        <v/>
      </c>
      <c r="E137" s="8"/>
      <c r="F137" s="8"/>
      <c r="G137" s="8"/>
      <c r="H137" s="9" t="str">
        <f aca="false">IF(OR(B137="",I137=""),"",IF(IF(J137="",AsOf,J137)-I137&gt;=Settings!$C$13,"Permanent","Probation"))</f>
        <v/>
      </c>
      <c r="I137" s="41"/>
      <c r="J137" s="41"/>
      <c r="K137" s="8"/>
      <c r="L137" s="42" t="str">
        <f aca="false">IF(OR(B137="",I137=""),"",ROUND((IF(J137="",AsOf,J137)-I137)/365.25,1))</f>
        <v/>
      </c>
      <c r="M137" s="8"/>
      <c r="N137" s="8"/>
      <c r="O137" s="8"/>
      <c r="P137" s="8"/>
      <c r="Q137" s="41"/>
      <c r="R137" s="43" t="str">
        <f aca="false">IF(OR(B137="",Q137=""),"",INT((AsOf-Q137)/365.25))</f>
        <v/>
      </c>
      <c r="S137" s="8"/>
      <c r="T137" s="40"/>
      <c r="U137" s="40"/>
      <c r="V137" s="40"/>
      <c r="W137" s="40"/>
      <c r="X137" s="8"/>
      <c r="Y137" s="8"/>
      <c r="Z137" s="8"/>
      <c r="AA137" s="8"/>
      <c r="AB137" s="8"/>
      <c r="AC137" s="8"/>
      <c r="AD137" s="8"/>
      <c r="AE137" s="40"/>
      <c r="AF137" s="8"/>
      <c r="AG137" s="40"/>
      <c r="AH137" s="40"/>
      <c r="AI137" s="8"/>
      <c r="AJ137" s="40"/>
      <c r="AK137" s="40"/>
      <c r="AL137" s="40"/>
      <c r="AM137" s="44"/>
      <c r="AN137" s="44"/>
      <c r="AO137" s="41"/>
      <c r="AP137" s="45" t="str">
        <f aca="false">IF(B137="","",IF(AND(ISNUMBER(AM137),ISNUMBER(AN137),AM137&gt;0,AN137&gt;0),AN137/AM137-1,""))</f>
        <v/>
      </c>
      <c r="AQ137" s="9" t="str">
        <f aca="false">IF(I137="","",(YEAR(I137)-IF(MONTH(I137)&lt;4,1,0))&amp;"-"&amp;RIGHT((YEAR(I137)-IF(MONTH(I137)&lt;4,1,0))+1,2))</f>
        <v/>
      </c>
      <c r="AR137" s="9" t="str">
        <f aca="false">IF(J137="","",(YEAR(J137)-IF(MONTH(J137)&lt;4,1,0))&amp;"-"&amp;RIGHT((YEAR(J137)-IF(MONTH(J137)&lt;4,1,0))+1,2))</f>
        <v/>
      </c>
      <c r="AS137" s="43" t="str">
        <f aca="false">IF(OR(B137="",Q137="",D137&lt;&gt;"Active"),"",DATE(YEAR(AsOf)+IF(DATE(YEAR(AsOf),MONTH(Q137),DAY(Q137))&lt;AsOf,1,0),MONTH(Q137),DAY(Q137))-AsOf)</f>
        <v/>
      </c>
      <c r="AT137" s="43" t="str">
        <f aca="false">IF(OR(B137="",I137="",D137&lt;&gt;"Active"),"",IF(YEAR(DATE(YEAR(AsOf)+IF(DATE(YEAR(AsOf),MONTH(I137),DAY(I137))&lt;AsOf,1,0),MONTH(I137),DAY(I137)))-YEAR(I137)&lt;1,"",DATE(YEAR(AsOf)+IF(DATE(YEAR(AsOf),MONTH(I137),DAY(I137))&lt;AsOf,1,0),MONTH(I137),DAY(I137))-AsOf))</f>
        <v/>
      </c>
      <c r="AU137" s="43" t="str">
        <f aca="false">IF(B137="","",IF(AV137="",0,LEN(AV137)-LEN(SUBSTITUTE(AV137,";",""))))</f>
        <v/>
      </c>
      <c r="AV137" s="9" t="str">
        <f aca="false">IF(B137="","",IF(COUNTIF($B$6:$B$505,B137)&gt;1,"Duplicate Emp Code; ","")&amp;IF(C137="","Name missing; ","")&amp;IF(I137="","DOJ missing; ","")&amp;IF(AND(J137&lt;&gt;"",I137&lt;&gt;"",J137&lt;I137),"Exit before DOJ; ","")&amp;IF(Q137="","DOB missing; ","")&amp;IF(T137="","Aadhaar missing; ",IF(LEN(T137)&lt;&gt;12,"Aadhaar not 12 digits; ",IF(COUNTIF($T$6:$T$505,T137)&gt;1,"Duplicate Aadhaar; ","")))&amp;IF(U137="","PAN missing; ",IF(LEN(U137)&lt;&gt;10,"PAN not 10 chars; ",""))&amp;IF(V137="","Mobile missing; ",IF(LEN(V137)&lt;&gt;10,"Mobile not 10 digits; ",""))&amp;IF(AG137="","Bank A/c missing; ","")&amp;IF(AH137="","IFSC missing; ",IF(LEN(AH137)&lt;&gt;11,"IFSC not 11 chars; ","")))</f>
        <v/>
      </c>
      <c r="AW137" s="46" t="str">
        <f aca="false">IF(AS137="","",AS137+ROW()/100000)</f>
        <v/>
      </c>
      <c r="AX137" s="46" t="str">
        <f aca="false">IF(AT137="","",AT137+ROW()/100000)</f>
        <v/>
      </c>
    </row>
    <row r="138" customFormat="false" ht="15" hidden="false" customHeight="false" outlineLevel="0" collapsed="false">
      <c r="A138" s="9" t="str">
        <f aca="false">IF(B138="","",ROW()-5)</f>
        <v/>
      </c>
      <c r="B138" s="40"/>
      <c r="C138" s="8"/>
      <c r="D138" s="9" t="str">
        <f aca="false">IF(B138="","",IF(J138="","Active","Exited"))</f>
        <v/>
      </c>
      <c r="E138" s="8"/>
      <c r="F138" s="8"/>
      <c r="G138" s="8"/>
      <c r="H138" s="9" t="str">
        <f aca="false">IF(OR(B138="",I138=""),"",IF(IF(J138="",AsOf,J138)-I138&gt;=Settings!$C$13,"Permanent","Probation"))</f>
        <v/>
      </c>
      <c r="I138" s="41"/>
      <c r="J138" s="41"/>
      <c r="K138" s="8"/>
      <c r="L138" s="42" t="str">
        <f aca="false">IF(OR(B138="",I138=""),"",ROUND((IF(J138="",AsOf,J138)-I138)/365.25,1))</f>
        <v/>
      </c>
      <c r="M138" s="8"/>
      <c r="N138" s="8"/>
      <c r="O138" s="8"/>
      <c r="P138" s="8"/>
      <c r="Q138" s="41"/>
      <c r="R138" s="43" t="str">
        <f aca="false">IF(OR(B138="",Q138=""),"",INT((AsOf-Q138)/365.25))</f>
        <v/>
      </c>
      <c r="S138" s="8"/>
      <c r="T138" s="40"/>
      <c r="U138" s="40"/>
      <c r="V138" s="40"/>
      <c r="W138" s="40"/>
      <c r="X138" s="8"/>
      <c r="Y138" s="8"/>
      <c r="Z138" s="8"/>
      <c r="AA138" s="8"/>
      <c r="AB138" s="8"/>
      <c r="AC138" s="8"/>
      <c r="AD138" s="8"/>
      <c r="AE138" s="40"/>
      <c r="AF138" s="8"/>
      <c r="AG138" s="40"/>
      <c r="AH138" s="40"/>
      <c r="AI138" s="8"/>
      <c r="AJ138" s="40"/>
      <c r="AK138" s="40"/>
      <c r="AL138" s="40"/>
      <c r="AM138" s="44"/>
      <c r="AN138" s="44"/>
      <c r="AO138" s="41"/>
      <c r="AP138" s="45" t="str">
        <f aca="false">IF(B138="","",IF(AND(ISNUMBER(AM138),ISNUMBER(AN138),AM138&gt;0,AN138&gt;0),AN138/AM138-1,""))</f>
        <v/>
      </c>
      <c r="AQ138" s="9" t="str">
        <f aca="false">IF(I138="","",(YEAR(I138)-IF(MONTH(I138)&lt;4,1,0))&amp;"-"&amp;RIGHT((YEAR(I138)-IF(MONTH(I138)&lt;4,1,0))+1,2))</f>
        <v/>
      </c>
      <c r="AR138" s="9" t="str">
        <f aca="false">IF(J138="","",(YEAR(J138)-IF(MONTH(J138)&lt;4,1,0))&amp;"-"&amp;RIGHT((YEAR(J138)-IF(MONTH(J138)&lt;4,1,0))+1,2))</f>
        <v/>
      </c>
      <c r="AS138" s="43" t="str">
        <f aca="false">IF(OR(B138="",Q138="",D138&lt;&gt;"Active"),"",DATE(YEAR(AsOf)+IF(DATE(YEAR(AsOf),MONTH(Q138),DAY(Q138))&lt;AsOf,1,0),MONTH(Q138),DAY(Q138))-AsOf)</f>
        <v/>
      </c>
      <c r="AT138" s="43" t="str">
        <f aca="false">IF(OR(B138="",I138="",D138&lt;&gt;"Active"),"",IF(YEAR(DATE(YEAR(AsOf)+IF(DATE(YEAR(AsOf),MONTH(I138),DAY(I138))&lt;AsOf,1,0),MONTH(I138),DAY(I138)))-YEAR(I138)&lt;1,"",DATE(YEAR(AsOf)+IF(DATE(YEAR(AsOf),MONTH(I138),DAY(I138))&lt;AsOf,1,0),MONTH(I138),DAY(I138))-AsOf))</f>
        <v/>
      </c>
      <c r="AU138" s="43" t="str">
        <f aca="false">IF(B138="","",IF(AV138="",0,LEN(AV138)-LEN(SUBSTITUTE(AV138,";",""))))</f>
        <v/>
      </c>
      <c r="AV138" s="9" t="str">
        <f aca="false">IF(B138="","",IF(COUNTIF($B$6:$B$505,B138)&gt;1,"Duplicate Emp Code; ","")&amp;IF(C138="","Name missing; ","")&amp;IF(I138="","DOJ missing; ","")&amp;IF(AND(J138&lt;&gt;"",I138&lt;&gt;"",J138&lt;I138),"Exit before DOJ; ","")&amp;IF(Q138="","DOB missing; ","")&amp;IF(T138="","Aadhaar missing; ",IF(LEN(T138)&lt;&gt;12,"Aadhaar not 12 digits; ",IF(COUNTIF($T$6:$T$505,T138)&gt;1,"Duplicate Aadhaar; ","")))&amp;IF(U138="","PAN missing; ",IF(LEN(U138)&lt;&gt;10,"PAN not 10 chars; ",""))&amp;IF(V138="","Mobile missing; ",IF(LEN(V138)&lt;&gt;10,"Mobile not 10 digits; ",""))&amp;IF(AG138="","Bank A/c missing; ","")&amp;IF(AH138="","IFSC missing; ",IF(LEN(AH138)&lt;&gt;11,"IFSC not 11 chars; ","")))</f>
        <v/>
      </c>
      <c r="AW138" s="46" t="str">
        <f aca="false">IF(AS138="","",AS138+ROW()/100000)</f>
        <v/>
      </c>
      <c r="AX138" s="46" t="str">
        <f aca="false">IF(AT138="","",AT138+ROW()/100000)</f>
        <v/>
      </c>
    </row>
    <row r="139" customFormat="false" ht="15" hidden="false" customHeight="false" outlineLevel="0" collapsed="false">
      <c r="A139" s="9" t="str">
        <f aca="false">IF(B139="","",ROW()-5)</f>
        <v/>
      </c>
      <c r="B139" s="40"/>
      <c r="C139" s="8"/>
      <c r="D139" s="9" t="str">
        <f aca="false">IF(B139="","",IF(J139="","Active","Exited"))</f>
        <v/>
      </c>
      <c r="E139" s="8"/>
      <c r="F139" s="8"/>
      <c r="G139" s="8"/>
      <c r="H139" s="9" t="str">
        <f aca="false">IF(OR(B139="",I139=""),"",IF(IF(J139="",AsOf,J139)-I139&gt;=Settings!$C$13,"Permanent","Probation"))</f>
        <v/>
      </c>
      <c r="I139" s="41"/>
      <c r="J139" s="41"/>
      <c r="K139" s="8"/>
      <c r="L139" s="42" t="str">
        <f aca="false">IF(OR(B139="",I139=""),"",ROUND((IF(J139="",AsOf,J139)-I139)/365.25,1))</f>
        <v/>
      </c>
      <c r="M139" s="8"/>
      <c r="N139" s="8"/>
      <c r="O139" s="8"/>
      <c r="P139" s="8"/>
      <c r="Q139" s="41"/>
      <c r="R139" s="43" t="str">
        <f aca="false">IF(OR(B139="",Q139=""),"",INT((AsOf-Q139)/365.25))</f>
        <v/>
      </c>
      <c r="S139" s="8"/>
      <c r="T139" s="40"/>
      <c r="U139" s="40"/>
      <c r="V139" s="40"/>
      <c r="W139" s="40"/>
      <c r="X139" s="8"/>
      <c r="Y139" s="8"/>
      <c r="Z139" s="8"/>
      <c r="AA139" s="8"/>
      <c r="AB139" s="8"/>
      <c r="AC139" s="8"/>
      <c r="AD139" s="8"/>
      <c r="AE139" s="40"/>
      <c r="AF139" s="8"/>
      <c r="AG139" s="40"/>
      <c r="AH139" s="40"/>
      <c r="AI139" s="8"/>
      <c r="AJ139" s="40"/>
      <c r="AK139" s="40"/>
      <c r="AL139" s="40"/>
      <c r="AM139" s="44"/>
      <c r="AN139" s="44"/>
      <c r="AO139" s="41"/>
      <c r="AP139" s="45" t="str">
        <f aca="false">IF(B139="","",IF(AND(ISNUMBER(AM139),ISNUMBER(AN139),AM139&gt;0,AN139&gt;0),AN139/AM139-1,""))</f>
        <v/>
      </c>
      <c r="AQ139" s="9" t="str">
        <f aca="false">IF(I139="","",(YEAR(I139)-IF(MONTH(I139)&lt;4,1,0))&amp;"-"&amp;RIGHT((YEAR(I139)-IF(MONTH(I139)&lt;4,1,0))+1,2))</f>
        <v/>
      </c>
      <c r="AR139" s="9" t="str">
        <f aca="false">IF(J139="","",(YEAR(J139)-IF(MONTH(J139)&lt;4,1,0))&amp;"-"&amp;RIGHT((YEAR(J139)-IF(MONTH(J139)&lt;4,1,0))+1,2))</f>
        <v/>
      </c>
      <c r="AS139" s="43" t="str">
        <f aca="false">IF(OR(B139="",Q139="",D139&lt;&gt;"Active"),"",DATE(YEAR(AsOf)+IF(DATE(YEAR(AsOf),MONTH(Q139),DAY(Q139))&lt;AsOf,1,0),MONTH(Q139),DAY(Q139))-AsOf)</f>
        <v/>
      </c>
      <c r="AT139" s="43" t="str">
        <f aca="false">IF(OR(B139="",I139="",D139&lt;&gt;"Active"),"",IF(YEAR(DATE(YEAR(AsOf)+IF(DATE(YEAR(AsOf),MONTH(I139),DAY(I139))&lt;AsOf,1,0),MONTH(I139),DAY(I139)))-YEAR(I139)&lt;1,"",DATE(YEAR(AsOf)+IF(DATE(YEAR(AsOf),MONTH(I139),DAY(I139))&lt;AsOf,1,0),MONTH(I139),DAY(I139))-AsOf))</f>
        <v/>
      </c>
      <c r="AU139" s="43" t="str">
        <f aca="false">IF(B139="","",IF(AV139="",0,LEN(AV139)-LEN(SUBSTITUTE(AV139,";",""))))</f>
        <v/>
      </c>
      <c r="AV139" s="9" t="str">
        <f aca="false">IF(B139="","",IF(COUNTIF($B$6:$B$505,B139)&gt;1,"Duplicate Emp Code; ","")&amp;IF(C139="","Name missing; ","")&amp;IF(I139="","DOJ missing; ","")&amp;IF(AND(J139&lt;&gt;"",I139&lt;&gt;"",J139&lt;I139),"Exit before DOJ; ","")&amp;IF(Q139="","DOB missing; ","")&amp;IF(T139="","Aadhaar missing; ",IF(LEN(T139)&lt;&gt;12,"Aadhaar not 12 digits; ",IF(COUNTIF($T$6:$T$505,T139)&gt;1,"Duplicate Aadhaar; ","")))&amp;IF(U139="","PAN missing; ",IF(LEN(U139)&lt;&gt;10,"PAN not 10 chars; ",""))&amp;IF(V139="","Mobile missing; ",IF(LEN(V139)&lt;&gt;10,"Mobile not 10 digits; ",""))&amp;IF(AG139="","Bank A/c missing; ","")&amp;IF(AH139="","IFSC missing; ",IF(LEN(AH139)&lt;&gt;11,"IFSC not 11 chars; ","")))</f>
        <v/>
      </c>
      <c r="AW139" s="46" t="str">
        <f aca="false">IF(AS139="","",AS139+ROW()/100000)</f>
        <v/>
      </c>
      <c r="AX139" s="46" t="str">
        <f aca="false">IF(AT139="","",AT139+ROW()/100000)</f>
        <v/>
      </c>
    </row>
    <row r="140" customFormat="false" ht="15" hidden="false" customHeight="false" outlineLevel="0" collapsed="false">
      <c r="A140" s="9" t="str">
        <f aca="false">IF(B140="","",ROW()-5)</f>
        <v/>
      </c>
      <c r="B140" s="40"/>
      <c r="C140" s="8"/>
      <c r="D140" s="9" t="str">
        <f aca="false">IF(B140="","",IF(J140="","Active","Exited"))</f>
        <v/>
      </c>
      <c r="E140" s="8"/>
      <c r="F140" s="8"/>
      <c r="G140" s="8"/>
      <c r="H140" s="9" t="str">
        <f aca="false">IF(OR(B140="",I140=""),"",IF(IF(J140="",AsOf,J140)-I140&gt;=Settings!$C$13,"Permanent","Probation"))</f>
        <v/>
      </c>
      <c r="I140" s="41"/>
      <c r="J140" s="41"/>
      <c r="K140" s="8"/>
      <c r="L140" s="42" t="str">
        <f aca="false">IF(OR(B140="",I140=""),"",ROUND((IF(J140="",AsOf,J140)-I140)/365.25,1))</f>
        <v/>
      </c>
      <c r="M140" s="8"/>
      <c r="N140" s="8"/>
      <c r="O140" s="8"/>
      <c r="P140" s="8"/>
      <c r="Q140" s="41"/>
      <c r="R140" s="43" t="str">
        <f aca="false">IF(OR(B140="",Q140=""),"",INT((AsOf-Q140)/365.25))</f>
        <v/>
      </c>
      <c r="S140" s="8"/>
      <c r="T140" s="40"/>
      <c r="U140" s="40"/>
      <c r="V140" s="40"/>
      <c r="W140" s="40"/>
      <c r="X140" s="8"/>
      <c r="Y140" s="8"/>
      <c r="Z140" s="8"/>
      <c r="AA140" s="8"/>
      <c r="AB140" s="8"/>
      <c r="AC140" s="8"/>
      <c r="AD140" s="8"/>
      <c r="AE140" s="40"/>
      <c r="AF140" s="8"/>
      <c r="AG140" s="40"/>
      <c r="AH140" s="40"/>
      <c r="AI140" s="8"/>
      <c r="AJ140" s="40"/>
      <c r="AK140" s="40"/>
      <c r="AL140" s="40"/>
      <c r="AM140" s="44"/>
      <c r="AN140" s="44"/>
      <c r="AO140" s="41"/>
      <c r="AP140" s="45" t="str">
        <f aca="false">IF(B140="","",IF(AND(ISNUMBER(AM140),ISNUMBER(AN140),AM140&gt;0,AN140&gt;0),AN140/AM140-1,""))</f>
        <v/>
      </c>
      <c r="AQ140" s="9" t="str">
        <f aca="false">IF(I140="","",(YEAR(I140)-IF(MONTH(I140)&lt;4,1,0))&amp;"-"&amp;RIGHT((YEAR(I140)-IF(MONTH(I140)&lt;4,1,0))+1,2))</f>
        <v/>
      </c>
      <c r="AR140" s="9" t="str">
        <f aca="false">IF(J140="","",(YEAR(J140)-IF(MONTH(J140)&lt;4,1,0))&amp;"-"&amp;RIGHT((YEAR(J140)-IF(MONTH(J140)&lt;4,1,0))+1,2))</f>
        <v/>
      </c>
      <c r="AS140" s="43" t="str">
        <f aca="false">IF(OR(B140="",Q140="",D140&lt;&gt;"Active"),"",DATE(YEAR(AsOf)+IF(DATE(YEAR(AsOf),MONTH(Q140),DAY(Q140))&lt;AsOf,1,0),MONTH(Q140),DAY(Q140))-AsOf)</f>
        <v/>
      </c>
      <c r="AT140" s="43" t="str">
        <f aca="false">IF(OR(B140="",I140="",D140&lt;&gt;"Active"),"",IF(YEAR(DATE(YEAR(AsOf)+IF(DATE(YEAR(AsOf),MONTH(I140),DAY(I140))&lt;AsOf,1,0),MONTH(I140),DAY(I140)))-YEAR(I140)&lt;1,"",DATE(YEAR(AsOf)+IF(DATE(YEAR(AsOf),MONTH(I140),DAY(I140))&lt;AsOf,1,0),MONTH(I140),DAY(I140))-AsOf))</f>
        <v/>
      </c>
      <c r="AU140" s="43" t="str">
        <f aca="false">IF(B140="","",IF(AV140="",0,LEN(AV140)-LEN(SUBSTITUTE(AV140,";",""))))</f>
        <v/>
      </c>
      <c r="AV140" s="9" t="str">
        <f aca="false">IF(B140="","",IF(COUNTIF($B$6:$B$505,B140)&gt;1,"Duplicate Emp Code; ","")&amp;IF(C140="","Name missing; ","")&amp;IF(I140="","DOJ missing; ","")&amp;IF(AND(J140&lt;&gt;"",I140&lt;&gt;"",J140&lt;I140),"Exit before DOJ; ","")&amp;IF(Q140="","DOB missing; ","")&amp;IF(T140="","Aadhaar missing; ",IF(LEN(T140)&lt;&gt;12,"Aadhaar not 12 digits; ",IF(COUNTIF($T$6:$T$505,T140)&gt;1,"Duplicate Aadhaar; ","")))&amp;IF(U140="","PAN missing; ",IF(LEN(U140)&lt;&gt;10,"PAN not 10 chars; ",""))&amp;IF(V140="","Mobile missing; ",IF(LEN(V140)&lt;&gt;10,"Mobile not 10 digits; ",""))&amp;IF(AG140="","Bank A/c missing; ","")&amp;IF(AH140="","IFSC missing; ",IF(LEN(AH140)&lt;&gt;11,"IFSC not 11 chars; ","")))</f>
        <v/>
      </c>
      <c r="AW140" s="46" t="str">
        <f aca="false">IF(AS140="","",AS140+ROW()/100000)</f>
        <v/>
      </c>
      <c r="AX140" s="46" t="str">
        <f aca="false">IF(AT140="","",AT140+ROW()/100000)</f>
        <v/>
      </c>
    </row>
    <row r="141" customFormat="false" ht="15" hidden="false" customHeight="false" outlineLevel="0" collapsed="false">
      <c r="A141" s="9" t="str">
        <f aca="false">IF(B141="","",ROW()-5)</f>
        <v/>
      </c>
      <c r="B141" s="40"/>
      <c r="C141" s="8"/>
      <c r="D141" s="9" t="str">
        <f aca="false">IF(B141="","",IF(J141="","Active","Exited"))</f>
        <v/>
      </c>
      <c r="E141" s="8"/>
      <c r="F141" s="8"/>
      <c r="G141" s="8"/>
      <c r="H141" s="9" t="str">
        <f aca="false">IF(OR(B141="",I141=""),"",IF(IF(J141="",AsOf,J141)-I141&gt;=Settings!$C$13,"Permanent","Probation"))</f>
        <v/>
      </c>
      <c r="I141" s="41"/>
      <c r="J141" s="41"/>
      <c r="K141" s="8"/>
      <c r="L141" s="42" t="str">
        <f aca="false">IF(OR(B141="",I141=""),"",ROUND((IF(J141="",AsOf,J141)-I141)/365.25,1))</f>
        <v/>
      </c>
      <c r="M141" s="8"/>
      <c r="N141" s="8"/>
      <c r="O141" s="8"/>
      <c r="P141" s="8"/>
      <c r="Q141" s="41"/>
      <c r="R141" s="43" t="str">
        <f aca="false">IF(OR(B141="",Q141=""),"",INT((AsOf-Q141)/365.25))</f>
        <v/>
      </c>
      <c r="S141" s="8"/>
      <c r="T141" s="40"/>
      <c r="U141" s="40"/>
      <c r="V141" s="40"/>
      <c r="W141" s="40"/>
      <c r="X141" s="8"/>
      <c r="Y141" s="8"/>
      <c r="Z141" s="8"/>
      <c r="AA141" s="8"/>
      <c r="AB141" s="8"/>
      <c r="AC141" s="8"/>
      <c r="AD141" s="8"/>
      <c r="AE141" s="40"/>
      <c r="AF141" s="8"/>
      <c r="AG141" s="40"/>
      <c r="AH141" s="40"/>
      <c r="AI141" s="8"/>
      <c r="AJ141" s="40"/>
      <c r="AK141" s="40"/>
      <c r="AL141" s="40"/>
      <c r="AM141" s="44"/>
      <c r="AN141" s="44"/>
      <c r="AO141" s="41"/>
      <c r="AP141" s="45" t="str">
        <f aca="false">IF(B141="","",IF(AND(ISNUMBER(AM141),ISNUMBER(AN141),AM141&gt;0,AN141&gt;0),AN141/AM141-1,""))</f>
        <v/>
      </c>
      <c r="AQ141" s="9" t="str">
        <f aca="false">IF(I141="","",(YEAR(I141)-IF(MONTH(I141)&lt;4,1,0))&amp;"-"&amp;RIGHT((YEAR(I141)-IF(MONTH(I141)&lt;4,1,0))+1,2))</f>
        <v/>
      </c>
      <c r="AR141" s="9" t="str">
        <f aca="false">IF(J141="","",(YEAR(J141)-IF(MONTH(J141)&lt;4,1,0))&amp;"-"&amp;RIGHT((YEAR(J141)-IF(MONTH(J141)&lt;4,1,0))+1,2))</f>
        <v/>
      </c>
      <c r="AS141" s="43" t="str">
        <f aca="false">IF(OR(B141="",Q141="",D141&lt;&gt;"Active"),"",DATE(YEAR(AsOf)+IF(DATE(YEAR(AsOf),MONTH(Q141),DAY(Q141))&lt;AsOf,1,0),MONTH(Q141),DAY(Q141))-AsOf)</f>
        <v/>
      </c>
      <c r="AT141" s="43" t="str">
        <f aca="false">IF(OR(B141="",I141="",D141&lt;&gt;"Active"),"",IF(YEAR(DATE(YEAR(AsOf)+IF(DATE(YEAR(AsOf),MONTH(I141),DAY(I141))&lt;AsOf,1,0),MONTH(I141),DAY(I141)))-YEAR(I141)&lt;1,"",DATE(YEAR(AsOf)+IF(DATE(YEAR(AsOf),MONTH(I141),DAY(I141))&lt;AsOf,1,0),MONTH(I141),DAY(I141))-AsOf))</f>
        <v/>
      </c>
      <c r="AU141" s="43" t="str">
        <f aca="false">IF(B141="","",IF(AV141="",0,LEN(AV141)-LEN(SUBSTITUTE(AV141,";",""))))</f>
        <v/>
      </c>
      <c r="AV141" s="9" t="str">
        <f aca="false">IF(B141="","",IF(COUNTIF($B$6:$B$505,B141)&gt;1,"Duplicate Emp Code; ","")&amp;IF(C141="","Name missing; ","")&amp;IF(I141="","DOJ missing; ","")&amp;IF(AND(J141&lt;&gt;"",I141&lt;&gt;"",J141&lt;I141),"Exit before DOJ; ","")&amp;IF(Q141="","DOB missing; ","")&amp;IF(T141="","Aadhaar missing; ",IF(LEN(T141)&lt;&gt;12,"Aadhaar not 12 digits; ",IF(COUNTIF($T$6:$T$505,T141)&gt;1,"Duplicate Aadhaar; ","")))&amp;IF(U141="","PAN missing; ",IF(LEN(U141)&lt;&gt;10,"PAN not 10 chars; ",""))&amp;IF(V141="","Mobile missing; ",IF(LEN(V141)&lt;&gt;10,"Mobile not 10 digits; ",""))&amp;IF(AG141="","Bank A/c missing; ","")&amp;IF(AH141="","IFSC missing; ",IF(LEN(AH141)&lt;&gt;11,"IFSC not 11 chars; ","")))</f>
        <v/>
      </c>
      <c r="AW141" s="46" t="str">
        <f aca="false">IF(AS141="","",AS141+ROW()/100000)</f>
        <v/>
      </c>
      <c r="AX141" s="46" t="str">
        <f aca="false">IF(AT141="","",AT141+ROW()/100000)</f>
        <v/>
      </c>
    </row>
    <row r="142" customFormat="false" ht="15" hidden="false" customHeight="false" outlineLevel="0" collapsed="false">
      <c r="A142" s="9" t="str">
        <f aca="false">IF(B142="","",ROW()-5)</f>
        <v/>
      </c>
      <c r="B142" s="40"/>
      <c r="C142" s="8"/>
      <c r="D142" s="9" t="str">
        <f aca="false">IF(B142="","",IF(J142="","Active","Exited"))</f>
        <v/>
      </c>
      <c r="E142" s="8"/>
      <c r="F142" s="8"/>
      <c r="G142" s="8"/>
      <c r="H142" s="9" t="str">
        <f aca="false">IF(OR(B142="",I142=""),"",IF(IF(J142="",AsOf,J142)-I142&gt;=Settings!$C$13,"Permanent","Probation"))</f>
        <v/>
      </c>
      <c r="I142" s="41"/>
      <c r="J142" s="41"/>
      <c r="K142" s="8"/>
      <c r="L142" s="42" t="str">
        <f aca="false">IF(OR(B142="",I142=""),"",ROUND((IF(J142="",AsOf,J142)-I142)/365.25,1))</f>
        <v/>
      </c>
      <c r="M142" s="8"/>
      <c r="N142" s="8"/>
      <c r="O142" s="8"/>
      <c r="P142" s="8"/>
      <c r="Q142" s="41"/>
      <c r="R142" s="43" t="str">
        <f aca="false">IF(OR(B142="",Q142=""),"",INT((AsOf-Q142)/365.25))</f>
        <v/>
      </c>
      <c r="S142" s="8"/>
      <c r="T142" s="40"/>
      <c r="U142" s="40"/>
      <c r="V142" s="40"/>
      <c r="W142" s="40"/>
      <c r="X142" s="8"/>
      <c r="Y142" s="8"/>
      <c r="Z142" s="8"/>
      <c r="AA142" s="8"/>
      <c r="AB142" s="8"/>
      <c r="AC142" s="8"/>
      <c r="AD142" s="8"/>
      <c r="AE142" s="40"/>
      <c r="AF142" s="8"/>
      <c r="AG142" s="40"/>
      <c r="AH142" s="40"/>
      <c r="AI142" s="8"/>
      <c r="AJ142" s="40"/>
      <c r="AK142" s="40"/>
      <c r="AL142" s="40"/>
      <c r="AM142" s="44"/>
      <c r="AN142" s="44"/>
      <c r="AO142" s="41"/>
      <c r="AP142" s="45" t="str">
        <f aca="false">IF(B142="","",IF(AND(ISNUMBER(AM142),ISNUMBER(AN142),AM142&gt;0,AN142&gt;0),AN142/AM142-1,""))</f>
        <v/>
      </c>
      <c r="AQ142" s="9" t="str">
        <f aca="false">IF(I142="","",(YEAR(I142)-IF(MONTH(I142)&lt;4,1,0))&amp;"-"&amp;RIGHT((YEAR(I142)-IF(MONTH(I142)&lt;4,1,0))+1,2))</f>
        <v/>
      </c>
      <c r="AR142" s="9" t="str">
        <f aca="false">IF(J142="","",(YEAR(J142)-IF(MONTH(J142)&lt;4,1,0))&amp;"-"&amp;RIGHT((YEAR(J142)-IF(MONTH(J142)&lt;4,1,0))+1,2))</f>
        <v/>
      </c>
      <c r="AS142" s="43" t="str">
        <f aca="false">IF(OR(B142="",Q142="",D142&lt;&gt;"Active"),"",DATE(YEAR(AsOf)+IF(DATE(YEAR(AsOf),MONTH(Q142),DAY(Q142))&lt;AsOf,1,0),MONTH(Q142),DAY(Q142))-AsOf)</f>
        <v/>
      </c>
      <c r="AT142" s="43" t="str">
        <f aca="false">IF(OR(B142="",I142="",D142&lt;&gt;"Active"),"",IF(YEAR(DATE(YEAR(AsOf)+IF(DATE(YEAR(AsOf),MONTH(I142),DAY(I142))&lt;AsOf,1,0),MONTH(I142),DAY(I142)))-YEAR(I142)&lt;1,"",DATE(YEAR(AsOf)+IF(DATE(YEAR(AsOf),MONTH(I142),DAY(I142))&lt;AsOf,1,0),MONTH(I142),DAY(I142))-AsOf))</f>
        <v/>
      </c>
      <c r="AU142" s="43" t="str">
        <f aca="false">IF(B142="","",IF(AV142="",0,LEN(AV142)-LEN(SUBSTITUTE(AV142,";",""))))</f>
        <v/>
      </c>
      <c r="AV142" s="9" t="str">
        <f aca="false">IF(B142="","",IF(COUNTIF($B$6:$B$505,B142)&gt;1,"Duplicate Emp Code; ","")&amp;IF(C142="","Name missing; ","")&amp;IF(I142="","DOJ missing; ","")&amp;IF(AND(J142&lt;&gt;"",I142&lt;&gt;"",J142&lt;I142),"Exit before DOJ; ","")&amp;IF(Q142="","DOB missing; ","")&amp;IF(T142="","Aadhaar missing; ",IF(LEN(T142)&lt;&gt;12,"Aadhaar not 12 digits; ",IF(COUNTIF($T$6:$T$505,T142)&gt;1,"Duplicate Aadhaar; ","")))&amp;IF(U142="","PAN missing; ",IF(LEN(U142)&lt;&gt;10,"PAN not 10 chars; ",""))&amp;IF(V142="","Mobile missing; ",IF(LEN(V142)&lt;&gt;10,"Mobile not 10 digits; ",""))&amp;IF(AG142="","Bank A/c missing; ","")&amp;IF(AH142="","IFSC missing; ",IF(LEN(AH142)&lt;&gt;11,"IFSC not 11 chars; ","")))</f>
        <v/>
      </c>
      <c r="AW142" s="46" t="str">
        <f aca="false">IF(AS142="","",AS142+ROW()/100000)</f>
        <v/>
      </c>
      <c r="AX142" s="46" t="str">
        <f aca="false">IF(AT142="","",AT142+ROW()/100000)</f>
        <v/>
      </c>
    </row>
    <row r="143" customFormat="false" ht="15" hidden="false" customHeight="false" outlineLevel="0" collapsed="false">
      <c r="A143" s="9" t="str">
        <f aca="false">IF(B143="","",ROW()-5)</f>
        <v/>
      </c>
      <c r="B143" s="40"/>
      <c r="C143" s="8"/>
      <c r="D143" s="9" t="str">
        <f aca="false">IF(B143="","",IF(J143="","Active","Exited"))</f>
        <v/>
      </c>
      <c r="E143" s="8"/>
      <c r="F143" s="8"/>
      <c r="G143" s="8"/>
      <c r="H143" s="9" t="str">
        <f aca="false">IF(OR(B143="",I143=""),"",IF(IF(J143="",AsOf,J143)-I143&gt;=Settings!$C$13,"Permanent","Probation"))</f>
        <v/>
      </c>
      <c r="I143" s="41"/>
      <c r="J143" s="41"/>
      <c r="K143" s="8"/>
      <c r="L143" s="42" t="str">
        <f aca="false">IF(OR(B143="",I143=""),"",ROUND((IF(J143="",AsOf,J143)-I143)/365.25,1))</f>
        <v/>
      </c>
      <c r="M143" s="8"/>
      <c r="N143" s="8"/>
      <c r="O143" s="8"/>
      <c r="P143" s="8"/>
      <c r="Q143" s="41"/>
      <c r="R143" s="43" t="str">
        <f aca="false">IF(OR(B143="",Q143=""),"",INT((AsOf-Q143)/365.25))</f>
        <v/>
      </c>
      <c r="S143" s="8"/>
      <c r="T143" s="40"/>
      <c r="U143" s="40"/>
      <c r="V143" s="40"/>
      <c r="W143" s="40"/>
      <c r="X143" s="8"/>
      <c r="Y143" s="8"/>
      <c r="Z143" s="8"/>
      <c r="AA143" s="8"/>
      <c r="AB143" s="8"/>
      <c r="AC143" s="8"/>
      <c r="AD143" s="8"/>
      <c r="AE143" s="40"/>
      <c r="AF143" s="8"/>
      <c r="AG143" s="40"/>
      <c r="AH143" s="40"/>
      <c r="AI143" s="8"/>
      <c r="AJ143" s="40"/>
      <c r="AK143" s="40"/>
      <c r="AL143" s="40"/>
      <c r="AM143" s="44"/>
      <c r="AN143" s="44"/>
      <c r="AO143" s="41"/>
      <c r="AP143" s="45" t="str">
        <f aca="false">IF(B143="","",IF(AND(ISNUMBER(AM143),ISNUMBER(AN143),AM143&gt;0,AN143&gt;0),AN143/AM143-1,""))</f>
        <v/>
      </c>
      <c r="AQ143" s="9" t="str">
        <f aca="false">IF(I143="","",(YEAR(I143)-IF(MONTH(I143)&lt;4,1,0))&amp;"-"&amp;RIGHT((YEAR(I143)-IF(MONTH(I143)&lt;4,1,0))+1,2))</f>
        <v/>
      </c>
      <c r="AR143" s="9" t="str">
        <f aca="false">IF(J143="","",(YEAR(J143)-IF(MONTH(J143)&lt;4,1,0))&amp;"-"&amp;RIGHT((YEAR(J143)-IF(MONTH(J143)&lt;4,1,0))+1,2))</f>
        <v/>
      </c>
      <c r="AS143" s="43" t="str">
        <f aca="false">IF(OR(B143="",Q143="",D143&lt;&gt;"Active"),"",DATE(YEAR(AsOf)+IF(DATE(YEAR(AsOf),MONTH(Q143),DAY(Q143))&lt;AsOf,1,0),MONTH(Q143),DAY(Q143))-AsOf)</f>
        <v/>
      </c>
      <c r="AT143" s="43" t="str">
        <f aca="false">IF(OR(B143="",I143="",D143&lt;&gt;"Active"),"",IF(YEAR(DATE(YEAR(AsOf)+IF(DATE(YEAR(AsOf),MONTH(I143),DAY(I143))&lt;AsOf,1,0),MONTH(I143),DAY(I143)))-YEAR(I143)&lt;1,"",DATE(YEAR(AsOf)+IF(DATE(YEAR(AsOf),MONTH(I143),DAY(I143))&lt;AsOf,1,0),MONTH(I143),DAY(I143))-AsOf))</f>
        <v/>
      </c>
      <c r="AU143" s="43" t="str">
        <f aca="false">IF(B143="","",IF(AV143="",0,LEN(AV143)-LEN(SUBSTITUTE(AV143,";",""))))</f>
        <v/>
      </c>
      <c r="AV143" s="9" t="str">
        <f aca="false">IF(B143="","",IF(COUNTIF($B$6:$B$505,B143)&gt;1,"Duplicate Emp Code; ","")&amp;IF(C143="","Name missing; ","")&amp;IF(I143="","DOJ missing; ","")&amp;IF(AND(J143&lt;&gt;"",I143&lt;&gt;"",J143&lt;I143),"Exit before DOJ; ","")&amp;IF(Q143="","DOB missing; ","")&amp;IF(T143="","Aadhaar missing; ",IF(LEN(T143)&lt;&gt;12,"Aadhaar not 12 digits; ",IF(COUNTIF($T$6:$T$505,T143)&gt;1,"Duplicate Aadhaar; ","")))&amp;IF(U143="","PAN missing; ",IF(LEN(U143)&lt;&gt;10,"PAN not 10 chars; ",""))&amp;IF(V143="","Mobile missing; ",IF(LEN(V143)&lt;&gt;10,"Mobile not 10 digits; ",""))&amp;IF(AG143="","Bank A/c missing; ","")&amp;IF(AH143="","IFSC missing; ",IF(LEN(AH143)&lt;&gt;11,"IFSC not 11 chars; ","")))</f>
        <v/>
      </c>
      <c r="AW143" s="46" t="str">
        <f aca="false">IF(AS143="","",AS143+ROW()/100000)</f>
        <v/>
      </c>
      <c r="AX143" s="46" t="str">
        <f aca="false">IF(AT143="","",AT143+ROW()/100000)</f>
        <v/>
      </c>
    </row>
    <row r="144" customFormat="false" ht="15" hidden="false" customHeight="false" outlineLevel="0" collapsed="false">
      <c r="A144" s="9" t="str">
        <f aca="false">IF(B144="","",ROW()-5)</f>
        <v/>
      </c>
      <c r="B144" s="40"/>
      <c r="C144" s="8"/>
      <c r="D144" s="9" t="str">
        <f aca="false">IF(B144="","",IF(J144="","Active","Exited"))</f>
        <v/>
      </c>
      <c r="E144" s="8"/>
      <c r="F144" s="8"/>
      <c r="G144" s="8"/>
      <c r="H144" s="9" t="str">
        <f aca="false">IF(OR(B144="",I144=""),"",IF(IF(J144="",AsOf,J144)-I144&gt;=Settings!$C$13,"Permanent","Probation"))</f>
        <v/>
      </c>
      <c r="I144" s="41"/>
      <c r="J144" s="41"/>
      <c r="K144" s="8"/>
      <c r="L144" s="42" t="str">
        <f aca="false">IF(OR(B144="",I144=""),"",ROUND((IF(J144="",AsOf,J144)-I144)/365.25,1))</f>
        <v/>
      </c>
      <c r="M144" s="8"/>
      <c r="N144" s="8"/>
      <c r="O144" s="8"/>
      <c r="P144" s="8"/>
      <c r="Q144" s="41"/>
      <c r="R144" s="43" t="str">
        <f aca="false">IF(OR(B144="",Q144=""),"",INT((AsOf-Q144)/365.25))</f>
        <v/>
      </c>
      <c r="S144" s="8"/>
      <c r="T144" s="40"/>
      <c r="U144" s="40"/>
      <c r="V144" s="40"/>
      <c r="W144" s="40"/>
      <c r="X144" s="8"/>
      <c r="Y144" s="8"/>
      <c r="Z144" s="8"/>
      <c r="AA144" s="8"/>
      <c r="AB144" s="8"/>
      <c r="AC144" s="8"/>
      <c r="AD144" s="8"/>
      <c r="AE144" s="40"/>
      <c r="AF144" s="8"/>
      <c r="AG144" s="40"/>
      <c r="AH144" s="40"/>
      <c r="AI144" s="8"/>
      <c r="AJ144" s="40"/>
      <c r="AK144" s="40"/>
      <c r="AL144" s="40"/>
      <c r="AM144" s="44"/>
      <c r="AN144" s="44"/>
      <c r="AO144" s="41"/>
      <c r="AP144" s="45" t="str">
        <f aca="false">IF(B144="","",IF(AND(ISNUMBER(AM144),ISNUMBER(AN144),AM144&gt;0,AN144&gt;0),AN144/AM144-1,""))</f>
        <v/>
      </c>
      <c r="AQ144" s="9" t="str">
        <f aca="false">IF(I144="","",(YEAR(I144)-IF(MONTH(I144)&lt;4,1,0))&amp;"-"&amp;RIGHT((YEAR(I144)-IF(MONTH(I144)&lt;4,1,0))+1,2))</f>
        <v/>
      </c>
      <c r="AR144" s="9" t="str">
        <f aca="false">IF(J144="","",(YEAR(J144)-IF(MONTH(J144)&lt;4,1,0))&amp;"-"&amp;RIGHT((YEAR(J144)-IF(MONTH(J144)&lt;4,1,0))+1,2))</f>
        <v/>
      </c>
      <c r="AS144" s="43" t="str">
        <f aca="false">IF(OR(B144="",Q144="",D144&lt;&gt;"Active"),"",DATE(YEAR(AsOf)+IF(DATE(YEAR(AsOf),MONTH(Q144),DAY(Q144))&lt;AsOf,1,0),MONTH(Q144),DAY(Q144))-AsOf)</f>
        <v/>
      </c>
      <c r="AT144" s="43" t="str">
        <f aca="false">IF(OR(B144="",I144="",D144&lt;&gt;"Active"),"",IF(YEAR(DATE(YEAR(AsOf)+IF(DATE(YEAR(AsOf),MONTH(I144),DAY(I144))&lt;AsOf,1,0),MONTH(I144),DAY(I144)))-YEAR(I144)&lt;1,"",DATE(YEAR(AsOf)+IF(DATE(YEAR(AsOf),MONTH(I144),DAY(I144))&lt;AsOf,1,0),MONTH(I144),DAY(I144))-AsOf))</f>
        <v/>
      </c>
      <c r="AU144" s="43" t="str">
        <f aca="false">IF(B144="","",IF(AV144="",0,LEN(AV144)-LEN(SUBSTITUTE(AV144,";",""))))</f>
        <v/>
      </c>
      <c r="AV144" s="9" t="str">
        <f aca="false">IF(B144="","",IF(COUNTIF($B$6:$B$505,B144)&gt;1,"Duplicate Emp Code; ","")&amp;IF(C144="","Name missing; ","")&amp;IF(I144="","DOJ missing; ","")&amp;IF(AND(J144&lt;&gt;"",I144&lt;&gt;"",J144&lt;I144),"Exit before DOJ; ","")&amp;IF(Q144="","DOB missing; ","")&amp;IF(T144="","Aadhaar missing; ",IF(LEN(T144)&lt;&gt;12,"Aadhaar not 12 digits; ",IF(COUNTIF($T$6:$T$505,T144)&gt;1,"Duplicate Aadhaar; ","")))&amp;IF(U144="","PAN missing; ",IF(LEN(U144)&lt;&gt;10,"PAN not 10 chars; ",""))&amp;IF(V144="","Mobile missing; ",IF(LEN(V144)&lt;&gt;10,"Mobile not 10 digits; ",""))&amp;IF(AG144="","Bank A/c missing; ","")&amp;IF(AH144="","IFSC missing; ",IF(LEN(AH144)&lt;&gt;11,"IFSC not 11 chars; ","")))</f>
        <v/>
      </c>
      <c r="AW144" s="46" t="str">
        <f aca="false">IF(AS144="","",AS144+ROW()/100000)</f>
        <v/>
      </c>
      <c r="AX144" s="46" t="str">
        <f aca="false">IF(AT144="","",AT144+ROW()/100000)</f>
        <v/>
      </c>
    </row>
    <row r="145" customFormat="false" ht="15" hidden="false" customHeight="false" outlineLevel="0" collapsed="false">
      <c r="A145" s="9" t="str">
        <f aca="false">IF(B145="","",ROW()-5)</f>
        <v/>
      </c>
      <c r="B145" s="40"/>
      <c r="C145" s="8"/>
      <c r="D145" s="9" t="str">
        <f aca="false">IF(B145="","",IF(J145="","Active","Exited"))</f>
        <v/>
      </c>
      <c r="E145" s="8"/>
      <c r="F145" s="8"/>
      <c r="G145" s="8"/>
      <c r="H145" s="9" t="str">
        <f aca="false">IF(OR(B145="",I145=""),"",IF(IF(J145="",AsOf,J145)-I145&gt;=Settings!$C$13,"Permanent","Probation"))</f>
        <v/>
      </c>
      <c r="I145" s="41"/>
      <c r="J145" s="41"/>
      <c r="K145" s="8"/>
      <c r="L145" s="42" t="str">
        <f aca="false">IF(OR(B145="",I145=""),"",ROUND((IF(J145="",AsOf,J145)-I145)/365.25,1))</f>
        <v/>
      </c>
      <c r="M145" s="8"/>
      <c r="N145" s="8"/>
      <c r="O145" s="8"/>
      <c r="P145" s="8"/>
      <c r="Q145" s="41"/>
      <c r="R145" s="43" t="str">
        <f aca="false">IF(OR(B145="",Q145=""),"",INT((AsOf-Q145)/365.25))</f>
        <v/>
      </c>
      <c r="S145" s="8"/>
      <c r="T145" s="40"/>
      <c r="U145" s="40"/>
      <c r="V145" s="40"/>
      <c r="W145" s="40"/>
      <c r="X145" s="8"/>
      <c r="Y145" s="8"/>
      <c r="Z145" s="8"/>
      <c r="AA145" s="8"/>
      <c r="AB145" s="8"/>
      <c r="AC145" s="8"/>
      <c r="AD145" s="8"/>
      <c r="AE145" s="40"/>
      <c r="AF145" s="8"/>
      <c r="AG145" s="40"/>
      <c r="AH145" s="40"/>
      <c r="AI145" s="8"/>
      <c r="AJ145" s="40"/>
      <c r="AK145" s="40"/>
      <c r="AL145" s="40"/>
      <c r="AM145" s="44"/>
      <c r="AN145" s="44"/>
      <c r="AO145" s="41"/>
      <c r="AP145" s="45" t="str">
        <f aca="false">IF(B145="","",IF(AND(ISNUMBER(AM145),ISNUMBER(AN145),AM145&gt;0,AN145&gt;0),AN145/AM145-1,""))</f>
        <v/>
      </c>
      <c r="AQ145" s="9" t="str">
        <f aca="false">IF(I145="","",(YEAR(I145)-IF(MONTH(I145)&lt;4,1,0))&amp;"-"&amp;RIGHT((YEAR(I145)-IF(MONTH(I145)&lt;4,1,0))+1,2))</f>
        <v/>
      </c>
      <c r="AR145" s="9" t="str">
        <f aca="false">IF(J145="","",(YEAR(J145)-IF(MONTH(J145)&lt;4,1,0))&amp;"-"&amp;RIGHT((YEAR(J145)-IF(MONTH(J145)&lt;4,1,0))+1,2))</f>
        <v/>
      </c>
      <c r="AS145" s="43" t="str">
        <f aca="false">IF(OR(B145="",Q145="",D145&lt;&gt;"Active"),"",DATE(YEAR(AsOf)+IF(DATE(YEAR(AsOf),MONTH(Q145),DAY(Q145))&lt;AsOf,1,0),MONTH(Q145),DAY(Q145))-AsOf)</f>
        <v/>
      </c>
      <c r="AT145" s="43" t="str">
        <f aca="false">IF(OR(B145="",I145="",D145&lt;&gt;"Active"),"",IF(YEAR(DATE(YEAR(AsOf)+IF(DATE(YEAR(AsOf),MONTH(I145),DAY(I145))&lt;AsOf,1,0),MONTH(I145),DAY(I145)))-YEAR(I145)&lt;1,"",DATE(YEAR(AsOf)+IF(DATE(YEAR(AsOf),MONTH(I145),DAY(I145))&lt;AsOf,1,0),MONTH(I145),DAY(I145))-AsOf))</f>
        <v/>
      </c>
      <c r="AU145" s="43" t="str">
        <f aca="false">IF(B145="","",IF(AV145="",0,LEN(AV145)-LEN(SUBSTITUTE(AV145,";",""))))</f>
        <v/>
      </c>
      <c r="AV145" s="9" t="str">
        <f aca="false">IF(B145="","",IF(COUNTIF($B$6:$B$505,B145)&gt;1,"Duplicate Emp Code; ","")&amp;IF(C145="","Name missing; ","")&amp;IF(I145="","DOJ missing; ","")&amp;IF(AND(J145&lt;&gt;"",I145&lt;&gt;"",J145&lt;I145),"Exit before DOJ; ","")&amp;IF(Q145="","DOB missing; ","")&amp;IF(T145="","Aadhaar missing; ",IF(LEN(T145)&lt;&gt;12,"Aadhaar not 12 digits; ",IF(COUNTIF($T$6:$T$505,T145)&gt;1,"Duplicate Aadhaar; ","")))&amp;IF(U145="","PAN missing; ",IF(LEN(U145)&lt;&gt;10,"PAN not 10 chars; ",""))&amp;IF(V145="","Mobile missing; ",IF(LEN(V145)&lt;&gt;10,"Mobile not 10 digits; ",""))&amp;IF(AG145="","Bank A/c missing; ","")&amp;IF(AH145="","IFSC missing; ",IF(LEN(AH145)&lt;&gt;11,"IFSC not 11 chars; ","")))</f>
        <v/>
      </c>
      <c r="AW145" s="46" t="str">
        <f aca="false">IF(AS145="","",AS145+ROW()/100000)</f>
        <v/>
      </c>
      <c r="AX145" s="46" t="str">
        <f aca="false">IF(AT145="","",AT145+ROW()/100000)</f>
        <v/>
      </c>
    </row>
    <row r="146" customFormat="false" ht="15" hidden="false" customHeight="false" outlineLevel="0" collapsed="false">
      <c r="A146" s="9" t="str">
        <f aca="false">IF(B146="","",ROW()-5)</f>
        <v/>
      </c>
      <c r="B146" s="40"/>
      <c r="C146" s="8"/>
      <c r="D146" s="9" t="str">
        <f aca="false">IF(B146="","",IF(J146="","Active","Exited"))</f>
        <v/>
      </c>
      <c r="E146" s="8"/>
      <c r="F146" s="8"/>
      <c r="G146" s="8"/>
      <c r="H146" s="9" t="str">
        <f aca="false">IF(OR(B146="",I146=""),"",IF(IF(J146="",AsOf,J146)-I146&gt;=Settings!$C$13,"Permanent","Probation"))</f>
        <v/>
      </c>
      <c r="I146" s="41"/>
      <c r="J146" s="41"/>
      <c r="K146" s="8"/>
      <c r="L146" s="42" t="str">
        <f aca="false">IF(OR(B146="",I146=""),"",ROUND((IF(J146="",AsOf,J146)-I146)/365.25,1))</f>
        <v/>
      </c>
      <c r="M146" s="8"/>
      <c r="N146" s="8"/>
      <c r="O146" s="8"/>
      <c r="P146" s="8"/>
      <c r="Q146" s="41"/>
      <c r="R146" s="43" t="str">
        <f aca="false">IF(OR(B146="",Q146=""),"",INT((AsOf-Q146)/365.25))</f>
        <v/>
      </c>
      <c r="S146" s="8"/>
      <c r="T146" s="40"/>
      <c r="U146" s="40"/>
      <c r="V146" s="40"/>
      <c r="W146" s="40"/>
      <c r="X146" s="8"/>
      <c r="Y146" s="8"/>
      <c r="Z146" s="8"/>
      <c r="AA146" s="8"/>
      <c r="AB146" s="8"/>
      <c r="AC146" s="8"/>
      <c r="AD146" s="8"/>
      <c r="AE146" s="40"/>
      <c r="AF146" s="8"/>
      <c r="AG146" s="40"/>
      <c r="AH146" s="40"/>
      <c r="AI146" s="8"/>
      <c r="AJ146" s="40"/>
      <c r="AK146" s="40"/>
      <c r="AL146" s="40"/>
      <c r="AM146" s="44"/>
      <c r="AN146" s="44"/>
      <c r="AO146" s="41"/>
      <c r="AP146" s="45" t="str">
        <f aca="false">IF(B146="","",IF(AND(ISNUMBER(AM146),ISNUMBER(AN146),AM146&gt;0,AN146&gt;0),AN146/AM146-1,""))</f>
        <v/>
      </c>
      <c r="AQ146" s="9" t="str">
        <f aca="false">IF(I146="","",(YEAR(I146)-IF(MONTH(I146)&lt;4,1,0))&amp;"-"&amp;RIGHT((YEAR(I146)-IF(MONTH(I146)&lt;4,1,0))+1,2))</f>
        <v/>
      </c>
      <c r="AR146" s="9" t="str">
        <f aca="false">IF(J146="","",(YEAR(J146)-IF(MONTH(J146)&lt;4,1,0))&amp;"-"&amp;RIGHT((YEAR(J146)-IF(MONTH(J146)&lt;4,1,0))+1,2))</f>
        <v/>
      </c>
      <c r="AS146" s="43" t="str">
        <f aca="false">IF(OR(B146="",Q146="",D146&lt;&gt;"Active"),"",DATE(YEAR(AsOf)+IF(DATE(YEAR(AsOf),MONTH(Q146),DAY(Q146))&lt;AsOf,1,0),MONTH(Q146),DAY(Q146))-AsOf)</f>
        <v/>
      </c>
      <c r="AT146" s="43" t="str">
        <f aca="false">IF(OR(B146="",I146="",D146&lt;&gt;"Active"),"",IF(YEAR(DATE(YEAR(AsOf)+IF(DATE(YEAR(AsOf),MONTH(I146),DAY(I146))&lt;AsOf,1,0),MONTH(I146),DAY(I146)))-YEAR(I146)&lt;1,"",DATE(YEAR(AsOf)+IF(DATE(YEAR(AsOf),MONTH(I146),DAY(I146))&lt;AsOf,1,0),MONTH(I146),DAY(I146))-AsOf))</f>
        <v/>
      </c>
      <c r="AU146" s="43" t="str">
        <f aca="false">IF(B146="","",IF(AV146="",0,LEN(AV146)-LEN(SUBSTITUTE(AV146,";",""))))</f>
        <v/>
      </c>
      <c r="AV146" s="9" t="str">
        <f aca="false">IF(B146="","",IF(COUNTIF($B$6:$B$505,B146)&gt;1,"Duplicate Emp Code; ","")&amp;IF(C146="","Name missing; ","")&amp;IF(I146="","DOJ missing; ","")&amp;IF(AND(J146&lt;&gt;"",I146&lt;&gt;"",J146&lt;I146),"Exit before DOJ; ","")&amp;IF(Q146="","DOB missing; ","")&amp;IF(T146="","Aadhaar missing; ",IF(LEN(T146)&lt;&gt;12,"Aadhaar not 12 digits; ",IF(COUNTIF($T$6:$T$505,T146)&gt;1,"Duplicate Aadhaar; ","")))&amp;IF(U146="","PAN missing; ",IF(LEN(U146)&lt;&gt;10,"PAN not 10 chars; ",""))&amp;IF(V146="","Mobile missing; ",IF(LEN(V146)&lt;&gt;10,"Mobile not 10 digits; ",""))&amp;IF(AG146="","Bank A/c missing; ","")&amp;IF(AH146="","IFSC missing; ",IF(LEN(AH146)&lt;&gt;11,"IFSC not 11 chars; ","")))</f>
        <v/>
      </c>
      <c r="AW146" s="46" t="str">
        <f aca="false">IF(AS146="","",AS146+ROW()/100000)</f>
        <v/>
      </c>
      <c r="AX146" s="46" t="str">
        <f aca="false">IF(AT146="","",AT146+ROW()/100000)</f>
        <v/>
      </c>
    </row>
    <row r="147" customFormat="false" ht="15" hidden="false" customHeight="false" outlineLevel="0" collapsed="false">
      <c r="A147" s="9" t="str">
        <f aca="false">IF(B147="","",ROW()-5)</f>
        <v/>
      </c>
      <c r="B147" s="40"/>
      <c r="C147" s="8"/>
      <c r="D147" s="9" t="str">
        <f aca="false">IF(B147="","",IF(J147="","Active","Exited"))</f>
        <v/>
      </c>
      <c r="E147" s="8"/>
      <c r="F147" s="8"/>
      <c r="G147" s="8"/>
      <c r="H147" s="9" t="str">
        <f aca="false">IF(OR(B147="",I147=""),"",IF(IF(J147="",AsOf,J147)-I147&gt;=Settings!$C$13,"Permanent","Probation"))</f>
        <v/>
      </c>
      <c r="I147" s="41"/>
      <c r="J147" s="41"/>
      <c r="K147" s="8"/>
      <c r="L147" s="42" t="str">
        <f aca="false">IF(OR(B147="",I147=""),"",ROUND((IF(J147="",AsOf,J147)-I147)/365.25,1))</f>
        <v/>
      </c>
      <c r="M147" s="8"/>
      <c r="N147" s="8"/>
      <c r="O147" s="8"/>
      <c r="P147" s="8"/>
      <c r="Q147" s="41"/>
      <c r="R147" s="43" t="str">
        <f aca="false">IF(OR(B147="",Q147=""),"",INT((AsOf-Q147)/365.25))</f>
        <v/>
      </c>
      <c r="S147" s="8"/>
      <c r="T147" s="40"/>
      <c r="U147" s="40"/>
      <c r="V147" s="40"/>
      <c r="W147" s="40"/>
      <c r="X147" s="8"/>
      <c r="Y147" s="8"/>
      <c r="Z147" s="8"/>
      <c r="AA147" s="8"/>
      <c r="AB147" s="8"/>
      <c r="AC147" s="8"/>
      <c r="AD147" s="8"/>
      <c r="AE147" s="40"/>
      <c r="AF147" s="8"/>
      <c r="AG147" s="40"/>
      <c r="AH147" s="40"/>
      <c r="AI147" s="8"/>
      <c r="AJ147" s="40"/>
      <c r="AK147" s="40"/>
      <c r="AL147" s="40"/>
      <c r="AM147" s="44"/>
      <c r="AN147" s="44"/>
      <c r="AO147" s="41"/>
      <c r="AP147" s="45" t="str">
        <f aca="false">IF(B147="","",IF(AND(ISNUMBER(AM147),ISNUMBER(AN147),AM147&gt;0,AN147&gt;0),AN147/AM147-1,""))</f>
        <v/>
      </c>
      <c r="AQ147" s="9" t="str">
        <f aca="false">IF(I147="","",(YEAR(I147)-IF(MONTH(I147)&lt;4,1,0))&amp;"-"&amp;RIGHT((YEAR(I147)-IF(MONTH(I147)&lt;4,1,0))+1,2))</f>
        <v/>
      </c>
      <c r="AR147" s="9" t="str">
        <f aca="false">IF(J147="","",(YEAR(J147)-IF(MONTH(J147)&lt;4,1,0))&amp;"-"&amp;RIGHT((YEAR(J147)-IF(MONTH(J147)&lt;4,1,0))+1,2))</f>
        <v/>
      </c>
      <c r="AS147" s="43" t="str">
        <f aca="false">IF(OR(B147="",Q147="",D147&lt;&gt;"Active"),"",DATE(YEAR(AsOf)+IF(DATE(YEAR(AsOf),MONTH(Q147),DAY(Q147))&lt;AsOf,1,0),MONTH(Q147),DAY(Q147))-AsOf)</f>
        <v/>
      </c>
      <c r="AT147" s="43" t="str">
        <f aca="false">IF(OR(B147="",I147="",D147&lt;&gt;"Active"),"",IF(YEAR(DATE(YEAR(AsOf)+IF(DATE(YEAR(AsOf),MONTH(I147),DAY(I147))&lt;AsOf,1,0),MONTH(I147),DAY(I147)))-YEAR(I147)&lt;1,"",DATE(YEAR(AsOf)+IF(DATE(YEAR(AsOf),MONTH(I147),DAY(I147))&lt;AsOf,1,0),MONTH(I147),DAY(I147))-AsOf))</f>
        <v/>
      </c>
      <c r="AU147" s="43" t="str">
        <f aca="false">IF(B147="","",IF(AV147="",0,LEN(AV147)-LEN(SUBSTITUTE(AV147,";",""))))</f>
        <v/>
      </c>
      <c r="AV147" s="9" t="str">
        <f aca="false">IF(B147="","",IF(COUNTIF($B$6:$B$505,B147)&gt;1,"Duplicate Emp Code; ","")&amp;IF(C147="","Name missing; ","")&amp;IF(I147="","DOJ missing; ","")&amp;IF(AND(J147&lt;&gt;"",I147&lt;&gt;"",J147&lt;I147),"Exit before DOJ; ","")&amp;IF(Q147="","DOB missing; ","")&amp;IF(T147="","Aadhaar missing; ",IF(LEN(T147)&lt;&gt;12,"Aadhaar not 12 digits; ",IF(COUNTIF($T$6:$T$505,T147)&gt;1,"Duplicate Aadhaar; ","")))&amp;IF(U147="","PAN missing; ",IF(LEN(U147)&lt;&gt;10,"PAN not 10 chars; ",""))&amp;IF(V147="","Mobile missing; ",IF(LEN(V147)&lt;&gt;10,"Mobile not 10 digits; ",""))&amp;IF(AG147="","Bank A/c missing; ","")&amp;IF(AH147="","IFSC missing; ",IF(LEN(AH147)&lt;&gt;11,"IFSC not 11 chars; ","")))</f>
        <v/>
      </c>
      <c r="AW147" s="46" t="str">
        <f aca="false">IF(AS147="","",AS147+ROW()/100000)</f>
        <v/>
      </c>
      <c r="AX147" s="46" t="str">
        <f aca="false">IF(AT147="","",AT147+ROW()/100000)</f>
        <v/>
      </c>
    </row>
    <row r="148" customFormat="false" ht="15" hidden="false" customHeight="false" outlineLevel="0" collapsed="false">
      <c r="A148" s="9" t="str">
        <f aca="false">IF(B148="","",ROW()-5)</f>
        <v/>
      </c>
      <c r="B148" s="40"/>
      <c r="C148" s="8"/>
      <c r="D148" s="9" t="str">
        <f aca="false">IF(B148="","",IF(J148="","Active","Exited"))</f>
        <v/>
      </c>
      <c r="E148" s="8"/>
      <c r="F148" s="8"/>
      <c r="G148" s="8"/>
      <c r="H148" s="9" t="str">
        <f aca="false">IF(OR(B148="",I148=""),"",IF(IF(J148="",AsOf,J148)-I148&gt;=Settings!$C$13,"Permanent","Probation"))</f>
        <v/>
      </c>
      <c r="I148" s="41"/>
      <c r="J148" s="41"/>
      <c r="K148" s="8"/>
      <c r="L148" s="42" t="str">
        <f aca="false">IF(OR(B148="",I148=""),"",ROUND((IF(J148="",AsOf,J148)-I148)/365.25,1))</f>
        <v/>
      </c>
      <c r="M148" s="8"/>
      <c r="N148" s="8"/>
      <c r="O148" s="8"/>
      <c r="P148" s="8"/>
      <c r="Q148" s="41"/>
      <c r="R148" s="43" t="str">
        <f aca="false">IF(OR(B148="",Q148=""),"",INT((AsOf-Q148)/365.25))</f>
        <v/>
      </c>
      <c r="S148" s="8"/>
      <c r="T148" s="40"/>
      <c r="U148" s="40"/>
      <c r="V148" s="40"/>
      <c r="W148" s="40"/>
      <c r="X148" s="8"/>
      <c r="Y148" s="8"/>
      <c r="Z148" s="8"/>
      <c r="AA148" s="8"/>
      <c r="AB148" s="8"/>
      <c r="AC148" s="8"/>
      <c r="AD148" s="8"/>
      <c r="AE148" s="40"/>
      <c r="AF148" s="8"/>
      <c r="AG148" s="40"/>
      <c r="AH148" s="40"/>
      <c r="AI148" s="8"/>
      <c r="AJ148" s="40"/>
      <c r="AK148" s="40"/>
      <c r="AL148" s="40"/>
      <c r="AM148" s="44"/>
      <c r="AN148" s="44"/>
      <c r="AO148" s="41"/>
      <c r="AP148" s="45" t="str">
        <f aca="false">IF(B148="","",IF(AND(ISNUMBER(AM148),ISNUMBER(AN148),AM148&gt;0,AN148&gt;0),AN148/AM148-1,""))</f>
        <v/>
      </c>
      <c r="AQ148" s="9" t="str">
        <f aca="false">IF(I148="","",(YEAR(I148)-IF(MONTH(I148)&lt;4,1,0))&amp;"-"&amp;RIGHT((YEAR(I148)-IF(MONTH(I148)&lt;4,1,0))+1,2))</f>
        <v/>
      </c>
      <c r="AR148" s="9" t="str">
        <f aca="false">IF(J148="","",(YEAR(J148)-IF(MONTH(J148)&lt;4,1,0))&amp;"-"&amp;RIGHT((YEAR(J148)-IF(MONTH(J148)&lt;4,1,0))+1,2))</f>
        <v/>
      </c>
      <c r="AS148" s="43" t="str">
        <f aca="false">IF(OR(B148="",Q148="",D148&lt;&gt;"Active"),"",DATE(YEAR(AsOf)+IF(DATE(YEAR(AsOf),MONTH(Q148),DAY(Q148))&lt;AsOf,1,0),MONTH(Q148),DAY(Q148))-AsOf)</f>
        <v/>
      </c>
      <c r="AT148" s="43" t="str">
        <f aca="false">IF(OR(B148="",I148="",D148&lt;&gt;"Active"),"",IF(YEAR(DATE(YEAR(AsOf)+IF(DATE(YEAR(AsOf),MONTH(I148),DAY(I148))&lt;AsOf,1,0),MONTH(I148),DAY(I148)))-YEAR(I148)&lt;1,"",DATE(YEAR(AsOf)+IF(DATE(YEAR(AsOf),MONTH(I148),DAY(I148))&lt;AsOf,1,0),MONTH(I148),DAY(I148))-AsOf))</f>
        <v/>
      </c>
      <c r="AU148" s="43" t="str">
        <f aca="false">IF(B148="","",IF(AV148="",0,LEN(AV148)-LEN(SUBSTITUTE(AV148,";",""))))</f>
        <v/>
      </c>
      <c r="AV148" s="9" t="str">
        <f aca="false">IF(B148="","",IF(COUNTIF($B$6:$B$505,B148)&gt;1,"Duplicate Emp Code; ","")&amp;IF(C148="","Name missing; ","")&amp;IF(I148="","DOJ missing; ","")&amp;IF(AND(J148&lt;&gt;"",I148&lt;&gt;"",J148&lt;I148),"Exit before DOJ; ","")&amp;IF(Q148="","DOB missing; ","")&amp;IF(T148="","Aadhaar missing; ",IF(LEN(T148)&lt;&gt;12,"Aadhaar not 12 digits; ",IF(COUNTIF($T$6:$T$505,T148)&gt;1,"Duplicate Aadhaar; ","")))&amp;IF(U148="","PAN missing; ",IF(LEN(U148)&lt;&gt;10,"PAN not 10 chars; ",""))&amp;IF(V148="","Mobile missing; ",IF(LEN(V148)&lt;&gt;10,"Mobile not 10 digits; ",""))&amp;IF(AG148="","Bank A/c missing; ","")&amp;IF(AH148="","IFSC missing; ",IF(LEN(AH148)&lt;&gt;11,"IFSC not 11 chars; ","")))</f>
        <v/>
      </c>
      <c r="AW148" s="46" t="str">
        <f aca="false">IF(AS148="","",AS148+ROW()/100000)</f>
        <v/>
      </c>
      <c r="AX148" s="46" t="str">
        <f aca="false">IF(AT148="","",AT148+ROW()/100000)</f>
        <v/>
      </c>
    </row>
    <row r="149" customFormat="false" ht="15" hidden="false" customHeight="false" outlineLevel="0" collapsed="false">
      <c r="A149" s="9" t="str">
        <f aca="false">IF(B149="","",ROW()-5)</f>
        <v/>
      </c>
      <c r="B149" s="40"/>
      <c r="C149" s="8"/>
      <c r="D149" s="9" t="str">
        <f aca="false">IF(B149="","",IF(J149="","Active","Exited"))</f>
        <v/>
      </c>
      <c r="E149" s="8"/>
      <c r="F149" s="8"/>
      <c r="G149" s="8"/>
      <c r="H149" s="9" t="str">
        <f aca="false">IF(OR(B149="",I149=""),"",IF(IF(J149="",AsOf,J149)-I149&gt;=Settings!$C$13,"Permanent","Probation"))</f>
        <v/>
      </c>
      <c r="I149" s="41"/>
      <c r="J149" s="41"/>
      <c r="K149" s="8"/>
      <c r="L149" s="42" t="str">
        <f aca="false">IF(OR(B149="",I149=""),"",ROUND((IF(J149="",AsOf,J149)-I149)/365.25,1))</f>
        <v/>
      </c>
      <c r="M149" s="8"/>
      <c r="N149" s="8"/>
      <c r="O149" s="8"/>
      <c r="P149" s="8"/>
      <c r="Q149" s="41"/>
      <c r="R149" s="43" t="str">
        <f aca="false">IF(OR(B149="",Q149=""),"",INT((AsOf-Q149)/365.25))</f>
        <v/>
      </c>
      <c r="S149" s="8"/>
      <c r="T149" s="40"/>
      <c r="U149" s="40"/>
      <c r="V149" s="40"/>
      <c r="W149" s="40"/>
      <c r="X149" s="8"/>
      <c r="Y149" s="8"/>
      <c r="Z149" s="8"/>
      <c r="AA149" s="8"/>
      <c r="AB149" s="8"/>
      <c r="AC149" s="8"/>
      <c r="AD149" s="8"/>
      <c r="AE149" s="40"/>
      <c r="AF149" s="8"/>
      <c r="AG149" s="40"/>
      <c r="AH149" s="40"/>
      <c r="AI149" s="8"/>
      <c r="AJ149" s="40"/>
      <c r="AK149" s="40"/>
      <c r="AL149" s="40"/>
      <c r="AM149" s="44"/>
      <c r="AN149" s="44"/>
      <c r="AO149" s="41"/>
      <c r="AP149" s="45" t="str">
        <f aca="false">IF(B149="","",IF(AND(ISNUMBER(AM149),ISNUMBER(AN149),AM149&gt;0,AN149&gt;0),AN149/AM149-1,""))</f>
        <v/>
      </c>
      <c r="AQ149" s="9" t="str">
        <f aca="false">IF(I149="","",(YEAR(I149)-IF(MONTH(I149)&lt;4,1,0))&amp;"-"&amp;RIGHT((YEAR(I149)-IF(MONTH(I149)&lt;4,1,0))+1,2))</f>
        <v/>
      </c>
      <c r="AR149" s="9" t="str">
        <f aca="false">IF(J149="","",(YEAR(J149)-IF(MONTH(J149)&lt;4,1,0))&amp;"-"&amp;RIGHT((YEAR(J149)-IF(MONTH(J149)&lt;4,1,0))+1,2))</f>
        <v/>
      </c>
      <c r="AS149" s="43" t="str">
        <f aca="false">IF(OR(B149="",Q149="",D149&lt;&gt;"Active"),"",DATE(YEAR(AsOf)+IF(DATE(YEAR(AsOf),MONTH(Q149),DAY(Q149))&lt;AsOf,1,0),MONTH(Q149),DAY(Q149))-AsOf)</f>
        <v/>
      </c>
      <c r="AT149" s="43" t="str">
        <f aca="false">IF(OR(B149="",I149="",D149&lt;&gt;"Active"),"",IF(YEAR(DATE(YEAR(AsOf)+IF(DATE(YEAR(AsOf),MONTH(I149),DAY(I149))&lt;AsOf,1,0),MONTH(I149),DAY(I149)))-YEAR(I149)&lt;1,"",DATE(YEAR(AsOf)+IF(DATE(YEAR(AsOf),MONTH(I149),DAY(I149))&lt;AsOf,1,0),MONTH(I149),DAY(I149))-AsOf))</f>
        <v/>
      </c>
      <c r="AU149" s="43" t="str">
        <f aca="false">IF(B149="","",IF(AV149="",0,LEN(AV149)-LEN(SUBSTITUTE(AV149,";",""))))</f>
        <v/>
      </c>
      <c r="AV149" s="9" t="str">
        <f aca="false">IF(B149="","",IF(COUNTIF($B$6:$B$505,B149)&gt;1,"Duplicate Emp Code; ","")&amp;IF(C149="","Name missing; ","")&amp;IF(I149="","DOJ missing; ","")&amp;IF(AND(J149&lt;&gt;"",I149&lt;&gt;"",J149&lt;I149),"Exit before DOJ; ","")&amp;IF(Q149="","DOB missing; ","")&amp;IF(T149="","Aadhaar missing; ",IF(LEN(T149)&lt;&gt;12,"Aadhaar not 12 digits; ",IF(COUNTIF($T$6:$T$505,T149)&gt;1,"Duplicate Aadhaar; ","")))&amp;IF(U149="","PAN missing; ",IF(LEN(U149)&lt;&gt;10,"PAN not 10 chars; ",""))&amp;IF(V149="","Mobile missing; ",IF(LEN(V149)&lt;&gt;10,"Mobile not 10 digits; ",""))&amp;IF(AG149="","Bank A/c missing; ","")&amp;IF(AH149="","IFSC missing; ",IF(LEN(AH149)&lt;&gt;11,"IFSC not 11 chars; ","")))</f>
        <v/>
      </c>
      <c r="AW149" s="46" t="str">
        <f aca="false">IF(AS149="","",AS149+ROW()/100000)</f>
        <v/>
      </c>
      <c r="AX149" s="46" t="str">
        <f aca="false">IF(AT149="","",AT149+ROW()/100000)</f>
        <v/>
      </c>
    </row>
    <row r="150" customFormat="false" ht="15" hidden="false" customHeight="false" outlineLevel="0" collapsed="false">
      <c r="A150" s="9" t="str">
        <f aca="false">IF(B150="","",ROW()-5)</f>
        <v/>
      </c>
      <c r="B150" s="40"/>
      <c r="C150" s="8"/>
      <c r="D150" s="9" t="str">
        <f aca="false">IF(B150="","",IF(J150="","Active","Exited"))</f>
        <v/>
      </c>
      <c r="E150" s="8"/>
      <c r="F150" s="8"/>
      <c r="G150" s="8"/>
      <c r="H150" s="9" t="str">
        <f aca="false">IF(OR(B150="",I150=""),"",IF(IF(J150="",AsOf,J150)-I150&gt;=Settings!$C$13,"Permanent","Probation"))</f>
        <v/>
      </c>
      <c r="I150" s="41"/>
      <c r="J150" s="41"/>
      <c r="K150" s="8"/>
      <c r="L150" s="42" t="str">
        <f aca="false">IF(OR(B150="",I150=""),"",ROUND((IF(J150="",AsOf,J150)-I150)/365.25,1))</f>
        <v/>
      </c>
      <c r="M150" s="8"/>
      <c r="N150" s="8"/>
      <c r="O150" s="8"/>
      <c r="P150" s="8"/>
      <c r="Q150" s="41"/>
      <c r="R150" s="43" t="str">
        <f aca="false">IF(OR(B150="",Q150=""),"",INT((AsOf-Q150)/365.25))</f>
        <v/>
      </c>
      <c r="S150" s="8"/>
      <c r="T150" s="40"/>
      <c r="U150" s="40"/>
      <c r="V150" s="40"/>
      <c r="W150" s="40"/>
      <c r="X150" s="8"/>
      <c r="Y150" s="8"/>
      <c r="Z150" s="8"/>
      <c r="AA150" s="8"/>
      <c r="AB150" s="8"/>
      <c r="AC150" s="8"/>
      <c r="AD150" s="8"/>
      <c r="AE150" s="40"/>
      <c r="AF150" s="8"/>
      <c r="AG150" s="40"/>
      <c r="AH150" s="40"/>
      <c r="AI150" s="8"/>
      <c r="AJ150" s="40"/>
      <c r="AK150" s="40"/>
      <c r="AL150" s="40"/>
      <c r="AM150" s="44"/>
      <c r="AN150" s="44"/>
      <c r="AO150" s="41"/>
      <c r="AP150" s="45" t="str">
        <f aca="false">IF(B150="","",IF(AND(ISNUMBER(AM150),ISNUMBER(AN150),AM150&gt;0,AN150&gt;0),AN150/AM150-1,""))</f>
        <v/>
      </c>
      <c r="AQ150" s="9" t="str">
        <f aca="false">IF(I150="","",(YEAR(I150)-IF(MONTH(I150)&lt;4,1,0))&amp;"-"&amp;RIGHT((YEAR(I150)-IF(MONTH(I150)&lt;4,1,0))+1,2))</f>
        <v/>
      </c>
      <c r="AR150" s="9" t="str">
        <f aca="false">IF(J150="","",(YEAR(J150)-IF(MONTH(J150)&lt;4,1,0))&amp;"-"&amp;RIGHT((YEAR(J150)-IF(MONTH(J150)&lt;4,1,0))+1,2))</f>
        <v/>
      </c>
      <c r="AS150" s="43" t="str">
        <f aca="false">IF(OR(B150="",Q150="",D150&lt;&gt;"Active"),"",DATE(YEAR(AsOf)+IF(DATE(YEAR(AsOf),MONTH(Q150),DAY(Q150))&lt;AsOf,1,0),MONTH(Q150),DAY(Q150))-AsOf)</f>
        <v/>
      </c>
      <c r="AT150" s="43" t="str">
        <f aca="false">IF(OR(B150="",I150="",D150&lt;&gt;"Active"),"",IF(YEAR(DATE(YEAR(AsOf)+IF(DATE(YEAR(AsOf),MONTH(I150),DAY(I150))&lt;AsOf,1,0),MONTH(I150),DAY(I150)))-YEAR(I150)&lt;1,"",DATE(YEAR(AsOf)+IF(DATE(YEAR(AsOf),MONTH(I150),DAY(I150))&lt;AsOf,1,0),MONTH(I150),DAY(I150))-AsOf))</f>
        <v/>
      </c>
      <c r="AU150" s="43" t="str">
        <f aca="false">IF(B150="","",IF(AV150="",0,LEN(AV150)-LEN(SUBSTITUTE(AV150,";",""))))</f>
        <v/>
      </c>
      <c r="AV150" s="9" t="str">
        <f aca="false">IF(B150="","",IF(COUNTIF($B$6:$B$505,B150)&gt;1,"Duplicate Emp Code; ","")&amp;IF(C150="","Name missing; ","")&amp;IF(I150="","DOJ missing; ","")&amp;IF(AND(J150&lt;&gt;"",I150&lt;&gt;"",J150&lt;I150),"Exit before DOJ; ","")&amp;IF(Q150="","DOB missing; ","")&amp;IF(T150="","Aadhaar missing; ",IF(LEN(T150)&lt;&gt;12,"Aadhaar not 12 digits; ",IF(COUNTIF($T$6:$T$505,T150)&gt;1,"Duplicate Aadhaar; ","")))&amp;IF(U150="","PAN missing; ",IF(LEN(U150)&lt;&gt;10,"PAN not 10 chars; ",""))&amp;IF(V150="","Mobile missing; ",IF(LEN(V150)&lt;&gt;10,"Mobile not 10 digits; ",""))&amp;IF(AG150="","Bank A/c missing; ","")&amp;IF(AH150="","IFSC missing; ",IF(LEN(AH150)&lt;&gt;11,"IFSC not 11 chars; ","")))</f>
        <v/>
      </c>
      <c r="AW150" s="46" t="str">
        <f aca="false">IF(AS150="","",AS150+ROW()/100000)</f>
        <v/>
      </c>
      <c r="AX150" s="46" t="str">
        <f aca="false">IF(AT150="","",AT150+ROW()/100000)</f>
        <v/>
      </c>
    </row>
    <row r="151" customFormat="false" ht="15" hidden="false" customHeight="false" outlineLevel="0" collapsed="false">
      <c r="A151" s="9" t="str">
        <f aca="false">IF(B151="","",ROW()-5)</f>
        <v/>
      </c>
      <c r="B151" s="40"/>
      <c r="C151" s="8"/>
      <c r="D151" s="9" t="str">
        <f aca="false">IF(B151="","",IF(J151="","Active","Exited"))</f>
        <v/>
      </c>
      <c r="E151" s="8"/>
      <c r="F151" s="8"/>
      <c r="G151" s="8"/>
      <c r="H151" s="9" t="str">
        <f aca="false">IF(OR(B151="",I151=""),"",IF(IF(J151="",AsOf,J151)-I151&gt;=Settings!$C$13,"Permanent","Probation"))</f>
        <v/>
      </c>
      <c r="I151" s="41"/>
      <c r="J151" s="41"/>
      <c r="K151" s="8"/>
      <c r="L151" s="42" t="str">
        <f aca="false">IF(OR(B151="",I151=""),"",ROUND((IF(J151="",AsOf,J151)-I151)/365.25,1))</f>
        <v/>
      </c>
      <c r="M151" s="8"/>
      <c r="N151" s="8"/>
      <c r="O151" s="8"/>
      <c r="P151" s="8"/>
      <c r="Q151" s="41"/>
      <c r="R151" s="43" t="str">
        <f aca="false">IF(OR(B151="",Q151=""),"",INT((AsOf-Q151)/365.25))</f>
        <v/>
      </c>
      <c r="S151" s="8"/>
      <c r="T151" s="40"/>
      <c r="U151" s="40"/>
      <c r="V151" s="40"/>
      <c r="W151" s="40"/>
      <c r="X151" s="8"/>
      <c r="Y151" s="8"/>
      <c r="Z151" s="8"/>
      <c r="AA151" s="8"/>
      <c r="AB151" s="8"/>
      <c r="AC151" s="8"/>
      <c r="AD151" s="8"/>
      <c r="AE151" s="40"/>
      <c r="AF151" s="8"/>
      <c r="AG151" s="40"/>
      <c r="AH151" s="40"/>
      <c r="AI151" s="8"/>
      <c r="AJ151" s="40"/>
      <c r="AK151" s="40"/>
      <c r="AL151" s="40"/>
      <c r="AM151" s="44"/>
      <c r="AN151" s="44"/>
      <c r="AO151" s="41"/>
      <c r="AP151" s="45" t="str">
        <f aca="false">IF(B151="","",IF(AND(ISNUMBER(AM151),ISNUMBER(AN151),AM151&gt;0,AN151&gt;0),AN151/AM151-1,""))</f>
        <v/>
      </c>
      <c r="AQ151" s="9" t="str">
        <f aca="false">IF(I151="","",(YEAR(I151)-IF(MONTH(I151)&lt;4,1,0))&amp;"-"&amp;RIGHT((YEAR(I151)-IF(MONTH(I151)&lt;4,1,0))+1,2))</f>
        <v/>
      </c>
      <c r="AR151" s="9" t="str">
        <f aca="false">IF(J151="","",(YEAR(J151)-IF(MONTH(J151)&lt;4,1,0))&amp;"-"&amp;RIGHT((YEAR(J151)-IF(MONTH(J151)&lt;4,1,0))+1,2))</f>
        <v/>
      </c>
      <c r="AS151" s="43" t="str">
        <f aca="false">IF(OR(B151="",Q151="",D151&lt;&gt;"Active"),"",DATE(YEAR(AsOf)+IF(DATE(YEAR(AsOf),MONTH(Q151),DAY(Q151))&lt;AsOf,1,0),MONTH(Q151),DAY(Q151))-AsOf)</f>
        <v/>
      </c>
      <c r="AT151" s="43" t="str">
        <f aca="false">IF(OR(B151="",I151="",D151&lt;&gt;"Active"),"",IF(YEAR(DATE(YEAR(AsOf)+IF(DATE(YEAR(AsOf),MONTH(I151),DAY(I151))&lt;AsOf,1,0),MONTH(I151),DAY(I151)))-YEAR(I151)&lt;1,"",DATE(YEAR(AsOf)+IF(DATE(YEAR(AsOf),MONTH(I151),DAY(I151))&lt;AsOf,1,0),MONTH(I151),DAY(I151))-AsOf))</f>
        <v/>
      </c>
      <c r="AU151" s="43" t="str">
        <f aca="false">IF(B151="","",IF(AV151="",0,LEN(AV151)-LEN(SUBSTITUTE(AV151,";",""))))</f>
        <v/>
      </c>
      <c r="AV151" s="9" t="str">
        <f aca="false">IF(B151="","",IF(COUNTIF($B$6:$B$505,B151)&gt;1,"Duplicate Emp Code; ","")&amp;IF(C151="","Name missing; ","")&amp;IF(I151="","DOJ missing; ","")&amp;IF(AND(J151&lt;&gt;"",I151&lt;&gt;"",J151&lt;I151),"Exit before DOJ; ","")&amp;IF(Q151="","DOB missing; ","")&amp;IF(T151="","Aadhaar missing; ",IF(LEN(T151)&lt;&gt;12,"Aadhaar not 12 digits; ",IF(COUNTIF($T$6:$T$505,T151)&gt;1,"Duplicate Aadhaar; ","")))&amp;IF(U151="","PAN missing; ",IF(LEN(U151)&lt;&gt;10,"PAN not 10 chars; ",""))&amp;IF(V151="","Mobile missing; ",IF(LEN(V151)&lt;&gt;10,"Mobile not 10 digits; ",""))&amp;IF(AG151="","Bank A/c missing; ","")&amp;IF(AH151="","IFSC missing; ",IF(LEN(AH151)&lt;&gt;11,"IFSC not 11 chars; ","")))</f>
        <v/>
      </c>
      <c r="AW151" s="46" t="str">
        <f aca="false">IF(AS151="","",AS151+ROW()/100000)</f>
        <v/>
      </c>
      <c r="AX151" s="46" t="str">
        <f aca="false">IF(AT151="","",AT151+ROW()/100000)</f>
        <v/>
      </c>
    </row>
    <row r="152" customFormat="false" ht="15" hidden="false" customHeight="false" outlineLevel="0" collapsed="false">
      <c r="A152" s="9" t="str">
        <f aca="false">IF(B152="","",ROW()-5)</f>
        <v/>
      </c>
      <c r="B152" s="40"/>
      <c r="C152" s="8"/>
      <c r="D152" s="9" t="str">
        <f aca="false">IF(B152="","",IF(J152="","Active","Exited"))</f>
        <v/>
      </c>
      <c r="E152" s="8"/>
      <c r="F152" s="8"/>
      <c r="G152" s="8"/>
      <c r="H152" s="9" t="str">
        <f aca="false">IF(OR(B152="",I152=""),"",IF(IF(J152="",AsOf,J152)-I152&gt;=Settings!$C$13,"Permanent","Probation"))</f>
        <v/>
      </c>
      <c r="I152" s="41"/>
      <c r="J152" s="41"/>
      <c r="K152" s="8"/>
      <c r="L152" s="42" t="str">
        <f aca="false">IF(OR(B152="",I152=""),"",ROUND((IF(J152="",AsOf,J152)-I152)/365.25,1))</f>
        <v/>
      </c>
      <c r="M152" s="8"/>
      <c r="N152" s="8"/>
      <c r="O152" s="8"/>
      <c r="P152" s="8"/>
      <c r="Q152" s="41"/>
      <c r="R152" s="43" t="str">
        <f aca="false">IF(OR(B152="",Q152=""),"",INT((AsOf-Q152)/365.25))</f>
        <v/>
      </c>
      <c r="S152" s="8"/>
      <c r="T152" s="40"/>
      <c r="U152" s="40"/>
      <c r="V152" s="40"/>
      <c r="W152" s="40"/>
      <c r="X152" s="8"/>
      <c r="Y152" s="8"/>
      <c r="Z152" s="8"/>
      <c r="AA152" s="8"/>
      <c r="AB152" s="8"/>
      <c r="AC152" s="8"/>
      <c r="AD152" s="8"/>
      <c r="AE152" s="40"/>
      <c r="AF152" s="8"/>
      <c r="AG152" s="40"/>
      <c r="AH152" s="40"/>
      <c r="AI152" s="8"/>
      <c r="AJ152" s="40"/>
      <c r="AK152" s="40"/>
      <c r="AL152" s="40"/>
      <c r="AM152" s="44"/>
      <c r="AN152" s="44"/>
      <c r="AO152" s="41"/>
      <c r="AP152" s="45" t="str">
        <f aca="false">IF(B152="","",IF(AND(ISNUMBER(AM152),ISNUMBER(AN152),AM152&gt;0,AN152&gt;0),AN152/AM152-1,""))</f>
        <v/>
      </c>
      <c r="AQ152" s="9" t="str">
        <f aca="false">IF(I152="","",(YEAR(I152)-IF(MONTH(I152)&lt;4,1,0))&amp;"-"&amp;RIGHT((YEAR(I152)-IF(MONTH(I152)&lt;4,1,0))+1,2))</f>
        <v/>
      </c>
      <c r="AR152" s="9" t="str">
        <f aca="false">IF(J152="","",(YEAR(J152)-IF(MONTH(J152)&lt;4,1,0))&amp;"-"&amp;RIGHT((YEAR(J152)-IF(MONTH(J152)&lt;4,1,0))+1,2))</f>
        <v/>
      </c>
      <c r="AS152" s="43" t="str">
        <f aca="false">IF(OR(B152="",Q152="",D152&lt;&gt;"Active"),"",DATE(YEAR(AsOf)+IF(DATE(YEAR(AsOf),MONTH(Q152),DAY(Q152))&lt;AsOf,1,0),MONTH(Q152),DAY(Q152))-AsOf)</f>
        <v/>
      </c>
      <c r="AT152" s="43" t="str">
        <f aca="false">IF(OR(B152="",I152="",D152&lt;&gt;"Active"),"",IF(YEAR(DATE(YEAR(AsOf)+IF(DATE(YEAR(AsOf),MONTH(I152),DAY(I152))&lt;AsOf,1,0),MONTH(I152),DAY(I152)))-YEAR(I152)&lt;1,"",DATE(YEAR(AsOf)+IF(DATE(YEAR(AsOf),MONTH(I152),DAY(I152))&lt;AsOf,1,0),MONTH(I152),DAY(I152))-AsOf))</f>
        <v/>
      </c>
      <c r="AU152" s="43" t="str">
        <f aca="false">IF(B152="","",IF(AV152="",0,LEN(AV152)-LEN(SUBSTITUTE(AV152,";",""))))</f>
        <v/>
      </c>
      <c r="AV152" s="9" t="str">
        <f aca="false">IF(B152="","",IF(COUNTIF($B$6:$B$505,B152)&gt;1,"Duplicate Emp Code; ","")&amp;IF(C152="","Name missing; ","")&amp;IF(I152="","DOJ missing; ","")&amp;IF(AND(J152&lt;&gt;"",I152&lt;&gt;"",J152&lt;I152),"Exit before DOJ; ","")&amp;IF(Q152="","DOB missing; ","")&amp;IF(T152="","Aadhaar missing; ",IF(LEN(T152)&lt;&gt;12,"Aadhaar not 12 digits; ",IF(COUNTIF($T$6:$T$505,T152)&gt;1,"Duplicate Aadhaar; ","")))&amp;IF(U152="","PAN missing; ",IF(LEN(U152)&lt;&gt;10,"PAN not 10 chars; ",""))&amp;IF(V152="","Mobile missing; ",IF(LEN(V152)&lt;&gt;10,"Mobile not 10 digits; ",""))&amp;IF(AG152="","Bank A/c missing; ","")&amp;IF(AH152="","IFSC missing; ",IF(LEN(AH152)&lt;&gt;11,"IFSC not 11 chars; ","")))</f>
        <v/>
      </c>
      <c r="AW152" s="46" t="str">
        <f aca="false">IF(AS152="","",AS152+ROW()/100000)</f>
        <v/>
      </c>
      <c r="AX152" s="46" t="str">
        <f aca="false">IF(AT152="","",AT152+ROW()/100000)</f>
        <v/>
      </c>
    </row>
    <row r="153" customFormat="false" ht="15" hidden="false" customHeight="false" outlineLevel="0" collapsed="false">
      <c r="A153" s="9" t="str">
        <f aca="false">IF(B153="","",ROW()-5)</f>
        <v/>
      </c>
      <c r="B153" s="40"/>
      <c r="C153" s="8"/>
      <c r="D153" s="9" t="str">
        <f aca="false">IF(B153="","",IF(J153="","Active","Exited"))</f>
        <v/>
      </c>
      <c r="E153" s="8"/>
      <c r="F153" s="8"/>
      <c r="G153" s="8"/>
      <c r="H153" s="9" t="str">
        <f aca="false">IF(OR(B153="",I153=""),"",IF(IF(J153="",AsOf,J153)-I153&gt;=Settings!$C$13,"Permanent","Probation"))</f>
        <v/>
      </c>
      <c r="I153" s="41"/>
      <c r="J153" s="41"/>
      <c r="K153" s="8"/>
      <c r="L153" s="42" t="str">
        <f aca="false">IF(OR(B153="",I153=""),"",ROUND((IF(J153="",AsOf,J153)-I153)/365.25,1))</f>
        <v/>
      </c>
      <c r="M153" s="8"/>
      <c r="N153" s="8"/>
      <c r="O153" s="8"/>
      <c r="P153" s="8"/>
      <c r="Q153" s="41"/>
      <c r="R153" s="43" t="str">
        <f aca="false">IF(OR(B153="",Q153=""),"",INT((AsOf-Q153)/365.25))</f>
        <v/>
      </c>
      <c r="S153" s="8"/>
      <c r="T153" s="40"/>
      <c r="U153" s="40"/>
      <c r="V153" s="40"/>
      <c r="W153" s="40"/>
      <c r="X153" s="8"/>
      <c r="Y153" s="8"/>
      <c r="Z153" s="8"/>
      <c r="AA153" s="8"/>
      <c r="AB153" s="8"/>
      <c r="AC153" s="8"/>
      <c r="AD153" s="8"/>
      <c r="AE153" s="40"/>
      <c r="AF153" s="8"/>
      <c r="AG153" s="40"/>
      <c r="AH153" s="40"/>
      <c r="AI153" s="8"/>
      <c r="AJ153" s="40"/>
      <c r="AK153" s="40"/>
      <c r="AL153" s="40"/>
      <c r="AM153" s="44"/>
      <c r="AN153" s="44"/>
      <c r="AO153" s="41"/>
      <c r="AP153" s="45" t="str">
        <f aca="false">IF(B153="","",IF(AND(ISNUMBER(AM153),ISNUMBER(AN153),AM153&gt;0,AN153&gt;0),AN153/AM153-1,""))</f>
        <v/>
      </c>
      <c r="AQ153" s="9" t="str">
        <f aca="false">IF(I153="","",(YEAR(I153)-IF(MONTH(I153)&lt;4,1,0))&amp;"-"&amp;RIGHT((YEAR(I153)-IF(MONTH(I153)&lt;4,1,0))+1,2))</f>
        <v/>
      </c>
      <c r="AR153" s="9" t="str">
        <f aca="false">IF(J153="","",(YEAR(J153)-IF(MONTH(J153)&lt;4,1,0))&amp;"-"&amp;RIGHT((YEAR(J153)-IF(MONTH(J153)&lt;4,1,0))+1,2))</f>
        <v/>
      </c>
      <c r="AS153" s="43" t="str">
        <f aca="false">IF(OR(B153="",Q153="",D153&lt;&gt;"Active"),"",DATE(YEAR(AsOf)+IF(DATE(YEAR(AsOf),MONTH(Q153),DAY(Q153))&lt;AsOf,1,0),MONTH(Q153),DAY(Q153))-AsOf)</f>
        <v/>
      </c>
      <c r="AT153" s="43" t="str">
        <f aca="false">IF(OR(B153="",I153="",D153&lt;&gt;"Active"),"",IF(YEAR(DATE(YEAR(AsOf)+IF(DATE(YEAR(AsOf),MONTH(I153),DAY(I153))&lt;AsOf,1,0),MONTH(I153),DAY(I153)))-YEAR(I153)&lt;1,"",DATE(YEAR(AsOf)+IF(DATE(YEAR(AsOf),MONTH(I153),DAY(I153))&lt;AsOf,1,0),MONTH(I153),DAY(I153))-AsOf))</f>
        <v/>
      </c>
      <c r="AU153" s="43" t="str">
        <f aca="false">IF(B153="","",IF(AV153="",0,LEN(AV153)-LEN(SUBSTITUTE(AV153,";",""))))</f>
        <v/>
      </c>
      <c r="AV153" s="9" t="str">
        <f aca="false">IF(B153="","",IF(COUNTIF($B$6:$B$505,B153)&gt;1,"Duplicate Emp Code; ","")&amp;IF(C153="","Name missing; ","")&amp;IF(I153="","DOJ missing; ","")&amp;IF(AND(J153&lt;&gt;"",I153&lt;&gt;"",J153&lt;I153),"Exit before DOJ; ","")&amp;IF(Q153="","DOB missing; ","")&amp;IF(T153="","Aadhaar missing; ",IF(LEN(T153)&lt;&gt;12,"Aadhaar not 12 digits; ",IF(COUNTIF($T$6:$T$505,T153)&gt;1,"Duplicate Aadhaar; ","")))&amp;IF(U153="","PAN missing; ",IF(LEN(U153)&lt;&gt;10,"PAN not 10 chars; ",""))&amp;IF(V153="","Mobile missing; ",IF(LEN(V153)&lt;&gt;10,"Mobile not 10 digits; ",""))&amp;IF(AG153="","Bank A/c missing; ","")&amp;IF(AH153="","IFSC missing; ",IF(LEN(AH153)&lt;&gt;11,"IFSC not 11 chars; ","")))</f>
        <v/>
      </c>
      <c r="AW153" s="46" t="str">
        <f aca="false">IF(AS153="","",AS153+ROW()/100000)</f>
        <v/>
      </c>
      <c r="AX153" s="46" t="str">
        <f aca="false">IF(AT153="","",AT153+ROW()/100000)</f>
        <v/>
      </c>
    </row>
    <row r="154" customFormat="false" ht="15" hidden="false" customHeight="false" outlineLevel="0" collapsed="false">
      <c r="A154" s="9" t="str">
        <f aca="false">IF(B154="","",ROW()-5)</f>
        <v/>
      </c>
      <c r="B154" s="40"/>
      <c r="C154" s="8"/>
      <c r="D154" s="9" t="str">
        <f aca="false">IF(B154="","",IF(J154="","Active","Exited"))</f>
        <v/>
      </c>
      <c r="E154" s="8"/>
      <c r="F154" s="8"/>
      <c r="G154" s="8"/>
      <c r="H154" s="9" t="str">
        <f aca="false">IF(OR(B154="",I154=""),"",IF(IF(J154="",AsOf,J154)-I154&gt;=Settings!$C$13,"Permanent","Probation"))</f>
        <v/>
      </c>
      <c r="I154" s="41"/>
      <c r="J154" s="41"/>
      <c r="K154" s="8"/>
      <c r="L154" s="42" t="str">
        <f aca="false">IF(OR(B154="",I154=""),"",ROUND((IF(J154="",AsOf,J154)-I154)/365.25,1))</f>
        <v/>
      </c>
      <c r="M154" s="8"/>
      <c r="N154" s="8"/>
      <c r="O154" s="8"/>
      <c r="P154" s="8"/>
      <c r="Q154" s="41"/>
      <c r="R154" s="43" t="str">
        <f aca="false">IF(OR(B154="",Q154=""),"",INT((AsOf-Q154)/365.25))</f>
        <v/>
      </c>
      <c r="S154" s="8"/>
      <c r="T154" s="40"/>
      <c r="U154" s="40"/>
      <c r="V154" s="40"/>
      <c r="W154" s="40"/>
      <c r="X154" s="8"/>
      <c r="Y154" s="8"/>
      <c r="Z154" s="8"/>
      <c r="AA154" s="8"/>
      <c r="AB154" s="8"/>
      <c r="AC154" s="8"/>
      <c r="AD154" s="8"/>
      <c r="AE154" s="40"/>
      <c r="AF154" s="8"/>
      <c r="AG154" s="40"/>
      <c r="AH154" s="40"/>
      <c r="AI154" s="8"/>
      <c r="AJ154" s="40"/>
      <c r="AK154" s="40"/>
      <c r="AL154" s="40"/>
      <c r="AM154" s="44"/>
      <c r="AN154" s="44"/>
      <c r="AO154" s="41"/>
      <c r="AP154" s="45" t="str">
        <f aca="false">IF(B154="","",IF(AND(ISNUMBER(AM154),ISNUMBER(AN154),AM154&gt;0,AN154&gt;0),AN154/AM154-1,""))</f>
        <v/>
      </c>
      <c r="AQ154" s="9" t="str">
        <f aca="false">IF(I154="","",(YEAR(I154)-IF(MONTH(I154)&lt;4,1,0))&amp;"-"&amp;RIGHT((YEAR(I154)-IF(MONTH(I154)&lt;4,1,0))+1,2))</f>
        <v/>
      </c>
      <c r="AR154" s="9" t="str">
        <f aca="false">IF(J154="","",(YEAR(J154)-IF(MONTH(J154)&lt;4,1,0))&amp;"-"&amp;RIGHT((YEAR(J154)-IF(MONTH(J154)&lt;4,1,0))+1,2))</f>
        <v/>
      </c>
      <c r="AS154" s="43" t="str">
        <f aca="false">IF(OR(B154="",Q154="",D154&lt;&gt;"Active"),"",DATE(YEAR(AsOf)+IF(DATE(YEAR(AsOf),MONTH(Q154),DAY(Q154))&lt;AsOf,1,0),MONTH(Q154),DAY(Q154))-AsOf)</f>
        <v/>
      </c>
      <c r="AT154" s="43" t="str">
        <f aca="false">IF(OR(B154="",I154="",D154&lt;&gt;"Active"),"",IF(YEAR(DATE(YEAR(AsOf)+IF(DATE(YEAR(AsOf),MONTH(I154),DAY(I154))&lt;AsOf,1,0),MONTH(I154),DAY(I154)))-YEAR(I154)&lt;1,"",DATE(YEAR(AsOf)+IF(DATE(YEAR(AsOf),MONTH(I154),DAY(I154))&lt;AsOf,1,0),MONTH(I154),DAY(I154))-AsOf))</f>
        <v/>
      </c>
      <c r="AU154" s="43" t="str">
        <f aca="false">IF(B154="","",IF(AV154="",0,LEN(AV154)-LEN(SUBSTITUTE(AV154,";",""))))</f>
        <v/>
      </c>
      <c r="AV154" s="9" t="str">
        <f aca="false">IF(B154="","",IF(COUNTIF($B$6:$B$505,B154)&gt;1,"Duplicate Emp Code; ","")&amp;IF(C154="","Name missing; ","")&amp;IF(I154="","DOJ missing; ","")&amp;IF(AND(J154&lt;&gt;"",I154&lt;&gt;"",J154&lt;I154),"Exit before DOJ; ","")&amp;IF(Q154="","DOB missing; ","")&amp;IF(T154="","Aadhaar missing; ",IF(LEN(T154)&lt;&gt;12,"Aadhaar not 12 digits; ",IF(COUNTIF($T$6:$T$505,T154)&gt;1,"Duplicate Aadhaar; ","")))&amp;IF(U154="","PAN missing; ",IF(LEN(U154)&lt;&gt;10,"PAN not 10 chars; ",""))&amp;IF(V154="","Mobile missing; ",IF(LEN(V154)&lt;&gt;10,"Mobile not 10 digits; ",""))&amp;IF(AG154="","Bank A/c missing; ","")&amp;IF(AH154="","IFSC missing; ",IF(LEN(AH154)&lt;&gt;11,"IFSC not 11 chars; ","")))</f>
        <v/>
      </c>
      <c r="AW154" s="46" t="str">
        <f aca="false">IF(AS154="","",AS154+ROW()/100000)</f>
        <v/>
      </c>
      <c r="AX154" s="46" t="str">
        <f aca="false">IF(AT154="","",AT154+ROW()/100000)</f>
        <v/>
      </c>
    </row>
    <row r="155" customFormat="false" ht="15" hidden="false" customHeight="false" outlineLevel="0" collapsed="false">
      <c r="A155" s="9" t="str">
        <f aca="false">IF(B155="","",ROW()-5)</f>
        <v/>
      </c>
      <c r="B155" s="40"/>
      <c r="C155" s="8"/>
      <c r="D155" s="9" t="str">
        <f aca="false">IF(B155="","",IF(J155="","Active","Exited"))</f>
        <v/>
      </c>
      <c r="E155" s="8"/>
      <c r="F155" s="8"/>
      <c r="G155" s="8"/>
      <c r="H155" s="9" t="str">
        <f aca="false">IF(OR(B155="",I155=""),"",IF(IF(J155="",AsOf,J155)-I155&gt;=Settings!$C$13,"Permanent","Probation"))</f>
        <v/>
      </c>
      <c r="I155" s="41"/>
      <c r="J155" s="41"/>
      <c r="K155" s="8"/>
      <c r="L155" s="42" t="str">
        <f aca="false">IF(OR(B155="",I155=""),"",ROUND((IF(J155="",AsOf,J155)-I155)/365.25,1))</f>
        <v/>
      </c>
      <c r="M155" s="8"/>
      <c r="N155" s="8"/>
      <c r="O155" s="8"/>
      <c r="P155" s="8"/>
      <c r="Q155" s="41"/>
      <c r="R155" s="43" t="str">
        <f aca="false">IF(OR(B155="",Q155=""),"",INT((AsOf-Q155)/365.25))</f>
        <v/>
      </c>
      <c r="S155" s="8"/>
      <c r="T155" s="40"/>
      <c r="U155" s="40"/>
      <c r="V155" s="40"/>
      <c r="W155" s="40"/>
      <c r="X155" s="8"/>
      <c r="Y155" s="8"/>
      <c r="Z155" s="8"/>
      <c r="AA155" s="8"/>
      <c r="AB155" s="8"/>
      <c r="AC155" s="8"/>
      <c r="AD155" s="8"/>
      <c r="AE155" s="40"/>
      <c r="AF155" s="8"/>
      <c r="AG155" s="40"/>
      <c r="AH155" s="40"/>
      <c r="AI155" s="8"/>
      <c r="AJ155" s="40"/>
      <c r="AK155" s="40"/>
      <c r="AL155" s="40"/>
      <c r="AM155" s="44"/>
      <c r="AN155" s="44"/>
      <c r="AO155" s="41"/>
      <c r="AP155" s="45" t="str">
        <f aca="false">IF(B155="","",IF(AND(ISNUMBER(AM155),ISNUMBER(AN155),AM155&gt;0,AN155&gt;0),AN155/AM155-1,""))</f>
        <v/>
      </c>
      <c r="AQ155" s="9" t="str">
        <f aca="false">IF(I155="","",(YEAR(I155)-IF(MONTH(I155)&lt;4,1,0))&amp;"-"&amp;RIGHT((YEAR(I155)-IF(MONTH(I155)&lt;4,1,0))+1,2))</f>
        <v/>
      </c>
      <c r="AR155" s="9" t="str">
        <f aca="false">IF(J155="","",(YEAR(J155)-IF(MONTH(J155)&lt;4,1,0))&amp;"-"&amp;RIGHT((YEAR(J155)-IF(MONTH(J155)&lt;4,1,0))+1,2))</f>
        <v/>
      </c>
      <c r="AS155" s="43" t="str">
        <f aca="false">IF(OR(B155="",Q155="",D155&lt;&gt;"Active"),"",DATE(YEAR(AsOf)+IF(DATE(YEAR(AsOf),MONTH(Q155),DAY(Q155))&lt;AsOf,1,0),MONTH(Q155),DAY(Q155))-AsOf)</f>
        <v/>
      </c>
      <c r="AT155" s="43" t="str">
        <f aca="false">IF(OR(B155="",I155="",D155&lt;&gt;"Active"),"",IF(YEAR(DATE(YEAR(AsOf)+IF(DATE(YEAR(AsOf),MONTH(I155),DAY(I155))&lt;AsOf,1,0),MONTH(I155),DAY(I155)))-YEAR(I155)&lt;1,"",DATE(YEAR(AsOf)+IF(DATE(YEAR(AsOf),MONTH(I155),DAY(I155))&lt;AsOf,1,0),MONTH(I155),DAY(I155))-AsOf))</f>
        <v/>
      </c>
      <c r="AU155" s="43" t="str">
        <f aca="false">IF(B155="","",IF(AV155="",0,LEN(AV155)-LEN(SUBSTITUTE(AV155,";",""))))</f>
        <v/>
      </c>
      <c r="AV155" s="9" t="str">
        <f aca="false">IF(B155="","",IF(COUNTIF($B$6:$B$505,B155)&gt;1,"Duplicate Emp Code; ","")&amp;IF(C155="","Name missing; ","")&amp;IF(I155="","DOJ missing; ","")&amp;IF(AND(J155&lt;&gt;"",I155&lt;&gt;"",J155&lt;I155),"Exit before DOJ; ","")&amp;IF(Q155="","DOB missing; ","")&amp;IF(T155="","Aadhaar missing; ",IF(LEN(T155)&lt;&gt;12,"Aadhaar not 12 digits; ",IF(COUNTIF($T$6:$T$505,T155)&gt;1,"Duplicate Aadhaar; ","")))&amp;IF(U155="","PAN missing; ",IF(LEN(U155)&lt;&gt;10,"PAN not 10 chars; ",""))&amp;IF(V155="","Mobile missing; ",IF(LEN(V155)&lt;&gt;10,"Mobile not 10 digits; ",""))&amp;IF(AG155="","Bank A/c missing; ","")&amp;IF(AH155="","IFSC missing; ",IF(LEN(AH155)&lt;&gt;11,"IFSC not 11 chars; ","")))</f>
        <v/>
      </c>
      <c r="AW155" s="46" t="str">
        <f aca="false">IF(AS155="","",AS155+ROW()/100000)</f>
        <v/>
      </c>
      <c r="AX155" s="46" t="str">
        <f aca="false">IF(AT155="","",AT155+ROW()/100000)</f>
        <v/>
      </c>
    </row>
    <row r="156" customFormat="false" ht="15" hidden="false" customHeight="false" outlineLevel="0" collapsed="false">
      <c r="A156" s="9" t="str">
        <f aca="false">IF(B156="","",ROW()-5)</f>
        <v/>
      </c>
      <c r="B156" s="40"/>
      <c r="C156" s="8"/>
      <c r="D156" s="9" t="str">
        <f aca="false">IF(B156="","",IF(J156="","Active","Exited"))</f>
        <v/>
      </c>
      <c r="E156" s="8"/>
      <c r="F156" s="8"/>
      <c r="G156" s="8"/>
      <c r="H156" s="9" t="str">
        <f aca="false">IF(OR(B156="",I156=""),"",IF(IF(J156="",AsOf,J156)-I156&gt;=Settings!$C$13,"Permanent","Probation"))</f>
        <v/>
      </c>
      <c r="I156" s="41"/>
      <c r="J156" s="41"/>
      <c r="K156" s="8"/>
      <c r="L156" s="42" t="str">
        <f aca="false">IF(OR(B156="",I156=""),"",ROUND((IF(J156="",AsOf,J156)-I156)/365.25,1))</f>
        <v/>
      </c>
      <c r="M156" s="8"/>
      <c r="N156" s="8"/>
      <c r="O156" s="8"/>
      <c r="P156" s="8"/>
      <c r="Q156" s="41"/>
      <c r="R156" s="43" t="str">
        <f aca="false">IF(OR(B156="",Q156=""),"",INT((AsOf-Q156)/365.25))</f>
        <v/>
      </c>
      <c r="S156" s="8"/>
      <c r="T156" s="40"/>
      <c r="U156" s="40"/>
      <c r="V156" s="40"/>
      <c r="W156" s="40"/>
      <c r="X156" s="8"/>
      <c r="Y156" s="8"/>
      <c r="Z156" s="8"/>
      <c r="AA156" s="8"/>
      <c r="AB156" s="8"/>
      <c r="AC156" s="8"/>
      <c r="AD156" s="8"/>
      <c r="AE156" s="40"/>
      <c r="AF156" s="8"/>
      <c r="AG156" s="40"/>
      <c r="AH156" s="40"/>
      <c r="AI156" s="8"/>
      <c r="AJ156" s="40"/>
      <c r="AK156" s="40"/>
      <c r="AL156" s="40"/>
      <c r="AM156" s="44"/>
      <c r="AN156" s="44"/>
      <c r="AO156" s="41"/>
      <c r="AP156" s="45" t="str">
        <f aca="false">IF(B156="","",IF(AND(ISNUMBER(AM156),ISNUMBER(AN156),AM156&gt;0,AN156&gt;0),AN156/AM156-1,""))</f>
        <v/>
      </c>
      <c r="AQ156" s="9" t="str">
        <f aca="false">IF(I156="","",(YEAR(I156)-IF(MONTH(I156)&lt;4,1,0))&amp;"-"&amp;RIGHT((YEAR(I156)-IF(MONTH(I156)&lt;4,1,0))+1,2))</f>
        <v/>
      </c>
      <c r="AR156" s="9" t="str">
        <f aca="false">IF(J156="","",(YEAR(J156)-IF(MONTH(J156)&lt;4,1,0))&amp;"-"&amp;RIGHT((YEAR(J156)-IF(MONTH(J156)&lt;4,1,0))+1,2))</f>
        <v/>
      </c>
      <c r="AS156" s="43" t="str">
        <f aca="false">IF(OR(B156="",Q156="",D156&lt;&gt;"Active"),"",DATE(YEAR(AsOf)+IF(DATE(YEAR(AsOf),MONTH(Q156),DAY(Q156))&lt;AsOf,1,0),MONTH(Q156),DAY(Q156))-AsOf)</f>
        <v/>
      </c>
      <c r="AT156" s="43" t="str">
        <f aca="false">IF(OR(B156="",I156="",D156&lt;&gt;"Active"),"",IF(YEAR(DATE(YEAR(AsOf)+IF(DATE(YEAR(AsOf),MONTH(I156),DAY(I156))&lt;AsOf,1,0),MONTH(I156),DAY(I156)))-YEAR(I156)&lt;1,"",DATE(YEAR(AsOf)+IF(DATE(YEAR(AsOf),MONTH(I156),DAY(I156))&lt;AsOf,1,0),MONTH(I156),DAY(I156))-AsOf))</f>
        <v/>
      </c>
      <c r="AU156" s="43" t="str">
        <f aca="false">IF(B156="","",IF(AV156="",0,LEN(AV156)-LEN(SUBSTITUTE(AV156,";",""))))</f>
        <v/>
      </c>
      <c r="AV156" s="9" t="str">
        <f aca="false">IF(B156="","",IF(COUNTIF($B$6:$B$505,B156)&gt;1,"Duplicate Emp Code; ","")&amp;IF(C156="","Name missing; ","")&amp;IF(I156="","DOJ missing; ","")&amp;IF(AND(J156&lt;&gt;"",I156&lt;&gt;"",J156&lt;I156),"Exit before DOJ; ","")&amp;IF(Q156="","DOB missing; ","")&amp;IF(T156="","Aadhaar missing; ",IF(LEN(T156)&lt;&gt;12,"Aadhaar not 12 digits; ",IF(COUNTIF($T$6:$T$505,T156)&gt;1,"Duplicate Aadhaar; ","")))&amp;IF(U156="","PAN missing; ",IF(LEN(U156)&lt;&gt;10,"PAN not 10 chars; ",""))&amp;IF(V156="","Mobile missing; ",IF(LEN(V156)&lt;&gt;10,"Mobile not 10 digits; ",""))&amp;IF(AG156="","Bank A/c missing; ","")&amp;IF(AH156="","IFSC missing; ",IF(LEN(AH156)&lt;&gt;11,"IFSC not 11 chars; ","")))</f>
        <v/>
      </c>
      <c r="AW156" s="46" t="str">
        <f aca="false">IF(AS156="","",AS156+ROW()/100000)</f>
        <v/>
      </c>
      <c r="AX156" s="46" t="str">
        <f aca="false">IF(AT156="","",AT156+ROW()/100000)</f>
        <v/>
      </c>
    </row>
    <row r="157" customFormat="false" ht="15" hidden="false" customHeight="false" outlineLevel="0" collapsed="false">
      <c r="A157" s="9" t="str">
        <f aca="false">IF(B157="","",ROW()-5)</f>
        <v/>
      </c>
      <c r="B157" s="40"/>
      <c r="C157" s="8"/>
      <c r="D157" s="9" t="str">
        <f aca="false">IF(B157="","",IF(J157="","Active","Exited"))</f>
        <v/>
      </c>
      <c r="E157" s="8"/>
      <c r="F157" s="8"/>
      <c r="G157" s="8"/>
      <c r="H157" s="9" t="str">
        <f aca="false">IF(OR(B157="",I157=""),"",IF(IF(J157="",AsOf,J157)-I157&gt;=Settings!$C$13,"Permanent","Probation"))</f>
        <v/>
      </c>
      <c r="I157" s="41"/>
      <c r="J157" s="41"/>
      <c r="K157" s="8"/>
      <c r="L157" s="42" t="str">
        <f aca="false">IF(OR(B157="",I157=""),"",ROUND((IF(J157="",AsOf,J157)-I157)/365.25,1))</f>
        <v/>
      </c>
      <c r="M157" s="8"/>
      <c r="N157" s="8"/>
      <c r="O157" s="8"/>
      <c r="P157" s="8"/>
      <c r="Q157" s="41"/>
      <c r="R157" s="43" t="str">
        <f aca="false">IF(OR(B157="",Q157=""),"",INT((AsOf-Q157)/365.25))</f>
        <v/>
      </c>
      <c r="S157" s="8"/>
      <c r="T157" s="40"/>
      <c r="U157" s="40"/>
      <c r="V157" s="40"/>
      <c r="W157" s="40"/>
      <c r="X157" s="8"/>
      <c r="Y157" s="8"/>
      <c r="Z157" s="8"/>
      <c r="AA157" s="8"/>
      <c r="AB157" s="8"/>
      <c r="AC157" s="8"/>
      <c r="AD157" s="8"/>
      <c r="AE157" s="40"/>
      <c r="AF157" s="8"/>
      <c r="AG157" s="40"/>
      <c r="AH157" s="40"/>
      <c r="AI157" s="8"/>
      <c r="AJ157" s="40"/>
      <c r="AK157" s="40"/>
      <c r="AL157" s="40"/>
      <c r="AM157" s="44"/>
      <c r="AN157" s="44"/>
      <c r="AO157" s="41"/>
      <c r="AP157" s="45" t="str">
        <f aca="false">IF(B157="","",IF(AND(ISNUMBER(AM157),ISNUMBER(AN157),AM157&gt;0,AN157&gt;0),AN157/AM157-1,""))</f>
        <v/>
      </c>
      <c r="AQ157" s="9" t="str">
        <f aca="false">IF(I157="","",(YEAR(I157)-IF(MONTH(I157)&lt;4,1,0))&amp;"-"&amp;RIGHT((YEAR(I157)-IF(MONTH(I157)&lt;4,1,0))+1,2))</f>
        <v/>
      </c>
      <c r="AR157" s="9" t="str">
        <f aca="false">IF(J157="","",(YEAR(J157)-IF(MONTH(J157)&lt;4,1,0))&amp;"-"&amp;RIGHT((YEAR(J157)-IF(MONTH(J157)&lt;4,1,0))+1,2))</f>
        <v/>
      </c>
      <c r="AS157" s="43" t="str">
        <f aca="false">IF(OR(B157="",Q157="",D157&lt;&gt;"Active"),"",DATE(YEAR(AsOf)+IF(DATE(YEAR(AsOf),MONTH(Q157),DAY(Q157))&lt;AsOf,1,0),MONTH(Q157),DAY(Q157))-AsOf)</f>
        <v/>
      </c>
      <c r="AT157" s="43" t="str">
        <f aca="false">IF(OR(B157="",I157="",D157&lt;&gt;"Active"),"",IF(YEAR(DATE(YEAR(AsOf)+IF(DATE(YEAR(AsOf),MONTH(I157),DAY(I157))&lt;AsOf,1,0),MONTH(I157),DAY(I157)))-YEAR(I157)&lt;1,"",DATE(YEAR(AsOf)+IF(DATE(YEAR(AsOf),MONTH(I157),DAY(I157))&lt;AsOf,1,0),MONTH(I157),DAY(I157))-AsOf))</f>
        <v/>
      </c>
      <c r="AU157" s="43" t="str">
        <f aca="false">IF(B157="","",IF(AV157="",0,LEN(AV157)-LEN(SUBSTITUTE(AV157,";",""))))</f>
        <v/>
      </c>
      <c r="AV157" s="9" t="str">
        <f aca="false">IF(B157="","",IF(COUNTIF($B$6:$B$505,B157)&gt;1,"Duplicate Emp Code; ","")&amp;IF(C157="","Name missing; ","")&amp;IF(I157="","DOJ missing; ","")&amp;IF(AND(J157&lt;&gt;"",I157&lt;&gt;"",J157&lt;I157),"Exit before DOJ; ","")&amp;IF(Q157="","DOB missing; ","")&amp;IF(T157="","Aadhaar missing; ",IF(LEN(T157)&lt;&gt;12,"Aadhaar not 12 digits; ",IF(COUNTIF($T$6:$T$505,T157)&gt;1,"Duplicate Aadhaar; ","")))&amp;IF(U157="","PAN missing; ",IF(LEN(U157)&lt;&gt;10,"PAN not 10 chars; ",""))&amp;IF(V157="","Mobile missing; ",IF(LEN(V157)&lt;&gt;10,"Mobile not 10 digits; ",""))&amp;IF(AG157="","Bank A/c missing; ","")&amp;IF(AH157="","IFSC missing; ",IF(LEN(AH157)&lt;&gt;11,"IFSC not 11 chars; ","")))</f>
        <v/>
      </c>
      <c r="AW157" s="46" t="str">
        <f aca="false">IF(AS157="","",AS157+ROW()/100000)</f>
        <v/>
      </c>
      <c r="AX157" s="46" t="str">
        <f aca="false">IF(AT157="","",AT157+ROW()/100000)</f>
        <v/>
      </c>
    </row>
    <row r="158" customFormat="false" ht="15" hidden="false" customHeight="false" outlineLevel="0" collapsed="false">
      <c r="A158" s="9" t="str">
        <f aca="false">IF(B158="","",ROW()-5)</f>
        <v/>
      </c>
      <c r="B158" s="40"/>
      <c r="C158" s="8"/>
      <c r="D158" s="9" t="str">
        <f aca="false">IF(B158="","",IF(J158="","Active","Exited"))</f>
        <v/>
      </c>
      <c r="E158" s="8"/>
      <c r="F158" s="8"/>
      <c r="G158" s="8"/>
      <c r="H158" s="9" t="str">
        <f aca="false">IF(OR(B158="",I158=""),"",IF(IF(J158="",AsOf,J158)-I158&gt;=Settings!$C$13,"Permanent","Probation"))</f>
        <v/>
      </c>
      <c r="I158" s="41"/>
      <c r="J158" s="41"/>
      <c r="K158" s="8"/>
      <c r="L158" s="42" t="str">
        <f aca="false">IF(OR(B158="",I158=""),"",ROUND((IF(J158="",AsOf,J158)-I158)/365.25,1))</f>
        <v/>
      </c>
      <c r="M158" s="8"/>
      <c r="N158" s="8"/>
      <c r="O158" s="8"/>
      <c r="P158" s="8"/>
      <c r="Q158" s="41"/>
      <c r="R158" s="43" t="str">
        <f aca="false">IF(OR(B158="",Q158=""),"",INT((AsOf-Q158)/365.25))</f>
        <v/>
      </c>
      <c r="S158" s="8"/>
      <c r="T158" s="40"/>
      <c r="U158" s="40"/>
      <c r="V158" s="40"/>
      <c r="W158" s="40"/>
      <c r="X158" s="8"/>
      <c r="Y158" s="8"/>
      <c r="Z158" s="8"/>
      <c r="AA158" s="8"/>
      <c r="AB158" s="8"/>
      <c r="AC158" s="8"/>
      <c r="AD158" s="8"/>
      <c r="AE158" s="40"/>
      <c r="AF158" s="8"/>
      <c r="AG158" s="40"/>
      <c r="AH158" s="40"/>
      <c r="AI158" s="8"/>
      <c r="AJ158" s="40"/>
      <c r="AK158" s="40"/>
      <c r="AL158" s="40"/>
      <c r="AM158" s="44"/>
      <c r="AN158" s="44"/>
      <c r="AO158" s="41"/>
      <c r="AP158" s="45" t="str">
        <f aca="false">IF(B158="","",IF(AND(ISNUMBER(AM158),ISNUMBER(AN158),AM158&gt;0,AN158&gt;0),AN158/AM158-1,""))</f>
        <v/>
      </c>
      <c r="AQ158" s="9" t="str">
        <f aca="false">IF(I158="","",(YEAR(I158)-IF(MONTH(I158)&lt;4,1,0))&amp;"-"&amp;RIGHT((YEAR(I158)-IF(MONTH(I158)&lt;4,1,0))+1,2))</f>
        <v/>
      </c>
      <c r="AR158" s="9" t="str">
        <f aca="false">IF(J158="","",(YEAR(J158)-IF(MONTH(J158)&lt;4,1,0))&amp;"-"&amp;RIGHT((YEAR(J158)-IF(MONTH(J158)&lt;4,1,0))+1,2))</f>
        <v/>
      </c>
      <c r="AS158" s="43" t="str">
        <f aca="false">IF(OR(B158="",Q158="",D158&lt;&gt;"Active"),"",DATE(YEAR(AsOf)+IF(DATE(YEAR(AsOf),MONTH(Q158),DAY(Q158))&lt;AsOf,1,0),MONTH(Q158),DAY(Q158))-AsOf)</f>
        <v/>
      </c>
      <c r="AT158" s="43" t="str">
        <f aca="false">IF(OR(B158="",I158="",D158&lt;&gt;"Active"),"",IF(YEAR(DATE(YEAR(AsOf)+IF(DATE(YEAR(AsOf),MONTH(I158),DAY(I158))&lt;AsOf,1,0),MONTH(I158),DAY(I158)))-YEAR(I158)&lt;1,"",DATE(YEAR(AsOf)+IF(DATE(YEAR(AsOf),MONTH(I158),DAY(I158))&lt;AsOf,1,0),MONTH(I158),DAY(I158))-AsOf))</f>
        <v/>
      </c>
      <c r="AU158" s="43" t="str">
        <f aca="false">IF(B158="","",IF(AV158="",0,LEN(AV158)-LEN(SUBSTITUTE(AV158,";",""))))</f>
        <v/>
      </c>
      <c r="AV158" s="9" t="str">
        <f aca="false">IF(B158="","",IF(COUNTIF($B$6:$B$505,B158)&gt;1,"Duplicate Emp Code; ","")&amp;IF(C158="","Name missing; ","")&amp;IF(I158="","DOJ missing; ","")&amp;IF(AND(J158&lt;&gt;"",I158&lt;&gt;"",J158&lt;I158),"Exit before DOJ; ","")&amp;IF(Q158="","DOB missing; ","")&amp;IF(T158="","Aadhaar missing; ",IF(LEN(T158)&lt;&gt;12,"Aadhaar not 12 digits; ",IF(COUNTIF($T$6:$T$505,T158)&gt;1,"Duplicate Aadhaar; ","")))&amp;IF(U158="","PAN missing; ",IF(LEN(U158)&lt;&gt;10,"PAN not 10 chars; ",""))&amp;IF(V158="","Mobile missing; ",IF(LEN(V158)&lt;&gt;10,"Mobile not 10 digits; ",""))&amp;IF(AG158="","Bank A/c missing; ","")&amp;IF(AH158="","IFSC missing; ",IF(LEN(AH158)&lt;&gt;11,"IFSC not 11 chars; ","")))</f>
        <v/>
      </c>
      <c r="AW158" s="46" t="str">
        <f aca="false">IF(AS158="","",AS158+ROW()/100000)</f>
        <v/>
      </c>
      <c r="AX158" s="46" t="str">
        <f aca="false">IF(AT158="","",AT158+ROW()/100000)</f>
        <v/>
      </c>
    </row>
    <row r="159" customFormat="false" ht="15" hidden="false" customHeight="false" outlineLevel="0" collapsed="false">
      <c r="A159" s="9" t="str">
        <f aca="false">IF(B159="","",ROW()-5)</f>
        <v/>
      </c>
      <c r="B159" s="40"/>
      <c r="C159" s="8"/>
      <c r="D159" s="9" t="str">
        <f aca="false">IF(B159="","",IF(J159="","Active","Exited"))</f>
        <v/>
      </c>
      <c r="E159" s="8"/>
      <c r="F159" s="8"/>
      <c r="G159" s="8"/>
      <c r="H159" s="9" t="str">
        <f aca="false">IF(OR(B159="",I159=""),"",IF(IF(J159="",AsOf,J159)-I159&gt;=Settings!$C$13,"Permanent","Probation"))</f>
        <v/>
      </c>
      <c r="I159" s="41"/>
      <c r="J159" s="41"/>
      <c r="K159" s="8"/>
      <c r="L159" s="42" t="str">
        <f aca="false">IF(OR(B159="",I159=""),"",ROUND((IF(J159="",AsOf,J159)-I159)/365.25,1))</f>
        <v/>
      </c>
      <c r="M159" s="8"/>
      <c r="N159" s="8"/>
      <c r="O159" s="8"/>
      <c r="P159" s="8"/>
      <c r="Q159" s="41"/>
      <c r="R159" s="43" t="str">
        <f aca="false">IF(OR(B159="",Q159=""),"",INT((AsOf-Q159)/365.25))</f>
        <v/>
      </c>
      <c r="S159" s="8"/>
      <c r="T159" s="40"/>
      <c r="U159" s="40"/>
      <c r="V159" s="40"/>
      <c r="W159" s="40"/>
      <c r="X159" s="8"/>
      <c r="Y159" s="8"/>
      <c r="Z159" s="8"/>
      <c r="AA159" s="8"/>
      <c r="AB159" s="8"/>
      <c r="AC159" s="8"/>
      <c r="AD159" s="8"/>
      <c r="AE159" s="40"/>
      <c r="AF159" s="8"/>
      <c r="AG159" s="40"/>
      <c r="AH159" s="40"/>
      <c r="AI159" s="8"/>
      <c r="AJ159" s="40"/>
      <c r="AK159" s="40"/>
      <c r="AL159" s="40"/>
      <c r="AM159" s="44"/>
      <c r="AN159" s="44"/>
      <c r="AO159" s="41"/>
      <c r="AP159" s="45" t="str">
        <f aca="false">IF(B159="","",IF(AND(ISNUMBER(AM159),ISNUMBER(AN159),AM159&gt;0,AN159&gt;0),AN159/AM159-1,""))</f>
        <v/>
      </c>
      <c r="AQ159" s="9" t="str">
        <f aca="false">IF(I159="","",(YEAR(I159)-IF(MONTH(I159)&lt;4,1,0))&amp;"-"&amp;RIGHT((YEAR(I159)-IF(MONTH(I159)&lt;4,1,0))+1,2))</f>
        <v/>
      </c>
      <c r="AR159" s="9" t="str">
        <f aca="false">IF(J159="","",(YEAR(J159)-IF(MONTH(J159)&lt;4,1,0))&amp;"-"&amp;RIGHT((YEAR(J159)-IF(MONTH(J159)&lt;4,1,0))+1,2))</f>
        <v/>
      </c>
      <c r="AS159" s="43" t="str">
        <f aca="false">IF(OR(B159="",Q159="",D159&lt;&gt;"Active"),"",DATE(YEAR(AsOf)+IF(DATE(YEAR(AsOf),MONTH(Q159),DAY(Q159))&lt;AsOf,1,0),MONTH(Q159),DAY(Q159))-AsOf)</f>
        <v/>
      </c>
      <c r="AT159" s="43" t="str">
        <f aca="false">IF(OR(B159="",I159="",D159&lt;&gt;"Active"),"",IF(YEAR(DATE(YEAR(AsOf)+IF(DATE(YEAR(AsOf),MONTH(I159),DAY(I159))&lt;AsOf,1,0),MONTH(I159),DAY(I159)))-YEAR(I159)&lt;1,"",DATE(YEAR(AsOf)+IF(DATE(YEAR(AsOf),MONTH(I159),DAY(I159))&lt;AsOf,1,0),MONTH(I159),DAY(I159))-AsOf))</f>
        <v/>
      </c>
      <c r="AU159" s="43" t="str">
        <f aca="false">IF(B159="","",IF(AV159="",0,LEN(AV159)-LEN(SUBSTITUTE(AV159,";",""))))</f>
        <v/>
      </c>
      <c r="AV159" s="9" t="str">
        <f aca="false">IF(B159="","",IF(COUNTIF($B$6:$B$505,B159)&gt;1,"Duplicate Emp Code; ","")&amp;IF(C159="","Name missing; ","")&amp;IF(I159="","DOJ missing; ","")&amp;IF(AND(J159&lt;&gt;"",I159&lt;&gt;"",J159&lt;I159),"Exit before DOJ; ","")&amp;IF(Q159="","DOB missing; ","")&amp;IF(T159="","Aadhaar missing; ",IF(LEN(T159)&lt;&gt;12,"Aadhaar not 12 digits; ",IF(COUNTIF($T$6:$T$505,T159)&gt;1,"Duplicate Aadhaar; ","")))&amp;IF(U159="","PAN missing; ",IF(LEN(U159)&lt;&gt;10,"PAN not 10 chars; ",""))&amp;IF(V159="","Mobile missing; ",IF(LEN(V159)&lt;&gt;10,"Mobile not 10 digits; ",""))&amp;IF(AG159="","Bank A/c missing; ","")&amp;IF(AH159="","IFSC missing; ",IF(LEN(AH159)&lt;&gt;11,"IFSC not 11 chars; ","")))</f>
        <v/>
      </c>
      <c r="AW159" s="46" t="str">
        <f aca="false">IF(AS159="","",AS159+ROW()/100000)</f>
        <v/>
      </c>
      <c r="AX159" s="46" t="str">
        <f aca="false">IF(AT159="","",AT159+ROW()/100000)</f>
        <v/>
      </c>
    </row>
    <row r="160" customFormat="false" ht="15" hidden="false" customHeight="false" outlineLevel="0" collapsed="false">
      <c r="A160" s="9" t="str">
        <f aca="false">IF(B160="","",ROW()-5)</f>
        <v/>
      </c>
      <c r="B160" s="40"/>
      <c r="C160" s="8"/>
      <c r="D160" s="9" t="str">
        <f aca="false">IF(B160="","",IF(J160="","Active","Exited"))</f>
        <v/>
      </c>
      <c r="E160" s="8"/>
      <c r="F160" s="8"/>
      <c r="G160" s="8"/>
      <c r="H160" s="9" t="str">
        <f aca="false">IF(OR(B160="",I160=""),"",IF(IF(J160="",AsOf,J160)-I160&gt;=Settings!$C$13,"Permanent","Probation"))</f>
        <v/>
      </c>
      <c r="I160" s="41"/>
      <c r="J160" s="41"/>
      <c r="K160" s="8"/>
      <c r="L160" s="42" t="str">
        <f aca="false">IF(OR(B160="",I160=""),"",ROUND((IF(J160="",AsOf,J160)-I160)/365.25,1))</f>
        <v/>
      </c>
      <c r="M160" s="8"/>
      <c r="N160" s="8"/>
      <c r="O160" s="8"/>
      <c r="P160" s="8"/>
      <c r="Q160" s="41"/>
      <c r="R160" s="43" t="str">
        <f aca="false">IF(OR(B160="",Q160=""),"",INT((AsOf-Q160)/365.25))</f>
        <v/>
      </c>
      <c r="S160" s="8"/>
      <c r="T160" s="40"/>
      <c r="U160" s="40"/>
      <c r="V160" s="40"/>
      <c r="W160" s="40"/>
      <c r="X160" s="8"/>
      <c r="Y160" s="8"/>
      <c r="Z160" s="8"/>
      <c r="AA160" s="8"/>
      <c r="AB160" s="8"/>
      <c r="AC160" s="8"/>
      <c r="AD160" s="8"/>
      <c r="AE160" s="40"/>
      <c r="AF160" s="8"/>
      <c r="AG160" s="40"/>
      <c r="AH160" s="40"/>
      <c r="AI160" s="8"/>
      <c r="AJ160" s="40"/>
      <c r="AK160" s="40"/>
      <c r="AL160" s="40"/>
      <c r="AM160" s="44"/>
      <c r="AN160" s="44"/>
      <c r="AO160" s="41"/>
      <c r="AP160" s="45" t="str">
        <f aca="false">IF(B160="","",IF(AND(ISNUMBER(AM160),ISNUMBER(AN160),AM160&gt;0,AN160&gt;0),AN160/AM160-1,""))</f>
        <v/>
      </c>
      <c r="AQ160" s="9" t="str">
        <f aca="false">IF(I160="","",(YEAR(I160)-IF(MONTH(I160)&lt;4,1,0))&amp;"-"&amp;RIGHT((YEAR(I160)-IF(MONTH(I160)&lt;4,1,0))+1,2))</f>
        <v/>
      </c>
      <c r="AR160" s="9" t="str">
        <f aca="false">IF(J160="","",(YEAR(J160)-IF(MONTH(J160)&lt;4,1,0))&amp;"-"&amp;RIGHT((YEAR(J160)-IF(MONTH(J160)&lt;4,1,0))+1,2))</f>
        <v/>
      </c>
      <c r="AS160" s="43" t="str">
        <f aca="false">IF(OR(B160="",Q160="",D160&lt;&gt;"Active"),"",DATE(YEAR(AsOf)+IF(DATE(YEAR(AsOf),MONTH(Q160),DAY(Q160))&lt;AsOf,1,0),MONTH(Q160),DAY(Q160))-AsOf)</f>
        <v/>
      </c>
      <c r="AT160" s="43" t="str">
        <f aca="false">IF(OR(B160="",I160="",D160&lt;&gt;"Active"),"",IF(YEAR(DATE(YEAR(AsOf)+IF(DATE(YEAR(AsOf),MONTH(I160),DAY(I160))&lt;AsOf,1,0),MONTH(I160),DAY(I160)))-YEAR(I160)&lt;1,"",DATE(YEAR(AsOf)+IF(DATE(YEAR(AsOf),MONTH(I160),DAY(I160))&lt;AsOf,1,0),MONTH(I160),DAY(I160))-AsOf))</f>
        <v/>
      </c>
      <c r="AU160" s="43" t="str">
        <f aca="false">IF(B160="","",IF(AV160="",0,LEN(AV160)-LEN(SUBSTITUTE(AV160,";",""))))</f>
        <v/>
      </c>
      <c r="AV160" s="9" t="str">
        <f aca="false">IF(B160="","",IF(COUNTIF($B$6:$B$505,B160)&gt;1,"Duplicate Emp Code; ","")&amp;IF(C160="","Name missing; ","")&amp;IF(I160="","DOJ missing; ","")&amp;IF(AND(J160&lt;&gt;"",I160&lt;&gt;"",J160&lt;I160),"Exit before DOJ; ","")&amp;IF(Q160="","DOB missing; ","")&amp;IF(T160="","Aadhaar missing; ",IF(LEN(T160)&lt;&gt;12,"Aadhaar not 12 digits; ",IF(COUNTIF($T$6:$T$505,T160)&gt;1,"Duplicate Aadhaar; ","")))&amp;IF(U160="","PAN missing; ",IF(LEN(U160)&lt;&gt;10,"PAN not 10 chars; ",""))&amp;IF(V160="","Mobile missing; ",IF(LEN(V160)&lt;&gt;10,"Mobile not 10 digits; ",""))&amp;IF(AG160="","Bank A/c missing; ","")&amp;IF(AH160="","IFSC missing; ",IF(LEN(AH160)&lt;&gt;11,"IFSC not 11 chars; ","")))</f>
        <v/>
      </c>
      <c r="AW160" s="46" t="str">
        <f aca="false">IF(AS160="","",AS160+ROW()/100000)</f>
        <v/>
      </c>
      <c r="AX160" s="46" t="str">
        <f aca="false">IF(AT160="","",AT160+ROW()/100000)</f>
        <v/>
      </c>
    </row>
    <row r="161" customFormat="false" ht="15" hidden="false" customHeight="false" outlineLevel="0" collapsed="false">
      <c r="A161" s="9" t="str">
        <f aca="false">IF(B161="","",ROW()-5)</f>
        <v/>
      </c>
      <c r="B161" s="40"/>
      <c r="C161" s="8"/>
      <c r="D161" s="9" t="str">
        <f aca="false">IF(B161="","",IF(J161="","Active","Exited"))</f>
        <v/>
      </c>
      <c r="E161" s="8"/>
      <c r="F161" s="8"/>
      <c r="G161" s="8"/>
      <c r="H161" s="9" t="str">
        <f aca="false">IF(OR(B161="",I161=""),"",IF(IF(J161="",AsOf,J161)-I161&gt;=Settings!$C$13,"Permanent","Probation"))</f>
        <v/>
      </c>
      <c r="I161" s="41"/>
      <c r="J161" s="41"/>
      <c r="K161" s="8"/>
      <c r="L161" s="42" t="str">
        <f aca="false">IF(OR(B161="",I161=""),"",ROUND((IF(J161="",AsOf,J161)-I161)/365.25,1))</f>
        <v/>
      </c>
      <c r="M161" s="8"/>
      <c r="N161" s="8"/>
      <c r="O161" s="8"/>
      <c r="P161" s="8"/>
      <c r="Q161" s="41"/>
      <c r="R161" s="43" t="str">
        <f aca="false">IF(OR(B161="",Q161=""),"",INT((AsOf-Q161)/365.25))</f>
        <v/>
      </c>
      <c r="S161" s="8"/>
      <c r="T161" s="40"/>
      <c r="U161" s="40"/>
      <c r="V161" s="40"/>
      <c r="W161" s="40"/>
      <c r="X161" s="8"/>
      <c r="Y161" s="8"/>
      <c r="Z161" s="8"/>
      <c r="AA161" s="8"/>
      <c r="AB161" s="8"/>
      <c r="AC161" s="8"/>
      <c r="AD161" s="8"/>
      <c r="AE161" s="40"/>
      <c r="AF161" s="8"/>
      <c r="AG161" s="40"/>
      <c r="AH161" s="40"/>
      <c r="AI161" s="8"/>
      <c r="AJ161" s="40"/>
      <c r="AK161" s="40"/>
      <c r="AL161" s="40"/>
      <c r="AM161" s="44"/>
      <c r="AN161" s="44"/>
      <c r="AO161" s="41"/>
      <c r="AP161" s="45" t="str">
        <f aca="false">IF(B161="","",IF(AND(ISNUMBER(AM161),ISNUMBER(AN161),AM161&gt;0,AN161&gt;0),AN161/AM161-1,""))</f>
        <v/>
      </c>
      <c r="AQ161" s="9" t="str">
        <f aca="false">IF(I161="","",(YEAR(I161)-IF(MONTH(I161)&lt;4,1,0))&amp;"-"&amp;RIGHT((YEAR(I161)-IF(MONTH(I161)&lt;4,1,0))+1,2))</f>
        <v/>
      </c>
      <c r="AR161" s="9" t="str">
        <f aca="false">IF(J161="","",(YEAR(J161)-IF(MONTH(J161)&lt;4,1,0))&amp;"-"&amp;RIGHT((YEAR(J161)-IF(MONTH(J161)&lt;4,1,0))+1,2))</f>
        <v/>
      </c>
      <c r="AS161" s="43" t="str">
        <f aca="false">IF(OR(B161="",Q161="",D161&lt;&gt;"Active"),"",DATE(YEAR(AsOf)+IF(DATE(YEAR(AsOf),MONTH(Q161),DAY(Q161))&lt;AsOf,1,0),MONTH(Q161),DAY(Q161))-AsOf)</f>
        <v/>
      </c>
      <c r="AT161" s="43" t="str">
        <f aca="false">IF(OR(B161="",I161="",D161&lt;&gt;"Active"),"",IF(YEAR(DATE(YEAR(AsOf)+IF(DATE(YEAR(AsOf),MONTH(I161),DAY(I161))&lt;AsOf,1,0),MONTH(I161),DAY(I161)))-YEAR(I161)&lt;1,"",DATE(YEAR(AsOf)+IF(DATE(YEAR(AsOf),MONTH(I161),DAY(I161))&lt;AsOf,1,0),MONTH(I161),DAY(I161))-AsOf))</f>
        <v/>
      </c>
      <c r="AU161" s="43" t="str">
        <f aca="false">IF(B161="","",IF(AV161="",0,LEN(AV161)-LEN(SUBSTITUTE(AV161,";",""))))</f>
        <v/>
      </c>
      <c r="AV161" s="9" t="str">
        <f aca="false">IF(B161="","",IF(COUNTIF($B$6:$B$505,B161)&gt;1,"Duplicate Emp Code; ","")&amp;IF(C161="","Name missing; ","")&amp;IF(I161="","DOJ missing; ","")&amp;IF(AND(J161&lt;&gt;"",I161&lt;&gt;"",J161&lt;I161),"Exit before DOJ; ","")&amp;IF(Q161="","DOB missing; ","")&amp;IF(T161="","Aadhaar missing; ",IF(LEN(T161)&lt;&gt;12,"Aadhaar not 12 digits; ",IF(COUNTIF($T$6:$T$505,T161)&gt;1,"Duplicate Aadhaar; ","")))&amp;IF(U161="","PAN missing; ",IF(LEN(U161)&lt;&gt;10,"PAN not 10 chars; ",""))&amp;IF(V161="","Mobile missing; ",IF(LEN(V161)&lt;&gt;10,"Mobile not 10 digits; ",""))&amp;IF(AG161="","Bank A/c missing; ","")&amp;IF(AH161="","IFSC missing; ",IF(LEN(AH161)&lt;&gt;11,"IFSC not 11 chars; ","")))</f>
        <v/>
      </c>
      <c r="AW161" s="46" t="str">
        <f aca="false">IF(AS161="","",AS161+ROW()/100000)</f>
        <v/>
      </c>
      <c r="AX161" s="46" t="str">
        <f aca="false">IF(AT161="","",AT161+ROW()/100000)</f>
        <v/>
      </c>
    </row>
    <row r="162" customFormat="false" ht="15" hidden="false" customHeight="false" outlineLevel="0" collapsed="false">
      <c r="A162" s="9" t="str">
        <f aca="false">IF(B162="","",ROW()-5)</f>
        <v/>
      </c>
      <c r="B162" s="40"/>
      <c r="C162" s="8"/>
      <c r="D162" s="9" t="str">
        <f aca="false">IF(B162="","",IF(J162="","Active","Exited"))</f>
        <v/>
      </c>
      <c r="E162" s="8"/>
      <c r="F162" s="8"/>
      <c r="G162" s="8"/>
      <c r="H162" s="9" t="str">
        <f aca="false">IF(OR(B162="",I162=""),"",IF(IF(J162="",AsOf,J162)-I162&gt;=Settings!$C$13,"Permanent","Probation"))</f>
        <v/>
      </c>
      <c r="I162" s="41"/>
      <c r="J162" s="41"/>
      <c r="K162" s="8"/>
      <c r="L162" s="42" t="str">
        <f aca="false">IF(OR(B162="",I162=""),"",ROUND((IF(J162="",AsOf,J162)-I162)/365.25,1))</f>
        <v/>
      </c>
      <c r="M162" s="8"/>
      <c r="N162" s="8"/>
      <c r="O162" s="8"/>
      <c r="P162" s="8"/>
      <c r="Q162" s="41"/>
      <c r="R162" s="43" t="str">
        <f aca="false">IF(OR(B162="",Q162=""),"",INT((AsOf-Q162)/365.25))</f>
        <v/>
      </c>
      <c r="S162" s="8"/>
      <c r="T162" s="40"/>
      <c r="U162" s="40"/>
      <c r="V162" s="40"/>
      <c r="W162" s="40"/>
      <c r="X162" s="8"/>
      <c r="Y162" s="8"/>
      <c r="Z162" s="8"/>
      <c r="AA162" s="8"/>
      <c r="AB162" s="8"/>
      <c r="AC162" s="8"/>
      <c r="AD162" s="8"/>
      <c r="AE162" s="40"/>
      <c r="AF162" s="8"/>
      <c r="AG162" s="40"/>
      <c r="AH162" s="40"/>
      <c r="AI162" s="8"/>
      <c r="AJ162" s="40"/>
      <c r="AK162" s="40"/>
      <c r="AL162" s="40"/>
      <c r="AM162" s="44"/>
      <c r="AN162" s="44"/>
      <c r="AO162" s="41"/>
      <c r="AP162" s="45" t="str">
        <f aca="false">IF(B162="","",IF(AND(ISNUMBER(AM162),ISNUMBER(AN162),AM162&gt;0,AN162&gt;0),AN162/AM162-1,""))</f>
        <v/>
      </c>
      <c r="AQ162" s="9" t="str">
        <f aca="false">IF(I162="","",(YEAR(I162)-IF(MONTH(I162)&lt;4,1,0))&amp;"-"&amp;RIGHT((YEAR(I162)-IF(MONTH(I162)&lt;4,1,0))+1,2))</f>
        <v/>
      </c>
      <c r="AR162" s="9" t="str">
        <f aca="false">IF(J162="","",(YEAR(J162)-IF(MONTH(J162)&lt;4,1,0))&amp;"-"&amp;RIGHT((YEAR(J162)-IF(MONTH(J162)&lt;4,1,0))+1,2))</f>
        <v/>
      </c>
      <c r="AS162" s="43" t="str">
        <f aca="false">IF(OR(B162="",Q162="",D162&lt;&gt;"Active"),"",DATE(YEAR(AsOf)+IF(DATE(YEAR(AsOf),MONTH(Q162),DAY(Q162))&lt;AsOf,1,0),MONTH(Q162),DAY(Q162))-AsOf)</f>
        <v/>
      </c>
      <c r="AT162" s="43" t="str">
        <f aca="false">IF(OR(B162="",I162="",D162&lt;&gt;"Active"),"",IF(YEAR(DATE(YEAR(AsOf)+IF(DATE(YEAR(AsOf),MONTH(I162),DAY(I162))&lt;AsOf,1,0),MONTH(I162),DAY(I162)))-YEAR(I162)&lt;1,"",DATE(YEAR(AsOf)+IF(DATE(YEAR(AsOf),MONTH(I162),DAY(I162))&lt;AsOf,1,0),MONTH(I162),DAY(I162))-AsOf))</f>
        <v/>
      </c>
      <c r="AU162" s="43" t="str">
        <f aca="false">IF(B162="","",IF(AV162="",0,LEN(AV162)-LEN(SUBSTITUTE(AV162,";",""))))</f>
        <v/>
      </c>
      <c r="AV162" s="9" t="str">
        <f aca="false">IF(B162="","",IF(COUNTIF($B$6:$B$505,B162)&gt;1,"Duplicate Emp Code; ","")&amp;IF(C162="","Name missing; ","")&amp;IF(I162="","DOJ missing; ","")&amp;IF(AND(J162&lt;&gt;"",I162&lt;&gt;"",J162&lt;I162),"Exit before DOJ; ","")&amp;IF(Q162="","DOB missing; ","")&amp;IF(T162="","Aadhaar missing; ",IF(LEN(T162)&lt;&gt;12,"Aadhaar not 12 digits; ",IF(COUNTIF($T$6:$T$505,T162)&gt;1,"Duplicate Aadhaar; ","")))&amp;IF(U162="","PAN missing; ",IF(LEN(U162)&lt;&gt;10,"PAN not 10 chars; ",""))&amp;IF(V162="","Mobile missing; ",IF(LEN(V162)&lt;&gt;10,"Mobile not 10 digits; ",""))&amp;IF(AG162="","Bank A/c missing; ","")&amp;IF(AH162="","IFSC missing; ",IF(LEN(AH162)&lt;&gt;11,"IFSC not 11 chars; ","")))</f>
        <v/>
      </c>
      <c r="AW162" s="46" t="str">
        <f aca="false">IF(AS162="","",AS162+ROW()/100000)</f>
        <v/>
      </c>
      <c r="AX162" s="46" t="str">
        <f aca="false">IF(AT162="","",AT162+ROW()/100000)</f>
        <v/>
      </c>
    </row>
    <row r="163" customFormat="false" ht="15" hidden="false" customHeight="false" outlineLevel="0" collapsed="false">
      <c r="A163" s="9" t="str">
        <f aca="false">IF(B163="","",ROW()-5)</f>
        <v/>
      </c>
      <c r="B163" s="40"/>
      <c r="C163" s="8"/>
      <c r="D163" s="9" t="str">
        <f aca="false">IF(B163="","",IF(J163="","Active","Exited"))</f>
        <v/>
      </c>
      <c r="E163" s="8"/>
      <c r="F163" s="8"/>
      <c r="G163" s="8"/>
      <c r="H163" s="9" t="str">
        <f aca="false">IF(OR(B163="",I163=""),"",IF(IF(J163="",AsOf,J163)-I163&gt;=Settings!$C$13,"Permanent","Probation"))</f>
        <v/>
      </c>
      <c r="I163" s="41"/>
      <c r="J163" s="41"/>
      <c r="K163" s="8"/>
      <c r="L163" s="42" t="str">
        <f aca="false">IF(OR(B163="",I163=""),"",ROUND((IF(J163="",AsOf,J163)-I163)/365.25,1))</f>
        <v/>
      </c>
      <c r="M163" s="8"/>
      <c r="N163" s="8"/>
      <c r="O163" s="8"/>
      <c r="P163" s="8"/>
      <c r="Q163" s="41"/>
      <c r="R163" s="43" t="str">
        <f aca="false">IF(OR(B163="",Q163=""),"",INT((AsOf-Q163)/365.25))</f>
        <v/>
      </c>
      <c r="S163" s="8"/>
      <c r="T163" s="40"/>
      <c r="U163" s="40"/>
      <c r="V163" s="40"/>
      <c r="W163" s="40"/>
      <c r="X163" s="8"/>
      <c r="Y163" s="8"/>
      <c r="Z163" s="8"/>
      <c r="AA163" s="8"/>
      <c r="AB163" s="8"/>
      <c r="AC163" s="8"/>
      <c r="AD163" s="8"/>
      <c r="AE163" s="40"/>
      <c r="AF163" s="8"/>
      <c r="AG163" s="40"/>
      <c r="AH163" s="40"/>
      <c r="AI163" s="8"/>
      <c r="AJ163" s="40"/>
      <c r="AK163" s="40"/>
      <c r="AL163" s="40"/>
      <c r="AM163" s="44"/>
      <c r="AN163" s="44"/>
      <c r="AO163" s="41"/>
      <c r="AP163" s="45" t="str">
        <f aca="false">IF(B163="","",IF(AND(ISNUMBER(AM163),ISNUMBER(AN163),AM163&gt;0,AN163&gt;0),AN163/AM163-1,""))</f>
        <v/>
      </c>
      <c r="AQ163" s="9" t="str">
        <f aca="false">IF(I163="","",(YEAR(I163)-IF(MONTH(I163)&lt;4,1,0))&amp;"-"&amp;RIGHT((YEAR(I163)-IF(MONTH(I163)&lt;4,1,0))+1,2))</f>
        <v/>
      </c>
      <c r="AR163" s="9" t="str">
        <f aca="false">IF(J163="","",(YEAR(J163)-IF(MONTH(J163)&lt;4,1,0))&amp;"-"&amp;RIGHT((YEAR(J163)-IF(MONTH(J163)&lt;4,1,0))+1,2))</f>
        <v/>
      </c>
      <c r="AS163" s="43" t="str">
        <f aca="false">IF(OR(B163="",Q163="",D163&lt;&gt;"Active"),"",DATE(YEAR(AsOf)+IF(DATE(YEAR(AsOf),MONTH(Q163),DAY(Q163))&lt;AsOf,1,0),MONTH(Q163),DAY(Q163))-AsOf)</f>
        <v/>
      </c>
      <c r="AT163" s="43" t="str">
        <f aca="false">IF(OR(B163="",I163="",D163&lt;&gt;"Active"),"",IF(YEAR(DATE(YEAR(AsOf)+IF(DATE(YEAR(AsOf),MONTH(I163),DAY(I163))&lt;AsOf,1,0),MONTH(I163),DAY(I163)))-YEAR(I163)&lt;1,"",DATE(YEAR(AsOf)+IF(DATE(YEAR(AsOf),MONTH(I163),DAY(I163))&lt;AsOf,1,0),MONTH(I163),DAY(I163))-AsOf))</f>
        <v/>
      </c>
      <c r="AU163" s="43" t="str">
        <f aca="false">IF(B163="","",IF(AV163="",0,LEN(AV163)-LEN(SUBSTITUTE(AV163,";",""))))</f>
        <v/>
      </c>
      <c r="AV163" s="9" t="str">
        <f aca="false">IF(B163="","",IF(COUNTIF($B$6:$B$505,B163)&gt;1,"Duplicate Emp Code; ","")&amp;IF(C163="","Name missing; ","")&amp;IF(I163="","DOJ missing; ","")&amp;IF(AND(J163&lt;&gt;"",I163&lt;&gt;"",J163&lt;I163),"Exit before DOJ; ","")&amp;IF(Q163="","DOB missing; ","")&amp;IF(T163="","Aadhaar missing; ",IF(LEN(T163)&lt;&gt;12,"Aadhaar not 12 digits; ",IF(COUNTIF($T$6:$T$505,T163)&gt;1,"Duplicate Aadhaar; ","")))&amp;IF(U163="","PAN missing; ",IF(LEN(U163)&lt;&gt;10,"PAN not 10 chars; ",""))&amp;IF(V163="","Mobile missing; ",IF(LEN(V163)&lt;&gt;10,"Mobile not 10 digits; ",""))&amp;IF(AG163="","Bank A/c missing; ","")&amp;IF(AH163="","IFSC missing; ",IF(LEN(AH163)&lt;&gt;11,"IFSC not 11 chars; ","")))</f>
        <v/>
      </c>
      <c r="AW163" s="46" t="str">
        <f aca="false">IF(AS163="","",AS163+ROW()/100000)</f>
        <v/>
      </c>
      <c r="AX163" s="46" t="str">
        <f aca="false">IF(AT163="","",AT163+ROW()/100000)</f>
        <v/>
      </c>
    </row>
    <row r="164" customFormat="false" ht="15" hidden="false" customHeight="false" outlineLevel="0" collapsed="false">
      <c r="A164" s="9" t="str">
        <f aca="false">IF(B164="","",ROW()-5)</f>
        <v/>
      </c>
      <c r="B164" s="40"/>
      <c r="C164" s="8"/>
      <c r="D164" s="9" t="str">
        <f aca="false">IF(B164="","",IF(J164="","Active","Exited"))</f>
        <v/>
      </c>
      <c r="E164" s="8"/>
      <c r="F164" s="8"/>
      <c r="G164" s="8"/>
      <c r="H164" s="9" t="str">
        <f aca="false">IF(OR(B164="",I164=""),"",IF(IF(J164="",AsOf,J164)-I164&gt;=Settings!$C$13,"Permanent","Probation"))</f>
        <v/>
      </c>
      <c r="I164" s="41"/>
      <c r="J164" s="41"/>
      <c r="K164" s="8"/>
      <c r="L164" s="42" t="str">
        <f aca="false">IF(OR(B164="",I164=""),"",ROUND((IF(J164="",AsOf,J164)-I164)/365.25,1))</f>
        <v/>
      </c>
      <c r="M164" s="8"/>
      <c r="N164" s="8"/>
      <c r="O164" s="8"/>
      <c r="P164" s="8"/>
      <c r="Q164" s="41"/>
      <c r="R164" s="43" t="str">
        <f aca="false">IF(OR(B164="",Q164=""),"",INT((AsOf-Q164)/365.25))</f>
        <v/>
      </c>
      <c r="S164" s="8"/>
      <c r="T164" s="40"/>
      <c r="U164" s="40"/>
      <c r="V164" s="40"/>
      <c r="W164" s="40"/>
      <c r="X164" s="8"/>
      <c r="Y164" s="8"/>
      <c r="Z164" s="8"/>
      <c r="AA164" s="8"/>
      <c r="AB164" s="8"/>
      <c r="AC164" s="8"/>
      <c r="AD164" s="8"/>
      <c r="AE164" s="40"/>
      <c r="AF164" s="8"/>
      <c r="AG164" s="40"/>
      <c r="AH164" s="40"/>
      <c r="AI164" s="8"/>
      <c r="AJ164" s="40"/>
      <c r="AK164" s="40"/>
      <c r="AL164" s="40"/>
      <c r="AM164" s="44"/>
      <c r="AN164" s="44"/>
      <c r="AO164" s="41"/>
      <c r="AP164" s="45" t="str">
        <f aca="false">IF(B164="","",IF(AND(ISNUMBER(AM164),ISNUMBER(AN164),AM164&gt;0,AN164&gt;0),AN164/AM164-1,""))</f>
        <v/>
      </c>
      <c r="AQ164" s="9" t="str">
        <f aca="false">IF(I164="","",(YEAR(I164)-IF(MONTH(I164)&lt;4,1,0))&amp;"-"&amp;RIGHT((YEAR(I164)-IF(MONTH(I164)&lt;4,1,0))+1,2))</f>
        <v/>
      </c>
      <c r="AR164" s="9" t="str">
        <f aca="false">IF(J164="","",(YEAR(J164)-IF(MONTH(J164)&lt;4,1,0))&amp;"-"&amp;RIGHT((YEAR(J164)-IF(MONTH(J164)&lt;4,1,0))+1,2))</f>
        <v/>
      </c>
      <c r="AS164" s="43" t="str">
        <f aca="false">IF(OR(B164="",Q164="",D164&lt;&gt;"Active"),"",DATE(YEAR(AsOf)+IF(DATE(YEAR(AsOf),MONTH(Q164),DAY(Q164))&lt;AsOf,1,0),MONTH(Q164),DAY(Q164))-AsOf)</f>
        <v/>
      </c>
      <c r="AT164" s="43" t="str">
        <f aca="false">IF(OR(B164="",I164="",D164&lt;&gt;"Active"),"",IF(YEAR(DATE(YEAR(AsOf)+IF(DATE(YEAR(AsOf),MONTH(I164),DAY(I164))&lt;AsOf,1,0),MONTH(I164),DAY(I164)))-YEAR(I164)&lt;1,"",DATE(YEAR(AsOf)+IF(DATE(YEAR(AsOf),MONTH(I164),DAY(I164))&lt;AsOf,1,0),MONTH(I164),DAY(I164))-AsOf))</f>
        <v/>
      </c>
      <c r="AU164" s="43" t="str">
        <f aca="false">IF(B164="","",IF(AV164="",0,LEN(AV164)-LEN(SUBSTITUTE(AV164,";",""))))</f>
        <v/>
      </c>
      <c r="AV164" s="9" t="str">
        <f aca="false">IF(B164="","",IF(COUNTIF($B$6:$B$505,B164)&gt;1,"Duplicate Emp Code; ","")&amp;IF(C164="","Name missing; ","")&amp;IF(I164="","DOJ missing; ","")&amp;IF(AND(J164&lt;&gt;"",I164&lt;&gt;"",J164&lt;I164),"Exit before DOJ; ","")&amp;IF(Q164="","DOB missing; ","")&amp;IF(T164="","Aadhaar missing; ",IF(LEN(T164)&lt;&gt;12,"Aadhaar not 12 digits; ",IF(COUNTIF($T$6:$T$505,T164)&gt;1,"Duplicate Aadhaar; ","")))&amp;IF(U164="","PAN missing; ",IF(LEN(U164)&lt;&gt;10,"PAN not 10 chars; ",""))&amp;IF(V164="","Mobile missing; ",IF(LEN(V164)&lt;&gt;10,"Mobile not 10 digits; ",""))&amp;IF(AG164="","Bank A/c missing; ","")&amp;IF(AH164="","IFSC missing; ",IF(LEN(AH164)&lt;&gt;11,"IFSC not 11 chars; ","")))</f>
        <v/>
      </c>
      <c r="AW164" s="46" t="str">
        <f aca="false">IF(AS164="","",AS164+ROW()/100000)</f>
        <v/>
      </c>
      <c r="AX164" s="46" t="str">
        <f aca="false">IF(AT164="","",AT164+ROW()/100000)</f>
        <v/>
      </c>
    </row>
    <row r="165" customFormat="false" ht="15" hidden="false" customHeight="false" outlineLevel="0" collapsed="false">
      <c r="A165" s="9" t="str">
        <f aca="false">IF(B165="","",ROW()-5)</f>
        <v/>
      </c>
      <c r="B165" s="40"/>
      <c r="C165" s="8"/>
      <c r="D165" s="9" t="str">
        <f aca="false">IF(B165="","",IF(J165="","Active","Exited"))</f>
        <v/>
      </c>
      <c r="E165" s="8"/>
      <c r="F165" s="8"/>
      <c r="G165" s="8"/>
      <c r="H165" s="9" t="str">
        <f aca="false">IF(OR(B165="",I165=""),"",IF(IF(J165="",AsOf,J165)-I165&gt;=Settings!$C$13,"Permanent","Probation"))</f>
        <v/>
      </c>
      <c r="I165" s="41"/>
      <c r="J165" s="41"/>
      <c r="K165" s="8"/>
      <c r="L165" s="42" t="str">
        <f aca="false">IF(OR(B165="",I165=""),"",ROUND((IF(J165="",AsOf,J165)-I165)/365.25,1))</f>
        <v/>
      </c>
      <c r="M165" s="8"/>
      <c r="N165" s="8"/>
      <c r="O165" s="8"/>
      <c r="P165" s="8"/>
      <c r="Q165" s="41"/>
      <c r="R165" s="43" t="str">
        <f aca="false">IF(OR(B165="",Q165=""),"",INT((AsOf-Q165)/365.25))</f>
        <v/>
      </c>
      <c r="S165" s="8"/>
      <c r="T165" s="40"/>
      <c r="U165" s="40"/>
      <c r="V165" s="40"/>
      <c r="W165" s="40"/>
      <c r="X165" s="8"/>
      <c r="Y165" s="8"/>
      <c r="Z165" s="8"/>
      <c r="AA165" s="8"/>
      <c r="AB165" s="8"/>
      <c r="AC165" s="8"/>
      <c r="AD165" s="8"/>
      <c r="AE165" s="40"/>
      <c r="AF165" s="8"/>
      <c r="AG165" s="40"/>
      <c r="AH165" s="40"/>
      <c r="AI165" s="8"/>
      <c r="AJ165" s="40"/>
      <c r="AK165" s="40"/>
      <c r="AL165" s="40"/>
      <c r="AM165" s="44"/>
      <c r="AN165" s="44"/>
      <c r="AO165" s="41"/>
      <c r="AP165" s="45" t="str">
        <f aca="false">IF(B165="","",IF(AND(ISNUMBER(AM165),ISNUMBER(AN165),AM165&gt;0,AN165&gt;0),AN165/AM165-1,""))</f>
        <v/>
      </c>
      <c r="AQ165" s="9" t="str">
        <f aca="false">IF(I165="","",(YEAR(I165)-IF(MONTH(I165)&lt;4,1,0))&amp;"-"&amp;RIGHT((YEAR(I165)-IF(MONTH(I165)&lt;4,1,0))+1,2))</f>
        <v/>
      </c>
      <c r="AR165" s="9" t="str">
        <f aca="false">IF(J165="","",(YEAR(J165)-IF(MONTH(J165)&lt;4,1,0))&amp;"-"&amp;RIGHT((YEAR(J165)-IF(MONTH(J165)&lt;4,1,0))+1,2))</f>
        <v/>
      </c>
      <c r="AS165" s="43" t="str">
        <f aca="false">IF(OR(B165="",Q165="",D165&lt;&gt;"Active"),"",DATE(YEAR(AsOf)+IF(DATE(YEAR(AsOf),MONTH(Q165),DAY(Q165))&lt;AsOf,1,0),MONTH(Q165),DAY(Q165))-AsOf)</f>
        <v/>
      </c>
      <c r="AT165" s="43" t="str">
        <f aca="false">IF(OR(B165="",I165="",D165&lt;&gt;"Active"),"",IF(YEAR(DATE(YEAR(AsOf)+IF(DATE(YEAR(AsOf),MONTH(I165),DAY(I165))&lt;AsOf,1,0),MONTH(I165),DAY(I165)))-YEAR(I165)&lt;1,"",DATE(YEAR(AsOf)+IF(DATE(YEAR(AsOf),MONTH(I165),DAY(I165))&lt;AsOf,1,0),MONTH(I165),DAY(I165))-AsOf))</f>
        <v/>
      </c>
      <c r="AU165" s="43" t="str">
        <f aca="false">IF(B165="","",IF(AV165="",0,LEN(AV165)-LEN(SUBSTITUTE(AV165,";",""))))</f>
        <v/>
      </c>
      <c r="AV165" s="9" t="str">
        <f aca="false">IF(B165="","",IF(COUNTIF($B$6:$B$505,B165)&gt;1,"Duplicate Emp Code; ","")&amp;IF(C165="","Name missing; ","")&amp;IF(I165="","DOJ missing; ","")&amp;IF(AND(J165&lt;&gt;"",I165&lt;&gt;"",J165&lt;I165),"Exit before DOJ; ","")&amp;IF(Q165="","DOB missing; ","")&amp;IF(T165="","Aadhaar missing; ",IF(LEN(T165)&lt;&gt;12,"Aadhaar not 12 digits; ",IF(COUNTIF($T$6:$T$505,T165)&gt;1,"Duplicate Aadhaar; ","")))&amp;IF(U165="","PAN missing; ",IF(LEN(U165)&lt;&gt;10,"PAN not 10 chars; ",""))&amp;IF(V165="","Mobile missing; ",IF(LEN(V165)&lt;&gt;10,"Mobile not 10 digits; ",""))&amp;IF(AG165="","Bank A/c missing; ","")&amp;IF(AH165="","IFSC missing; ",IF(LEN(AH165)&lt;&gt;11,"IFSC not 11 chars; ","")))</f>
        <v/>
      </c>
      <c r="AW165" s="46" t="str">
        <f aca="false">IF(AS165="","",AS165+ROW()/100000)</f>
        <v/>
      </c>
      <c r="AX165" s="46" t="str">
        <f aca="false">IF(AT165="","",AT165+ROW()/100000)</f>
        <v/>
      </c>
    </row>
    <row r="166" customFormat="false" ht="15" hidden="false" customHeight="false" outlineLevel="0" collapsed="false">
      <c r="A166" s="9" t="str">
        <f aca="false">IF(B166="","",ROW()-5)</f>
        <v/>
      </c>
      <c r="B166" s="40"/>
      <c r="C166" s="8"/>
      <c r="D166" s="9" t="str">
        <f aca="false">IF(B166="","",IF(J166="","Active","Exited"))</f>
        <v/>
      </c>
      <c r="E166" s="8"/>
      <c r="F166" s="8"/>
      <c r="G166" s="8"/>
      <c r="H166" s="9" t="str">
        <f aca="false">IF(OR(B166="",I166=""),"",IF(IF(J166="",AsOf,J166)-I166&gt;=Settings!$C$13,"Permanent","Probation"))</f>
        <v/>
      </c>
      <c r="I166" s="41"/>
      <c r="J166" s="41"/>
      <c r="K166" s="8"/>
      <c r="L166" s="42" t="str">
        <f aca="false">IF(OR(B166="",I166=""),"",ROUND((IF(J166="",AsOf,J166)-I166)/365.25,1))</f>
        <v/>
      </c>
      <c r="M166" s="8"/>
      <c r="N166" s="8"/>
      <c r="O166" s="8"/>
      <c r="P166" s="8"/>
      <c r="Q166" s="41"/>
      <c r="R166" s="43" t="str">
        <f aca="false">IF(OR(B166="",Q166=""),"",INT((AsOf-Q166)/365.25))</f>
        <v/>
      </c>
      <c r="S166" s="8"/>
      <c r="T166" s="40"/>
      <c r="U166" s="40"/>
      <c r="V166" s="40"/>
      <c r="W166" s="40"/>
      <c r="X166" s="8"/>
      <c r="Y166" s="8"/>
      <c r="Z166" s="8"/>
      <c r="AA166" s="8"/>
      <c r="AB166" s="8"/>
      <c r="AC166" s="8"/>
      <c r="AD166" s="8"/>
      <c r="AE166" s="40"/>
      <c r="AF166" s="8"/>
      <c r="AG166" s="40"/>
      <c r="AH166" s="40"/>
      <c r="AI166" s="8"/>
      <c r="AJ166" s="40"/>
      <c r="AK166" s="40"/>
      <c r="AL166" s="40"/>
      <c r="AM166" s="44"/>
      <c r="AN166" s="44"/>
      <c r="AO166" s="41"/>
      <c r="AP166" s="45" t="str">
        <f aca="false">IF(B166="","",IF(AND(ISNUMBER(AM166),ISNUMBER(AN166),AM166&gt;0,AN166&gt;0),AN166/AM166-1,""))</f>
        <v/>
      </c>
      <c r="AQ166" s="9" t="str">
        <f aca="false">IF(I166="","",(YEAR(I166)-IF(MONTH(I166)&lt;4,1,0))&amp;"-"&amp;RIGHT((YEAR(I166)-IF(MONTH(I166)&lt;4,1,0))+1,2))</f>
        <v/>
      </c>
      <c r="AR166" s="9" t="str">
        <f aca="false">IF(J166="","",(YEAR(J166)-IF(MONTH(J166)&lt;4,1,0))&amp;"-"&amp;RIGHT((YEAR(J166)-IF(MONTH(J166)&lt;4,1,0))+1,2))</f>
        <v/>
      </c>
      <c r="AS166" s="43" t="str">
        <f aca="false">IF(OR(B166="",Q166="",D166&lt;&gt;"Active"),"",DATE(YEAR(AsOf)+IF(DATE(YEAR(AsOf),MONTH(Q166),DAY(Q166))&lt;AsOf,1,0),MONTH(Q166),DAY(Q166))-AsOf)</f>
        <v/>
      </c>
      <c r="AT166" s="43" t="str">
        <f aca="false">IF(OR(B166="",I166="",D166&lt;&gt;"Active"),"",IF(YEAR(DATE(YEAR(AsOf)+IF(DATE(YEAR(AsOf),MONTH(I166),DAY(I166))&lt;AsOf,1,0),MONTH(I166),DAY(I166)))-YEAR(I166)&lt;1,"",DATE(YEAR(AsOf)+IF(DATE(YEAR(AsOf),MONTH(I166),DAY(I166))&lt;AsOf,1,0),MONTH(I166),DAY(I166))-AsOf))</f>
        <v/>
      </c>
      <c r="AU166" s="43" t="str">
        <f aca="false">IF(B166="","",IF(AV166="",0,LEN(AV166)-LEN(SUBSTITUTE(AV166,";",""))))</f>
        <v/>
      </c>
      <c r="AV166" s="9" t="str">
        <f aca="false">IF(B166="","",IF(COUNTIF($B$6:$B$505,B166)&gt;1,"Duplicate Emp Code; ","")&amp;IF(C166="","Name missing; ","")&amp;IF(I166="","DOJ missing; ","")&amp;IF(AND(J166&lt;&gt;"",I166&lt;&gt;"",J166&lt;I166),"Exit before DOJ; ","")&amp;IF(Q166="","DOB missing; ","")&amp;IF(T166="","Aadhaar missing; ",IF(LEN(T166)&lt;&gt;12,"Aadhaar not 12 digits; ",IF(COUNTIF($T$6:$T$505,T166)&gt;1,"Duplicate Aadhaar; ","")))&amp;IF(U166="","PAN missing; ",IF(LEN(U166)&lt;&gt;10,"PAN not 10 chars; ",""))&amp;IF(V166="","Mobile missing; ",IF(LEN(V166)&lt;&gt;10,"Mobile not 10 digits; ",""))&amp;IF(AG166="","Bank A/c missing; ","")&amp;IF(AH166="","IFSC missing; ",IF(LEN(AH166)&lt;&gt;11,"IFSC not 11 chars; ","")))</f>
        <v/>
      </c>
      <c r="AW166" s="46" t="str">
        <f aca="false">IF(AS166="","",AS166+ROW()/100000)</f>
        <v/>
      </c>
      <c r="AX166" s="46" t="str">
        <f aca="false">IF(AT166="","",AT166+ROW()/100000)</f>
        <v/>
      </c>
    </row>
    <row r="167" customFormat="false" ht="15" hidden="false" customHeight="false" outlineLevel="0" collapsed="false">
      <c r="A167" s="9" t="str">
        <f aca="false">IF(B167="","",ROW()-5)</f>
        <v/>
      </c>
      <c r="B167" s="40"/>
      <c r="C167" s="8"/>
      <c r="D167" s="9" t="str">
        <f aca="false">IF(B167="","",IF(J167="","Active","Exited"))</f>
        <v/>
      </c>
      <c r="E167" s="8"/>
      <c r="F167" s="8"/>
      <c r="G167" s="8"/>
      <c r="H167" s="9" t="str">
        <f aca="false">IF(OR(B167="",I167=""),"",IF(IF(J167="",AsOf,J167)-I167&gt;=Settings!$C$13,"Permanent","Probation"))</f>
        <v/>
      </c>
      <c r="I167" s="41"/>
      <c r="J167" s="41"/>
      <c r="K167" s="8"/>
      <c r="L167" s="42" t="str">
        <f aca="false">IF(OR(B167="",I167=""),"",ROUND((IF(J167="",AsOf,J167)-I167)/365.25,1))</f>
        <v/>
      </c>
      <c r="M167" s="8"/>
      <c r="N167" s="8"/>
      <c r="O167" s="8"/>
      <c r="P167" s="8"/>
      <c r="Q167" s="41"/>
      <c r="R167" s="43" t="str">
        <f aca="false">IF(OR(B167="",Q167=""),"",INT((AsOf-Q167)/365.25))</f>
        <v/>
      </c>
      <c r="S167" s="8"/>
      <c r="T167" s="40"/>
      <c r="U167" s="40"/>
      <c r="V167" s="40"/>
      <c r="W167" s="40"/>
      <c r="X167" s="8"/>
      <c r="Y167" s="8"/>
      <c r="Z167" s="8"/>
      <c r="AA167" s="8"/>
      <c r="AB167" s="8"/>
      <c r="AC167" s="8"/>
      <c r="AD167" s="8"/>
      <c r="AE167" s="40"/>
      <c r="AF167" s="8"/>
      <c r="AG167" s="40"/>
      <c r="AH167" s="40"/>
      <c r="AI167" s="8"/>
      <c r="AJ167" s="40"/>
      <c r="AK167" s="40"/>
      <c r="AL167" s="40"/>
      <c r="AM167" s="44"/>
      <c r="AN167" s="44"/>
      <c r="AO167" s="41"/>
      <c r="AP167" s="45" t="str">
        <f aca="false">IF(B167="","",IF(AND(ISNUMBER(AM167),ISNUMBER(AN167),AM167&gt;0,AN167&gt;0),AN167/AM167-1,""))</f>
        <v/>
      </c>
      <c r="AQ167" s="9" t="str">
        <f aca="false">IF(I167="","",(YEAR(I167)-IF(MONTH(I167)&lt;4,1,0))&amp;"-"&amp;RIGHT((YEAR(I167)-IF(MONTH(I167)&lt;4,1,0))+1,2))</f>
        <v/>
      </c>
      <c r="AR167" s="9" t="str">
        <f aca="false">IF(J167="","",(YEAR(J167)-IF(MONTH(J167)&lt;4,1,0))&amp;"-"&amp;RIGHT((YEAR(J167)-IF(MONTH(J167)&lt;4,1,0))+1,2))</f>
        <v/>
      </c>
      <c r="AS167" s="43" t="str">
        <f aca="false">IF(OR(B167="",Q167="",D167&lt;&gt;"Active"),"",DATE(YEAR(AsOf)+IF(DATE(YEAR(AsOf),MONTH(Q167),DAY(Q167))&lt;AsOf,1,0),MONTH(Q167),DAY(Q167))-AsOf)</f>
        <v/>
      </c>
      <c r="AT167" s="43" t="str">
        <f aca="false">IF(OR(B167="",I167="",D167&lt;&gt;"Active"),"",IF(YEAR(DATE(YEAR(AsOf)+IF(DATE(YEAR(AsOf),MONTH(I167),DAY(I167))&lt;AsOf,1,0),MONTH(I167),DAY(I167)))-YEAR(I167)&lt;1,"",DATE(YEAR(AsOf)+IF(DATE(YEAR(AsOf),MONTH(I167),DAY(I167))&lt;AsOf,1,0),MONTH(I167),DAY(I167))-AsOf))</f>
        <v/>
      </c>
      <c r="AU167" s="43" t="str">
        <f aca="false">IF(B167="","",IF(AV167="",0,LEN(AV167)-LEN(SUBSTITUTE(AV167,";",""))))</f>
        <v/>
      </c>
      <c r="AV167" s="9" t="str">
        <f aca="false">IF(B167="","",IF(COUNTIF($B$6:$B$505,B167)&gt;1,"Duplicate Emp Code; ","")&amp;IF(C167="","Name missing; ","")&amp;IF(I167="","DOJ missing; ","")&amp;IF(AND(J167&lt;&gt;"",I167&lt;&gt;"",J167&lt;I167),"Exit before DOJ; ","")&amp;IF(Q167="","DOB missing; ","")&amp;IF(T167="","Aadhaar missing; ",IF(LEN(T167)&lt;&gt;12,"Aadhaar not 12 digits; ",IF(COUNTIF($T$6:$T$505,T167)&gt;1,"Duplicate Aadhaar; ","")))&amp;IF(U167="","PAN missing; ",IF(LEN(U167)&lt;&gt;10,"PAN not 10 chars; ",""))&amp;IF(V167="","Mobile missing; ",IF(LEN(V167)&lt;&gt;10,"Mobile not 10 digits; ",""))&amp;IF(AG167="","Bank A/c missing; ","")&amp;IF(AH167="","IFSC missing; ",IF(LEN(AH167)&lt;&gt;11,"IFSC not 11 chars; ","")))</f>
        <v/>
      </c>
      <c r="AW167" s="46" t="str">
        <f aca="false">IF(AS167="","",AS167+ROW()/100000)</f>
        <v/>
      </c>
      <c r="AX167" s="46" t="str">
        <f aca="false">IF(AT167="","",AT167+ROW()/100000)</f>
        <v/>
      </c>
    </row>
    <row r="168" customFormat="false" ht="15" hidden="false" customHeight="false" outlineLevel="0" collapsed="false">
      <c r="A168" s="9" t="str">
        <f aca="false">IF(B168="","",ROW()-5)</f>
        <v/>
      </c>
      <c r="B168" s="40"/>
      <c r="C168" s="8"/>
      <c r="D168" s="9" t="str">
        <f aca="false">IF(B168="","",IF(J168="","Active","Exited"))</f>
        <v/>
      </c>
      <c r="E168" s="8"/>
      <c r="F168" s="8"/>
      <c r="G168" s="8"/>
      <c r="H168" s="9" t="str">
        <f aca="false">IF(OR(B168="",I168=""),"",IF(IF(J168="",AsOf,J168)-I168&gt;=Settings!$C$13,"Permanent","Probation"))</f>
        <v/>
      </c>
      <c r="I168" s="41"/>
      <c r="J168" s="41"/>
      <c r="K168" s="8"/>
      <c r="L168" s="42" t="str">
        <f aca="false">IF(OR(B168="",I168=""),"",ROUND((IF(J168="",AsOf,J168)-I168)/365.25,1))</f>
        <v/>
      </c>
      <c r="M168" s="8"/>
      <c r="N168" s="8"/>
      <c r="O168" s="8"/>
      <c r="P168" s="8"/>
      <c r="Q168" s="41"/>
      <c r="R168" s="43" t="str">
        <f aca="false">IF(OR(B168="",Q168=""),"",INT((AsOf-Q168)/365.25))</f>
        <v/>
      </c>
      <c r="S168" s="8"/>
      <c r="T168" s="40"/>
      <c r="U168" s="40"/>
      <c r="V168" s="40"/>
      <c r="W168" s="40"/>
      <c r="X168" s="8"/>
      <c r="Y168" s="8"/>
      <c r="Z168" s="8"/>
      <c r="AA168" s="8"/>
      <c r="AB168" s="8"/>
      <c r="AC168" s="8"/>
      <c r="AD168" s="8"/>
      <c r="AE168" s="40"/>
      <c r="AF168" s="8"/>
      <c r="AG168" s="40"/>
      <c r="AH168" s="40"/>
      <c r="AI168" s="8"/>
      <c r="AJ168" s="40"/>
      <c r="AK168" s="40"/>
      <c r="AL168" s="40"/>
      <c r="AM168" s="44"/>
      <c r="AN168" s="44"/>
      <c r="AO168" s="41"/>
      <c r="AP168" s="45" t="str">
        <f aca="false">IF(B168="","",IF(AND(ISNUMBER(AM168),ISNUMBER(AN168),AM168&gt;0,AN168&gt;0),AN168/AM168-1,""))</f>
        <v/>
      </c>
      <c r="AQ168" s="9" t="str">
        <f aca="false">IF(I168="","",(YEAR(I168)-IF(MONTH(I168)&lt;4,1,0))&amp;"-"&amp;RIGHT((YEAR(I168)-IF(MONTH(I168)&lt;4,1,0))+1,2))</f>
        <v/>
      </c>
      <c r="AR168" s="9" t="str">
        <f aca="false">IF(J168="","",(YEAR(J168)-IF(MONTH(J168)&lt;4,1,0))&amp;"-"&amp;RIGHT((YEAR(J168)-IF(MONTH(J168)&lt;4,1,0))+1,2))</f>
        <v/>
      </c>
      <c r="AS168" s="43" t="str">
        <f aca="false">IF(OR(B168="",Q168="",D168&lt;&gt;"Active"),"",DATE(YEAR(AsOf)+IF(DATE(YEAR(AsOf),MONTH(Q168),DAY(Q168))&lt;AsOf,1,0),MONTH(Q168),DAY(Q168))-AsOf)</f>
        <v/>
      </c>
      <c r="AT168" s="43" t="str">
        <f aca="false">IF(OR(B168="",I168="",D168&lt;&gt;"Active"),"",IF(YEAR(DATE(YEAR(AsOf)+IF(DATE(YEAR(AsOf),MONTH(I168),DAY(I168))&lt;AsOf,1,0),MONTH(I168),DAY(I168)))-YEAR(I168)&lt;1,"",DATE(YEAR(AsOf)+IF(DATE(YEAR(AsOf),MONTH(I168),DAY(I168))&lt;AsOf,1,0),MONTH(I168),DAY(I168))-AsOf))</f>
        <v/>
      </c>
      <c r="AU168" s="43" t="str">
        <f aca="false">IF(B168="","",IF(AV168="",0,LEN(AV168)-LEN(SUBSTITUTE(AV168,";",""))))</f>
        <v/>
      </c>
      <c r="AV168" s="9" t="str">
        <f aca="false">IF(B168="","",IF(COUNTIF($B$6:$B$505,B168)&gt;1,"Duplicate Emp Code; ","")&amp;IF(C168="","Name missing; ","")&amp;IF(I168="","DOJ missing; ","")&amp;IF(AND(J168&lt;&gt;"",I168&lt;&gt;"",J168&lt;I168),"Exit before DOJ; ","")&amp;IF(Q168="","DOB missing; ","")&amp;IF(T168="","Aadhaar missing; ",IF(LEN(T168)&lt;&gt;12,"Aadhaar not 12 digits; ",IF(COUNTIF($T$6:$T$505,T168)&gt;1,"Duplicate Aadhaar; ","")))&amp;IF(U168="","PAN missing; ",IF(LEN(U168)&lt;&gt;10,"PAN not 10 chars; ",""))&amp;IF(V168="","Mobile missing; ",IF(LEN(V168)&lt;&gt;10,"Mobile not 10 digits; ",""))&amp;IF(AG168="","Bank A/c missing; ","")&amp;IF(AH168="","IFSC missing; ",IF(LEN(AH168)&lt;&gt;11,"IFSC not 11 chars; ","")))</f>
        <v/>
      </c>
      <c r="AW168" s="46" t="str">
        <f aca="false">IF(AS168="","",AS168+ROW()/100000)</f>
        <v/>
      </c>
      <c r="AX168" s="46" t="str">
        <f aca="false">IF(AT168="","",AT168+ROW()/100000)</f>
        <v/>
      </c>
    </row>
    <row r="169" customFormat="false" ht="15" hidden="false" customHeight="false" outlineLevel="0" collapsed="false">
      <c r="A169" s="9" t="str">
        <f aca="false">IF(B169="","",ROW()-5)</f>
        <v/>
      </c>
      <c r="B169" s="40"/>
      <c r="C169" s="8"/>
      <c r="D169" s="9" t="str">
        <f aca="false">IF(B169="","",IF(J169="","Active","Exited"))</f>
        <v/>
      </c>
      <c r="E169" s="8"/>
      <c r="F169" s="8"/>
      <c r="G169" s="8"/>
      <c r="H169" s="9" t="str">
        <f aca="false">IF(OR(B169="",I169=""),"",IF(IF(J169="",AsOf,J169)-I169&gt;=Settings!$C$13,"Permanent","Probation"))</f>
        <v/>
      </c>
      <c r="I169" s="41"/>
      <c r="J169" s="41"/>
      <c r="K169" s="8"/>
      <c r="L169" s="42" t="str">
        <f aca="false">IF(OR(B169="",I169=""),"",ROUND((IF(J169="",AsOf,J169)-I169)/365.25,1))</f>
        <v/>
      </c>
      <c r="M169" s="8"/>
      <c r="N169" s="8"/>
      <c r="O169" s="8"/>
      <c r="P169" s="8"/>
      <c r="Q169" s="41"/>
      <c r="R169" s="43" t="str">
        <f aca="false">IF(OR(B169="",Q169=""),"",INT((AsOf-Q169)/365.25))</f>
        <v/>
      </c>
      <c r="S169" s="8"/>
      <c r="T169" s="40"/>
      <c r="U169" s="40"/>
      <c r="V169" s="40"/>
      <c r="W169" s="40"/>
      <c r="X169" s="8"/>
      <c r="Y169" s="8"/>
      <c r="Z169" s="8"/>
      <c r="AA169" s="8"/>
      <c r="AB169" s="8"/>
      <c r="AC169" s="8"/>
      <c r="AD169" s="8"/>
      <c r="AE169" s="40"/>
      <c r="AF169" s="8"/>
      <c r="AG169" s="40"/>
      <c r="AH169" s="40"/>
      <c r="AI169" s="8"/>
      <c r="AJ169" s="40"/>
      <c r="AK169" s="40"/>
      <c r="AL169" s="40"/>
      <c r="AM169" s="44"/>
      <c r="AN169" s="44"/>
      <c r="AO169" s="41"/>
      <c r="AP169" s="45" t="str">
        <f aca="false">IF(B169="","",IF(AND(ISNUMBER(AM169),ISNUMBER(AN169),AM169&gt;0,AN169&gt;0),AN169/AM169-1,""))</f>
        <v/>
      </c>
      <c r="AQ169" s="9" t="str">
        <f aca="false">IF(I169="","",(YEAR(I169)-IF(MONTH(I169)&lt;4,1,0))&amp;"-"&amp;RIGHT((YEAR(I169)-IF(MONTH(I169)&lt;4,1,0))+1,2))</f>
        <v/>
      </c>
      <c r="AR169" s="9" t="str">
        <f aca="false">IF(J169="","",(YEAR(J169)-IF(MONTH(J169)&lt;4,1,0))&amp;"-"&amp;RIGHT((YEAR(J169)-IF(MONTH(J169)&lt;4,1,0))+1,2))</f>
        <v/>
      </c>
      <c r="AS169" s="43" t="str">
        <f aca="false">IF(OR(B169="",Q169="",D169&lt;&gt;"Active"),"",DATE(YEAR(AsOf)+IF(DATE(YEAR(AsOf),MONTH(Q169),DAY(Q169))&lt;AsOf,1,0),MONTH(Q169),DAY(Q169))-AsOf)</f>
        <v/>
      </c>
      <c r="AT169" s="43" t="str">
        <f aca="false">IF(OR(B169="",I169="",D169&lt;&gt;"Active"),"",IF(YEAR(DATE(YEAR(AsOf)+IF(DATE(YEAR(AsOf),MONTH(I169),DAY(I169))&lt;AsOf,1,0),MONTH(I169),DAY(I169)))-YEAR(I169)&lt;1,"",DATE(YEAR(AsOf)+IF(DATE(YEAR(AsOf),MONTH(I169),DAY(I169))&lt;AsOf,1,0),MONTH(I169),DAY(I169))-AsOf))</f>
        <v/>
      </c>
      <c r="AU169" s="43" t="str">
        <f aca="false">IF(B169="","",IF(AV169="",0,LEN(AV169)-LEN(SUBSTITUTE(AV169,";",""))))</f>
        <v/>
      </c>
      <c r="AV169" s="9" t="str">
        <f aca="false">IF(B169="","",IF(COUNTIF($B$6:$B$505,B169)&gt;1,"Duplicate Emp Code; ","")&amp;IF(C169="","Name missing; ","")&amp;IF(I169="","DOJ missing; ","")&amp;IF(AND(J169&lt;&gt;"",I169&lt;&gt;"",J169&lt;I169),"Exit before DOJ; ","")&amp;IF(Q169="","DOB missing; ","")&amp;IF(T169="","Aadhaar missing; ",IF(LEN(T169)&lt;&gt;12,"Aadhaar not 12 digits; ",IF(COUNTIF($T$6:$T$505,T169)&gt;1,"Duplicate Aadhaar; ","")))&amp;IF(U169="","PAN missing; ",IF(LEN(U169)&lt;&gt;10,"PAN not 10 chars; ",""))&amp;IF(V169="","Mobile missing; ",IF(LEN(V169)&lt;&gt;10,"Mobile not 10 digits; ",""))&amp;IF(AG169="","Bank A/c missing; ","")&amp;IF(AH169="","IFSC missing; ",IF(LEN(AH169)&lt;&gt;11,"IFSC not 11 chars; ","")))</f>
        <v/>
      </c>
      <c r="AW169" s="46" t="str">
        <f aca="false">IF(AS169="","",AS169+ROW()/100000)</f>
        <v/>
      </c>
      <c r="AX169" s="46" t="str">
        <f aca="false">IF(AT169="","",AT169+ROW()/100000)</f>
        <v/>
      </c>
    </row>
    <row r="170" customFormat="false" ht="15" hidden="false" customHeight="false" outlineLevel="0" collapsed="false">
      <c r="A170" s="9" t="str">
        <f aca="false">IF(B170="","",ROW()-5)</f>
        <v/>
      </c>
      <c r="B170" s="40"/>
      <c r="C170" s="8"/>
      <c r="D170" s="9" t="str">
        <f aca="false">IF(B170="","",IF(J170="","Active","Exited"))</f>
        <v/>
      </c>
      <c r="E170" s="8"/>
      <c r="F170" s="8"/>
      <c r="G170" s="8"/>
      <c r="H170" s="9" t="str">
        <f aca="false">IF(OR(B170="",I170=""),"",IF(IF(J170="",AsOf,J170)-I170&gt;=Settings!$C$13,"Permanent","Probation"))</f>
        <v/>
      </c>
      <c r="I170" s="41"/>
      <c r="J170" s="41"/>
      <c r="K170" s="8"/>
      <c r="L170" s="42" t="str">
        <f aca="false">IF(OR(B170="",I170=""),"",ROUND((IF(J170="",AsOf,J170)-I170)/365.25,1))</f>
        <v/>
      </c>
      <c r="M170" s="8"/>
      <c r="N170" s="8"/>
      <c r="O170" s="8"/>
      <c r="P170" s="8"/>
      <c r="Q170" s="41"/>
      <c r="R170" s="43" t="str">
        <f aca="false">IF(OR(B170="",Q170=""),"",INT((AsOf-Q170)/365.25))</f>
        <v/>
      </c>
      <c r="S170" s="8"/>
      <c r="T170" s="40"/>
      <c r="U170" s="40"/>
      <c r="V170" s="40"/>
      <c r="W170" s="40"/>
      <c r="X170" s="8"/>
      <c r="Y170" s="8"/>
      <c r="Z170" s="8"/>
      <c r="AA170" s="8"/>
      <c r="AB170" s="8"/>
      <c r="AC170" s="8"/>
      <c r="AD170" s="8"/>
      <c r="AE170" s="40"/>
      <c r="AF170" s="8"/>
      <c r="AG170" s="40"/>
      <c r="AH170" s="40"/>
      <c r="AI170" s="8"/>
      <c r="AJ170" s="40"/>
      <c r="AK170" s="40"/>
      <c r="AL170" s="40"/>
      <c r="AM170" s="44"/>
      <c r="AN170" s="44"/>
      <c r="AO170" s="41"/>
      <c r="AP170" s="45" t="str">
        <f aca="false">IF(B170="","",IF(AND(ISNUMBER(AM170),ISNUMBER(AN170),AM170&gt;0,AN170&gt;0),AN170/AM170-1,""))</f>
        <v/>
      </c>
      <c r="AQ170" s="9" t="str">
        <f aca="false">IF(I170="","",(YEAR(I170)-IF(MONTH(I170)&lt;4,1,0))&amp;"-"&amp;RIGHT((YEAR(I170)-IF(MONTH(I170)&lt;4,1,0))+1,2))</f>
        <v/>
      </c>
      <c r="AR170" s="9" t="str">
        <f aca="false">IF(J170="","",(YEAR(J170)-IF(MONTH(J170)&lt;4,1,0))&amp;"-"&amp;RIGHT((YEAR(J170)-IF(MONTH(J170)&lt;4,1,0))+1,2))</f>
        <v/>
      </c>
      <c r="AS170" s="43" t="str">
        <f aca="false">IF(OR(B170="",Q170="",D170&lt;&gt;"Active"),"",DATE(YEAR(AsOf)+IF(DATE(YEAR(AsOf),MONTH(Q170),DAY(Q170))&lt;AsOf,1,0),MONTH(Q170),DAY(Q170))-AsOf)</f>
        <v/>
      </c>
      <c r="AT170" s="43" t="str">
        <f aca="false">IF(OR(B170="",I170="",D170&lt;&gt;"Active"),"",IF(YEAR(DATE(YEAR(AsOf)+IF(DATE(YEAR(AsOf),MONTH(I170),DAY(I170))&lt;AsOf,1,0),MONTH(I170),DAY(I170)))-YEAR(I170)&lt;1,"",DATE(YEAR(AsOf)+IF(DATE(YEAR(AsOf),MONTH(I170),DAY(I170))&lt;AsOf,1,0),MONTH(I170),DAY(I170))-AsOf))</f>
        <v/>
      </c>
      <c r="AU170" s="43" t="str">
        <f aca="false">IF(B170="","",IF(AV170="",0,LEN(AV170)-LEN(SUBSTITUTE(AV170,";",""))))</f>
        <v/>
      </c>
      <c r="AV170" s="9" t="str">
        <f aca="false">IF(B170="","",IF(COUNTIF($B$6:$B$505,B170)&gt;1,"Duplicate Emp Code; ","")&amp;IF(C170="","Name missing; ","")&amp;IF(I170="","DOJ missing; ","")&amp;IF(AND(J170&lt;&gt;"",I170&lt;&gt;"",J170&lt;I170),"Exit before DOJ; ","")&amp;IF(Q170="","DOB missing; ","")&amp;IF(T170="","Aadhaar missing; ",IF(LEN(T170)&lt;&gt;12,"Aadhaar not 12 digits; ",IF(COUNTIF($T$6:$T$505,T170)&gt;1,"Duplicate Aadhaar; ","")))&amp;IF(U170="","PAN missing; ",IF(LEN(U170)&lt;&gt;10,"PAN not 10 chars; ",""))&amp;IF(V170="","Mobile missing; ",IF(LEN(V170)&lt;&gt;10,"Mobile not 10 digits; ",""))&amp;IF(AG170="","Bank A/c missing; ","")&amp;IF(AH170="","IFSC missing; ",IF(LEN(AH170)&lt;&gt;11,"IFSC not 11 chars; ","")))</f>
        <v/>
      </c>
      <c r="AW170" s="46" t="str">
        <f aca="false">IF(AS170="","",AS170+ROW()/100000)</f>
        <v/>
      </c>
      <c r="AX170" s="46" t="str">
        <f aca="false">IF(AT170="","",AT170+ROW()/100000)</f>
        <v/>
      </c>
    </row>
    <row r="171" customFormat="false" ht="15" hidden="false" customHeight="false" outlineLevel="0" collapsed="false">
      <c r="A171" s="9" t="str">
        <f aca="false">IF(B171="","",ROW()-5)</f>
        <v/>
      </c>
      <c r="B171" s="40"/>
      <c r="C171" s="8"/>
      <c r="D171" s="9" t="str">
        <f aca="false">IF(B171="","",IF(J171="","Active","Exited"))</f>
        <v/>
      </c>
      <c r="E171" s="8"/>
      <c r="F171" s="8"/>
      <c r="G171" s="8"/>
      <c r="H171" s="9" t="str">
        <f aca="false">IF(OR(B171="",I171=""),"",IF(IF(J171="",AsOf,J171)-I171&gt;=Settings!$C$13,"Permanent","Probation"))</f>
        <v/>
      </c>
      <c r="I171" s="41"/>
      <c r="J171" s="41"/>
      <c r="K171" s="8"/>
      <c r="L171" s="42" t="str">
        <f aca="false">IF(OR(B171="",I171=""),"",ROUND((IF(J171="",AsOf,J171)-I171)/365.25,1))</f>
        <v/>
      </c>
      <c r="M171" s="8"/>
      <c r="N171" s="8"/>
      <c r="O171" s="8"/>
      <c r="P171" s="8"/>
      <c r="Q171" s="41"/>
      <c r="R171" s="43" t="str">
        <f aca="false">IF(OR(B171="",Q171=""),"",INT((AsOf-Q171)/365.25))</f>
        <v/>
      </c>
      <c r="S171" s="8"/>
      <c r="T171" s="40"/>
      <c r="U171" s="40"/>
      <c r="V171" s="40"/>
      <c r="W171" s="40"/>
      <c r="X171" s="8"/>
      <c r="Y171" s="8"/>
      <c r="Z171" s="8"/>
      <c r="AA171" s="8"/>
      <c r="AB171" s="8"/>
      <c r="AC171" s="8"/>
      <c r="AD171" s="8"/>
      <c r="AE171" s="40"/>
      <c r="AF171" s="8"/>
      <c r="AG171" s="40"/>
      <c r="AH171" s="40"/>
      <c r="AI171" s="8"/>
      <c r="AJ171" s="40"/>
      <c r="AK171" s="40"/>
      <c r="AL171" s="40"/>
      <c r="AM171" s="44"/>
      <c r="AN171" s="44"/>
      <c r="AO171" s="41"/>
      <c r="AP171" s="45" t="str">
        <f aca="false">IF(B171="","",IF(AND(ISNUMBER(AM171),ISNUMBER(AN171),AM171&gt;0,AN171&gt;0),AN171/AM171-1,""))</f>
        <v/>
      </c>
      <c r="AQ171" s="9" t="str">
        <f aca="false">IF(I171="","",(YEAR(I171)-IF(MONTH(I171)&lt;4,1,0))&amp;"-"&amp;RIGHT((YEAR(I171)-IF(MONTH(I171)&lt;4,1,0))+1,2))</f>
        <v/>
      </c>
      <c r="AR171" s="9" t="str">
        <f aca="false">IF(J171="","",(YEAR(J171)-IF(MONTH(J171)&lt;4,1,0))&amp;"-"&amp;RIGHT((YEAR(J171)-IF(MONTH(J171)&lt;4,1,0))+1,2))</f>
        <v/>
      </c>
      <c r="AS171" s="43" t="str">
        <f aca="false">IF(OR(B171="",Q171="",D171&lt;&gt;"Active"),"",DATE(YEAR(AsOf)+IF(DATE(YEAR(AsOf),MONTH(Q171),DAY(Q171))&lt;AsOf,1,0),MONTH(Q171),DAY(Q171))-AsOf)</f>
        <v/>
      </c>
      <c r="AT171" s="43" t="str">
        <f aca="false">IF(OR(B171="",I171="",D171&lt;&gt;"Active"),"",IF(YEAR(DATE(YEAR(AsOf)+IF(DATE(YEAR(AsOf),MONTH(I171),DAY(I171))&lt;AsOf,1,0),MONTH(I171),DAY(I171)))-YEAR(I171)&lt;1,"",DATE(YEAR(AsOf)+IF(DATE(YEAR(AsOf),MONTH(I171),DAY(I171))&lt;AsOf,1,0),MONTH(I171),DAY(I171))-AsOf))</f>
        <v/>
      </c>
      <c r="AU171" s="43" t="str">
        <f aca="false">IF(B171="","",IF(AV171="",0,LEN(AV171)-LEN(SUBSTITUTE(AV171,";",""))))</f>
        <v/>
      </c>
      <c r="AV171" s="9" t="str">
        <f aca="false">IF(B171="","",IF(COUNTIF($B$6:$B$505,B171)&gt;1,"Duplicate Emp Code; ","")&amp;IF(C171="","Name missing; ","")&amp;IF(I171="","DOJ missing; ","")&amp;IF(AND(J171&lt;&gt;"",I171&lt;&gt;"",J171&lt;I171),"Exit before DOJ; ","")&amp;IF(Q171="","DOB missing; ","")&amp;IF(T171="","Aadhaar missing; ",IF(LEN(T171)&lt;&gt;12,"Aadhaar not 12 digits; ",IF(COUNTIF($T$6:$T$505,T171)&gt;1,"Duplicate Aadhaar; ","")))&amp;IF(U171="","PAN missing; ",IF(LEN(U171)&lt;&gt;10,"PAN not 10 chars; ",""))&amp;IF(V171="","Mobile missing; ",IF(LEN(V171)&lt;&gt;10,"Mobile not 10 digits; ",""))&amp;IF(AG171="","Bank A/c missing; ","")&amp;IF(AH171="","IFSC missing; ",IF(LEN(AH171)&lt;&gt;11,"IFSC not 11 chars; ","")))</f>
        <v/>
      </c>
      <c r="AW171" s="46" t="str">
        <f aca="false">IF(AS171="","",AS171+ROW()/100000)</f>
        <v/>
      </c>
      <c r="AX171" s="46" t="str">
        <f aca="false">IF(AT171="","",AT171+ROW()/100000)</f>
        <v/>
      </c>
    </row>
    <row r="172" customFormat="false" ht="15" hidden="false" customHeight="false" outlineLevel="0" collapsed="false">
      <c r="A172" s="9" t="str">
        <f aca="false">IF(B172="","",ROW()-5)</f>
        <v/>
      </c>
      <c r="B172" s="40"/>
      <c r="C172" s="8"/>
      <c r="D172" s="9" t="str">
        <f aca="false">IF(B172="","",IF(J172="","Active","Exited"))</f>
        <v/>
      </c>
      <c r="E172" s="8"/>
      <c r="F172" s="8"/>
      <c r="G172" s="8"/>
      <c r="H172" s="9" t="str">
        <f aca="false">IF(OR(B172="",I172=""),"",IF(IF(J172="",AsOf,J172)-I172&gt;=Settings!$C$13,"Permanent","Probation"))</f>
        <v/>
      </c>
      <c r="I172" s="41"/>
      <c r="J172" s="41"/>
      <c r="K172" s="8"/>
      <c r="L172" s="42" t="str">
        <f aca="false">IF(OR(B172="",I172=""),"",ROUND((IF(J172="",AsOf,J172)-I172)/365.25,1))</f>
        <v/>
      </c>
      <c r="M172" s="8"/>
      <c r="N172" s="8"/>
      <c r="O172" s="8"/>
      <c r="P172" s="8"/>
      <c r="Q172" s="41"/>
      <c r="R172" s="43" t="str">
        <f aca="false">IF(OR(B172="",Q172=""),"",INT((AsOf-Q172)/365.25))</f>
        <v/>
      </c>
      <c r="S172" s="8"/>
      <c r="T172" s="40"/>
      <c r="U172" s="40"/>
      <c r="V172" s="40"/>
      <c r="W172" s="40"/>
      <c r="X172" s="8"/>
      <c r="Y172" s="8"/>
      <c r="Z172" s="8"/>
      <c r="AA172" s="8"/>
      <c r="AB172" s="8"/>
      <c r="AC172" s="8"/>
      <c r="AD172" s="8"/>
      <c r="AE172" s="40"/>
      <c r="AF172" s="8"/>
      <c r="AG172" s="40"/>
      <c r="AH172" s="40"/>
      <c r="AI172" s="8"/>
      <c r="AJ172" s="40"/>
      <c r="AK172" s="40"/>
      <c r="AL172" s="40"/>
      <c r="AM172" s="44"/>
      <c r="AN172" s="44"/>
      <c r="AO172" s="41"/>
      <c r="AP172" s="45" t="str">
        <f aca="false">IF(B172="","",IF(AND(ISNUMBER(AM172),ISNUMBER(AN172),AM172&gt;0,AN172&gt;0),AN172/AM172-1,""))</f>
        <v/>
      </c>
      <c r="AQ172" s="9" t="str">
        <f aca="false">IF(I172="","",(YEAR(I172)-IF(MONTH(I172)&lt;4,1,0))&amp;"-"&amp;RIGHT((YEAR(I172)-IF(MONTH(I172)&lt;4,1,0))+1,2))</f>
        <v/>
      </c>
      <c r="AR172" s="9" t="str">
        <f aca="false">IF(J172="","",(YEAR(J172)-IF(MONTH(J172)&lt;4,1,0))&amp;"-"&amp;RIGHT((YEAR(J172)-IF(MONTH(J172)&lt;4,1,0))+1,2))</f>
        <v/>
      </c>
      <c r="AS172" s="43" t="str">
        <f aca="false">IF(OR(B172="",Q172="",D172&lt;&gt;"Active"),"",DATE(YEAR(AsOf)+IF(DATE(YEAR(AsOf),MONTH(Q172),DAY(Q172))&lt;AsOf,1,0),MONTH(Q172),DAY(Q172))-AsOf)</f>
        <v/>
      </c>
      <c r="AT172" s="43" t="str">
        <f aca="false">IF(OR(B172="",I172="",D172&lt;&gt;"Active"),"",IF(YEAR(DATE(YEAR(AsOf)+IF(DATE(YEAR(AsOf),MONTH(I172),DAY(I172))&lt;AsOf,1,0),MONTH(I172),DAY(I172)))-YEAR(I172)&lt;1,"",DATE(YEAR(AsOf)+IF(DATE(YEAR(AsOf),MONTH(I172),DAY(I172))&lt;AsOf,1,0),MONTH(I172),DAY(I172))-AsOf))</f>
        <v/>
      </c>
      <c r="AU172" s="43" t="str">
        <f aca="false">IF(B172="","",IF(AV172="",0,LEN(AV172)-LEN(SUBSTITUTE(AV172,";",""))))</f>
        <v/>
      </c>
      <c r="AV172" s="9" t="str">
        <f aca="false">IF(B172="","",IF(COUNTIF($B$6:$B$505,B172)&gt;1,"Duplicate Emp Code; ","")&amp;IF(C172="","Name missing; ","")&amp;IF(I172="","DOJ missing; ","")&amp;IF(AND(J172&lt;&gt;"",I172&lt;&gt;"",J172&lt;I172),"Exit before DOJ; ","")&amp;IF(Q172="","DOB missing; ","")&amp;IF(T172="","Aadhaar missing; ",IF(LEN(T172)&lt;&gt;12,"Aadhaar not 12 digits; ",IF(COUNTIF($T$6:$T$505,T172)&gt;1,"Duplicate Aadhaar; ","")))&amp;IF(U172="","PAN missing; ",IF(LEN(U172)&lt;&gt;10,"PAN not 10 chars; ",""))&amp;IF(V172="","Mobile missing; ",IF(LEN(V172)&lt;&gt;10,"Mobile not 10 digits; ",""))&amp;IF(AG172="","Bank A/c missing; ","")&amp;IF(AH172="","IFSC missing; ",IF(LEN(AH172)&lt;&gt;11,"IFSC not 11 chars; ","")))</f>
        <v/>
      </c>
      <c r="AW172" s="46" t="str">
        <f aca="false">IF(AS172="","",AS172+ROW()/100000)</f>
        <v/>
      </c>
      <c r="AX172" s="46" t="str">
        <f aca="false">IF(AT172="","",AT172+ROW()/100000)</f>
        <v/>
      </c>
    </row>
    <row r="173" customFormat="false" ht="15" hidden="false" customHeight="false" outlineLevel="0" collapsed="false">
      <c r="A173" s="9" t="str">
        <f aca="false">IF(B173="","",ROW()-5)</f>
        <v/>
      </c>
      <c r="B173" s="40"/>
      <c r="C173" s="8"/>
      <c r="D173" s="9" t="str">
        <f aca="false">IF(B173="","",IF(J173="","Active","Exited"))</f>
        <v/>
      </c>
      <c r="E173" s="8"/>
      <c r="F173" s="8"/>
      <c r="G173" s="8"/>
      <c r="H173" s="9" t="str">
        <f aca="false">IF(OR(B173="",I173=""),"",IF(IF(J173="",AsOf,J173)-I173&gt;=Settings!$C$13,"Permanent","Probation"))</f>
        <v/>
      </c>
      <c r="I173" s="41"/>
      <c r="J173" s="41"/>
      <c r="K173" s="8"/>
      <c r="L173" s="42" t="str">
        <f aca="false">IF(OR(B173="",I173=""),"",ROUND((IF(J173="",AsOf,J173)-I173)/365.25,1))</f>
        <v/>
      </c>
      <c r="M173" s="8"/>
      <c r="N173" s="8"/>
      <c r="O173" s="8"/>
      <c r="P173" s="8"/>
      <c r="Q173" s="41"/>
      <c r="R173" s="43" t="str">
        <f aca="false">IF(OR(B173="",Q173=""),"",INT((AsOf-Q173)/365.25))</f>
        <v/>
      </c>
      <c r="S173" s="8"/>
      <c r="T173" s="40"/>
      <c r="U173" s="40"/>
      <c r="V173" s="40"/>
      <c r="W173" s="40"/>
      <c r="X173" s="8"/>
      <c r="Y173" s="8"/>
      <c r="Z173" s="8"/>
      <c r="AA173" s="8"/>
      <c r="AB173" s="8"/>
      <c r="AC173" s="8"/>
      <c r="AD173" s="8"/>
      <c r="AE173" s="40"/>
      <c r="AF173" s="8"/>
      <c r="AG173" s="40"/>
      <c r="AH173" s="40"/>
      <c r="AI173" s="8"/>
      <c r="AJ173" s="40"/>
      <c r="AK173" s="40"/>
      <c r="AL173" s="40"/>
      <c r="AM173" s="44"/>
      <c r="AN173" s="44"/>
      <c r="AO173" s="41"/>
      <c r="AP173" s="45" t="str">
        <f aca="false">IF(B173="","",IF(AND(ISNUMBER(AM173),ISNUMBER(AN173),AM173&gt;0,AN173&gt;0),AN173/AM173-1,""))</f>
        <v/>
      </c>
      <c r="AQ173" s="9" t="str">
        <f aca="false">IF(I173="","",(YEAR(I173)-IF(MONTH(I173)&lt;4,1,0))&amp;"-"&amp;RIGHT((YEAR(I173)-IF(MONTH(I173)&lt;4,1,0))+1,2))</f>
        <v/>
      </c>
      <c r="AR173" s="9" t="str">
        <f aca="false">IF(J173="","",(YEAR(J173)-IF(MONTH(J173)&lt;4,1,0))&amp;"-"&amp;RIGHT((YEAR(J173)-IF(MONTH(J173)&lt;4,1,0))+1,2))</f>
        <v/>
      </c>
      <c r="AS173" s="43" t="str">
        <f aca="false">IF(OR(B173="",Q173="",D173&lt;&gt;"Active"),"",DATE(YEAR(AsOf)+IF(DATE(YEAR(AsOf),MONTH(Q173),DAY(Q173))&lt;AsOf,1,0),MONTH(Q173),DAY(Q173))-AsOf)</f>
        <v/>
      </c>
      <c r="AT173" s="43" t="str">
        <f aca="false">IF(OR(B173="",I173="",D173&lt;&gt;"Active"),"",IF(YEAR(DATE(YEAR(AsOf)+IF(DATE(YEAR(AsOf),MONTH(I173),DAY(I173))&lt;AsOf,1,0),MONTH(I173),DAY(I173)))-YEAR(I173)&lt;1,"",DATE(YEAR(AsOf)+IF(DATE(YEAR(AsOf),MONTH(I173),DAY(I173))&lt;AsOf,1,0),MONTH(I173),DAY(I173))-AsOf))</f>
        <v/>
      </c>
      <c r="AU173" s="43" t="str">
        <f aca="false">IF(B173="","",IF(AV173="",0,LEN(AV173)-LEN(SUBSTITUTE(AV173,";",""))))</f>
        <v/>
      </c>
      <c r="AV173" s="9" t="str">
        <f aca="false">IF(B173="","",IF(COUNTIF($B$6:$B$505,B173)&gt;1,"Duplicate Emp Code; ","")&amp;IF(C173="","Name missing; ","")&amp;IF(I173="","DOJ missing; ","")&amp;IF(AND(J173&lt;&gt;"",I173&lt;&gt;"",J173&lt;I173),"Exit before DOJ; ","")&amp;IF(Q173="","DOB missing; ","")&amp;IF(T173="","Aadhaar missing; ",IF(LEN(T173)&lt;&gt;12,"Aadhaar not 12 digits; ",IF(COUNTIF($T$6:$T$505,T173)&gt;1,"Duplicate Aadhaar; ","")))&amp;IF(U173="","PAN missing; ",IF(LEN(U173)&lt;&gt;10,"PAN not 10 chars; ",""))&amp;IF(V173="","Mobile missing; ",IF(LEN(V173)&lt;&gt;10,"Mobile not 10 digits; ",""))&amp;IF(AG173="","Bank A/c missing; ","")&amp;IF(AH173="","IFSC missing; ",IF(LEN(AH173)&lt;&gt;11,"IFSC not 11 chars; ","")))</f>
        <v/>
      </c>
      <c r="AW173" s="46" t="str">
        <f aca="false">IF(AS173="","",AS173+ROW()/100000)</f>
        <v/>
      </c>
      <c r="AX173" s="46" t="str">
        <f aca="false">IF(AT173="","",AT173+ROW()/100000)</f>
        <v/>
      </c>
    </row>
    <row r="174" customFormat="false" ht="15" hidden="false" customHeight="false" outlineLevel="0" collapsed="false">
      <c r="A174" s="9" t="str">
        <f aca="false">IF(B174="","",ROW()-5)</f>
        <v/>
      </c>
      <c r="B174" s="40"/>
      <c r="C174" s="8"/>
      <c r="D174" s="9" t="str">
        <f aca="false">IF(B174="","",IF(J174="","Active","Exited"))</f>
        <v/>
      </c>
      <c r="E174" s="8"/>
      <c r="F174" s="8"/>
      <c r="G174" s="8"/>
      <c r="H174" s="9" t="str">
        <f aca="false">IF(OR(B174="",I174=""),"",IF(IF(J174="",AsOf,J174)-I174&gt;=Settings!$C$13,"Permanent","Probation"))</f>
        <v/>
      </c>
      <c r="I174" s="41"/>
      <c r="J174" s="41"/>
      <c r="K174" s="8"/>
      <c r="L174" s="42" t="str">
        <f aca="false">IF(OR(B174="",I174=""),"",ROUND((IF(J174="",AsOf,J174)-I174)/365.25,1))</f>
        <v/>
      </c>
      <c r="M174" s="8"/>
      <c r="N174" s="8"/>
      <c r="O174" s="8"/>
      <c r="P174" s="8"/>
      <c r="Q174" s="41"/>
      <c r="R174" s="43" t="str">
        <f aca="false">IF(OR(B174="",Q174=""),"",INT((AsOf-Q174)/365.25))</f>
        <v/>
      </c>
      <c r="S174" s="8"/>
      <c r="T174" s="40"/>
      <c r="U174" s="40"/>
      <c r="V174" s="40"/>
      <c r="W174" s="40"/>
      <c r="X174" s="8"/>
      <c r="Y174" s="8"/>
      <c r="Z174" s="8"/>
      <c r="AA174" s="8"/>
      <c r="AB174" s="8"/>
      <c r="AC174" s="8"/>
      <c r="AD174" s="8"/>
      <c r="AE174" s="40"/>
      <c r="AF174" s="8"/>
      <c r="AG174" s="40"/>
      <c r="AH174" s="40"/>
      <c r="AI174" s="8"/>
      <c r="AJ174" s="40"/>
      <c r="AK174" s="40"/>
      <c r="AL174" s="40"/>
      <c r="AM174" s="44"/>
      <c r="AN174" s="44"/>
      <c r="AO174" s="41"/>
      <c r="AP174" s="45" t="str">
        <f aca="false">IF(B174="","",IF(AND(ISNUMBER(AM174),ISNUMBER(AN174),AM174&gt;0,AN174&gt;0),AN174/AM174-1,""))</f>
        <v/>
      </c>
      <c r="AQ174" s="9" t="str">
        <f aca="false">IF(I174="","",(YEAR(I174)-IF(MONTH(I174)&lt;4,1,0))&amp;"-"&amp;RIGHT((YEAR(I174)-IF(MONTH(I174)&lt;4,1,0))+1,2))</f>
        <v/>
      </c>
      <c r="AR174" s="9" t="str">
        <f aca="false">IF(J174="","",(YEAR(J174)-IF(MONTH(J174)&lt;4,1,0))&amp;"-"&amp;RIGHT((YEAR(J174)-IF(MONTH(J174)&lt;4,1,0))+1,2))</f>
        <v/>
      </c>
      <c r="AS174" s="43" t="str">
        <f aca="false">IF(OR(B174="",Q174="",D174&lt;&gt;"Active"),"",DATE(YEAR(AsOf)+IF(DATE(YEAR(AsOf),MONTH(Q174),DAY(Q174))&lt;AsOf,1,0),MONTH(Q174),DAY(Q174))-AsOf)</f>
        <v/>
      </c>
      <c r="AT174" s="43" t="str">
        <f aca="false">IF(OR(B174="",I174="",D174&lt;&gt;"Active"),"",IF(YEAR(DATE(YEAR(AsOf)+IF(DATE(YEAR(AsOf),MONTH(I174),DAY(I174))&lt;AsOf,1,0),MONTH(I174),DAY(I174)))-YEAR(I174)&lt;1,"",DATE(YEAR(AsOf)+IF(DATE(YEAR(AsOf),MONTH(I174),DAY(I174))&lt;AsOf,1,0),MONTH(I174),DAY(I174))-AsOf))</f>
        <v/>
      </c>
      <c r="AU174" s="43" t="str">
        <f aca="false">IF(B174="","",IF(AV174="",0,LEN(AV174)-LEN(SUBSTITUTE(AV174,";",""))))</f>
        <v/>
      </c>
      <c r="AV174" s="9" t="str">
        <f aca="false">IF(B174="","",IF(COUNTIF($B$6:$B$505,B174)&gt;1,"Duplicate Emp Code; ","")&amp;IF(C174="","Name missing; ","")&amp;IF(I174="","DOJ missing; ","")&amp;IF(AND(J174&lt;&gt;"",I174&lt;&gt;"",J174&lt;I174),"Exit before DOJ; ","")&amp;IF(Q174="","DOB missing; ","")&amp;IF(T174="","Aadhaar missing; ",IF(LEN(T174)&lt;&gt;12,"Aadhaar not 12 digits; ",IF(COUNTIF($T$6:$T$505,T174)&gt;1,"Duplicate Aadhaar; ","")))&amp;IF(U174="","PAN missing; ",IF(LEN(U174)&lt;&gt;10,"PAN not 10 chars; ",""))&amp;IF(V174="","Mobile missing; ",IF(LEN(V174)&lt;&gt;10,"Mobile not 10 digits; ",""))&amp;IF(AG174="","Bank A/c missing; ","")&amp;IF(AH174="","IFSC missing; ",IF(LEN(AH174)&lt;&gt;11,"IFSC not 11 chars; ","")))</f>
        <v/>
      </c>
      <c r="AW174" s="46" t="str">
        <f aca="false">IF(AS174="","",AS174+ROW()/100000)</f>
        <v/>
      </c>
      <c r="AX174" s="46" t="str">
        <f aca="false">IF(AT174="","",AT174+ROW()/100000)</f>
        <v/>
      </c>
    </row>
    <row r="175" customFormat="false" ht="15" hidden="false" customHeight="false" outlineLevel="0" collapsed="false">
      <c r="A175" s="9" t="str">
        <f aca="false">IF(B175="","",ROW()-5)</f>
        <v/>
      </c>
      <c r="B175" s="40"/>
      <c r="C175" s="8"/>
      <c r="D175" s="9" t="str">
        <f aca="false">IF(B175="","",IF(J175="","Active","Exited"))</f>
        <v/>
      </c>
      <c r="E175" s="8"/>
      <c r="F175" s="8"/>
      <c r="G175" s="8"/>
      <c r="H175" s="9" t="str">
        <f aca="false">IF(OR(B175="",I175=""),"",IF(IF(J175="",AsOf,J175)-I175&gt;=Settings!$C$13,"Permanent","Probation"))</f>
        <v/>
      </c>
      <c r="I175" s="41"/>
      <c r="J175" s="41"/>
      <c r="K175" s="8"/>
      <c r="L175" s="42" t="str">
        <f aca="false">IF(OR(B175="",I175=""),"",ROUND((IF(J175="",AsOf,J175)-I175)/365.25,1))</f>
        <v/>
      </c>
      <c r="M175" s="8"/>
      <c r="N175" s="8"/>
      <c r="O175" s="8"/>
      <c r="P175" s="8"/>
      <c r="Q175" s="41"/>
      <c r="R175" s="43" t="str">
        <f aca="false">IF(OR(B175="",Q175=""),"",INT((AsOf-Q175)/365.25))</f>
        <v/>
      </c>
      <c r="S175" s="8"/>
      <c r="T175" s="40"/>
      <c r="U175" s="40"/>
      <c r="V175" s="40"/>
      <c r="W175" s="40"/>
      <c r="X175" s="8"/>
      <c r="Y175" s="8"/>
      <c r="Z175" s="8"/>
      <c r="AA175" s="8"/>
      <c r="AB175" s="8"/>
      <c r="AC175" s="8"/>
      <c r="AD175" s="8"/>
      <c r="AE175" s="40"/>
      <c r="AF175" s="8"/>
      <c r="AG175" s="40"/>
      <c r="AH175" s="40"/>
      <c r="AI175" s="8"/>
      <c r="AJ175" s="40"/>
      <c r="AK175" s="40"/>
      <c r="AL175" s="40"/>
      <c r="AM175" s="44"/>
      <c r="AN175" s="44"/>
      <c r="AO175" s="41"/>
      <c r="AP175" s="45" t="str">
        <f aca="false">IF(B175="","",IF(AND(ISNUMBER(AM175),ISNUMBER(AN175),AM175&gt;0,AN175&gt;0),AN175/AM175-1,""))</f>
        <v/>
      </c>
      <c r="AQ175" s="9" t="str">
        <f aca="false">IF(I175="","",(YEAR(I175)-IF(MONTH(I175)&lt;4,1,0))&amp;"-"&amp;RIGHT((YEAR(I175)-IF(MONTH(I175)&lt;4,1,0))+1,2))</f>
        <v/>
      </c>
      <c r="AR175" s="9" t="str">
        <f aca="false">IF(J175="","",(YEAR(J175)-IF(MONTH(J175)&lt;4,1,0))&amp;"-"&amp;RIGHT((YEAR(J175)-IF(MONTH(J175)&lt;4,1,0))+1,2))</f>
        <v/>
      </c>
      <c r="AS175" s="43" t="str">
        <f aca="false">IF(OR(B175="",Q175="",D175&lt;&gt;"Active"),"",DATE(YEAR(AsOf)+IF(DATE(YEAR(AsOf),MONTH(Q175),DAY(Q175))&lt;AsOf,1,0),MONTH(Q175),DAY(Q175))-AsOf)</f>
        <v/>
      </c>
      <c r="AT175" s="43" t="str">
        <f aca="false">IF(OR(B175="",I175="",D175&lt;&gt;"Active"),"",IF(YEAR(DATE(YEAR(AsOf)+IF(DATE(YEAR(AsOf),MONTH(I175),DAY(I175))&lt;AsOf,1,0),MONTH(I175),DAY(I175)))-YEAR(I175)&lt;1,"",DATE(YEAR(AsOf)+IF(DATE(YEAR(AsOf),MONTH(I175),DAY(I175))&lt;AsOf,1,0),MONTH(I175),DAY(I175))-AsOf))</f>
        <v/>
      </c>
      <c r="AU175" s="43" t="str">
        <f aca="false">IF(B175="","",IF(AV175="",0,LEN(AV175)-LEN(SUBSTITUTE(AV175,";",""))))</f>
        <v/>
      </c>
      <c r="AV175" s="9" t="str">
        <f aca="false">IF(B175="","",IF(COUNTIF($B$6:$B$505,B175)&gt;1,"Duplicate Emp Code; ","")&amp;IF(C175="","Name missing; ","")&amp;IF(I175="","DOJ missing; ","")&amp;IF(AND(J175&lt;&gt;"",I175&lt;&gt;"",J175&lt;I175),"Exit before DOJ; ","")&amp;IF(Q175="","DOB missing; ","")&amp;IF(T175="","Aadhaar missing; ",IF(LEN(T175)&lt;&gt;12,"Aadhaar not 12 digits; ",IF(COUNTIF($T$6:$T$505,T175)&gt;1,"Duplicate Aadhaar; ","")))&amp;IF(U175="","PAN missing; ",IF(LEN(U175)&lt;&gt;10,"PAN not 10 chars; ",""))&amp;IF(V175="","Mobile missing; ",IF(LEN(V175)&lt;&gt;10,"Mobile not 10 digits; ",""))&amp;IF(AG175="","Bank A/c missing; ","")&amp;IF(AH175="","IFSC missing; ",IF(LEN(AH175)&lt;&gt;11,"IFSC not 11 chars; ","")))</f>
        <v/>
      </c>
      <c r="AW175" s="46" t="str">
        <f aca="false">IF(AS175="","",AS175+ROW()/100000)</f>
        <v/>
      </c>
      <c r="AX175" s="46" t="str">
        <f aca="false">IF(AT175="","",AT175+ROW()/100000)</f>
        <v/>
      </c>
    </row>
    <row r="176" customFormat="false" ht="15" hidden="false" customHeight="false" outlineLevel="0" collapsed="false">
      <c r="A176" s="9" t="str">
        <f aca="false">IF(B176="","",ROW()-5)</f>
        <v/>
      </c>
      <c r="B176" s="40"/>
      <c r="C176" s="8"/>
      <c r="D176" s="9" t="str">
        <f aca="false">IF(B176="","",IF(J176="","Active","Exited"))</f>
        <v/>
      </c>
      <c r="E176" s="8"/>
      <c r="F176" s="8"/>
      <c r="G176" s="8"/>
      <c r="H176" s="9" t="str">
        <f aca="false">IF(OR(B176="",I176=""),"",IF(IF(J176="",AsOf,J176)-I176&gt;=Settings!$C$13,"Permanent","Probation"))</f>
        <v/>
      </c>
      <c r="I176" s="41"/>
      <c r="J176" s="41"/>
      <c r="K176" s="8"/>
      <c r="L176" s="42" t="str">
        <f aca="false">IF(OR(B176="",I176=""),"",ROUND((IF(J176="",AsOf,J176)-I176)/365.25,1))</f>
        <v/>
      </c>
      <c r="M176" s="8"/>
      <c r="N176" s="8"/>
      <c r="O176" s="8"/>
      <c r="P176" s="8"/>
      <c r="Q176" s="41"/>
      <c r="R176" s="43" t="str">
        <f aca="false">IF(OR(B176="",Q176=""),"",INT((AsOf-Q176)/365.25))</f>
        <v/>
      </c>
      <c r="S176" s="8"/>
      <c r="T176" s="40"/>
      <c r="U176" s="40"/>
      <c r="V176" s="40"/>
      <c r="W176" s="40"/>
      <c r="X176" s="8"/>
      <c r="Y176" s="8"/>
      <c r="Z176" s="8"/>
      <c r="AA176" s="8"/>
      <c r="AB176" s="8"/>
      <c r="AC176" s="8"/>
      <c r="AD176" s="8"/>
      <c r="AE176" s="40"/>
      <c r="AF176" s="8"/>
      <c r="AG176" s="40"/>
      <c r="AH176" s="40"/>
      <c r="AI176" s="8"/>
      <c r="AJ176" s="40"/>
      <c r="AK176" s="40"/>
      <c r="AL176" s="40"/>
      <c r="AM176" s="44"/>
      <c r="AN176" s="44"/>
      <c r="AO176" s="41"/>
      <c r="AP176" s="45" t="str">
        <f aca="false">IF(B176="","",IF(AND(ISNUMBER(AM176),ISNUMBER(AN176),AM176&gt;0,AN176&gt;0),AN176/AM176-1,""))</f>
        <v/>
      </c>
      <c r="AQ176" s="9" t="str">
        <f aca="false">IF(I176="","",(YEAR(I176)-IF(MONTH(I176)&lt;4,1,0))&amp;"-"&amp;RIGHT((YEAR(I176)-IF(MONTH(I176)&lt;4,1,0))+1,2))</f>
        <v/>
      </c>
      <c r="AR176" s="9" t="str">
        <f aca="false">IF(J176="","",(YEAR(J176)-IF(MONTH(J176)&lt;4,1,0))&amp;"-"&amp;RIGHT((YEAR(J176)-IF(MONTH(J176)&lt;4,1,0))+1,2))</f>
        <v/>
      </c>
      <c r="AS176" s="43" t="str">
        <f aca="false">IF(OR(B176="",Q176="",D176&lt;&gt;"Active"),"",DATE(YEAR(AsOf)+IF(DATE(YEAR(AsOf),MONTH(Q176),DAY(Q176))&lt;AsOf,1,0),MONTH(Q176),DAY(Q176))-AsOf)</f>
        <v/>
      </c>
      <c r="AT176" s="43" t="str">
        <f aca="false">IF(OR(B176="",I176="",D176&lt;&gt;"Active"),"",IF(YEAR(DATE(YEAR(AsOf)+IF(DATE(YEAR(AsOf),MONTH(I176),DAY(I176))&lt;AsOf,1,0),MONTH(I176),DAY(I176)))-YEAR(I176)&lt;1,"",DATE(YEAR(AsOf)+IF(DATE(YEAR(AsOf),MONTH(I176),DAY(I176))&lt;AsOf,1,0),MONTH(I176),DAY(I176))-AsOf))</f>
        <v/>
      </c>
      <c r="AU176" s="43" t="str">
        <f aca="false">IF(B176="","",IF(AV176="",0,LEN(AV176)-LEN(SUBSTITUTE(AV176,";",""))))</f>
        <v/>
      </c>
      <c r="AV176" s="9" t="str">
        <f aca="false">IF(B176="","",IF(COUNTIF($B$6:$B$505,B176)&gt;1,"Duplicate Emp Code; ","")&amp;IF(C176="","Name missing; ","")&amp;IF(I176="","DOJ missing; ","")&amp;IF(AND(J176&lt;&gt;"",I176&lt;&gt;"",J176&lt;I176),"Exit before DOJ; ","")&amp;IF(Q176="","DOB missing; ","")&amp;IF(T176="","Aadhaar missing; ",IF(LEN(T176)&lt;&gt;12,"Aadhaar not 12 digits; ",IF(COUNTIF($T$6:$T$505,T176)&gt;1,"Duplicate Aadhaar; ","")))&amp;IF(U176="","PAN missing; ",IF(LEN(U176)&lt;&gt;10,"PAN not 10 chars; ",""))&amp;IF(V176="","Mobile missing; ",IF(LEN(V176)&lt;&gt;10,"Mobile not 10 digits; ",""))&amp;IF(AG176="","Bank A/c missing; ","")&amp;IF(AH176="","IFSC missing; ",IF(LEN(AH176)&lt;&gt;11,"IFSC not 11 chars; ","")))</f>
        <v/>
      </c>
      <c r="AW176" s="46" t="str">
        <f aca="false">IF(AS176="","",AS176+ROW()/100000)</f>
        <v/>
      </c>
      <c r="AX176" s="46" t="str">
        <f aca="false">IF(AT176="","",AT176+ROW()/100000)</f>
        <v/>
      </c>
    </row>
    <row r="177" customFormat="false" ht="15" hidden="false" customHeight="false" outlineLevel="0" collapsed="false">
      <c r="A177" s="9" t="str">
        <f aca="false">IF(B177="","",ROW()-5)</f>
        <v/>
      </c>
      <c r="B177" s="40"/>
      <c r="C177" s="8"/>
      <c r="D177" s="9" t="str">
        <f aca="false">IF(B177="","",IF(J177="","Active","Exited"))</f>
        <v/>
      </c>
      <c r="E177" s="8"/>
      <c r="F177" s="8"/>
      <c r="G177" s="8"/>
      <c r="H177" s="9" t="str">
        <f aca="false">IF(OR(B177="",I177=""),"",IF(IF(J177="",AsOf,J177)-I177&gt;=Settings!$C$13,"Permanent","Probation"))</f>
        <v/>
      </c>
      <c r="I177" s="41"/>
      <c r="J177" s="41"/>
      <c r="K177" s="8"/>
      <c r="L177" s="42" t="str">
        <f aca="false">IF(OR(B177="",I177=""),"",ROUND((IF(J177="",AsOf,J177)-I177)/365.25,1))</f>
        <v/>
      </c>
      <c r="M177" s="8"/>
      <c r="N177" s="8"/>
      <c r="O177" s="8"/>
      <c r="P177" s="8"/>
      <c r="Q177" s="41"/>
      <c r="R177" s="43" t="str">
        <f aca="false">IF(OR(B177="",Q177=""),"",INT((AsOf-Q177)/365.25))</f>
        <v/>
      </c>
      <c r="S177" s="8"/>
      <c r="T177" s="40"/>
      <c r="U177" s="40"/>
      <c r="V177" s="40"/>
      <c r="W177" s="40"/>
      <c r="X177" s="8"/>
      <c r="Y177" s="8"/>
      <c r="Z177" s="8"/>
      <c r="AA177" s="8"/>
      <c r="AB177" s="8"/>
      <c r="AC177" s="8"/>
      <c r="AD177" s="8"/>
      <c r="AE177" s="40"/>
      <c r="AF177" s="8"/>
      <c r="AG177" s="40"/>
      <c r="AH177" s="40"/>
      <c r="AI177" s="8"/>
      <c r="AJ177" s="40"/>
      <c r="AK177" s="40"/>
      <c r="AL177" s="40"/>
      <c r="AM177" s="44"/>
      <c r="AN177" s="44"/>
      <c r="AO177" s="41"/>
      <c r="AP177" s="45" t="str">
        <f aca="false">IF(B177="","",IF(AND(ISNUMBER(AM177),ISNUMBER(AN177),AM177&gt;0,AN177&gt;0),AN177/AM177-1,""))</f>
        <v/>
      </c>
      <c r="AQ177" s="9" t="str">
        <f aca="false">IF(I177="","",(YEAR(I177)-IF(MONTH(I177)&lt;4,1,0))&amp;"-"&amp;RIGHT((YEAR(I177)-IF(MONTH(I177)&lt;4,1,0))+1,2))</f>
        <v/>
      </c>
      <c r="AR177" s="9" t="str">
        <f aca="false">IF(J177="","",(YEAR(J177)-IF(MONTH(J177)&lt;4,1,0))&amp;"-"&amp;RIGHT((YEAR(J177)-IF(MONTH(J177)&lt;4,1,0))+1,2))</f>
        <v/>
      </c>
      <c r="AS177" s="43" t="str">
        <f aca="false">IF(OR(B177="",Q177="",D177&lt;&gt;"Active"),"",DATE(YEAR(AsOf)+IF(DATE(YEAR(AsOf),MONTH(Q177),DAY(Q177))&lt;AsOf,1,0),MONTH(Q177),DAY(Q177))-AsOf)</f>
        <v/>
      </c>
      <c r="AT177" s="43" t="str">
        <f aca="false">IF(OR(B177="",I177="",D177&lt;&gt;"Active"),"",IF(YEAR(DATE(YEAR(AsOf)+IF(DATE(YEAR(AsOf),MONTH(I177),DAY(I177))&lt;AsOf,1,0),MONTH(I177),DAY(I177)))-YEAR(I177)&lt;1,"",DATE(YEAR(AsOf)+IF(DATE(YEAR(AsOf),MONTH(I177),DAY(I177))&lt;AsOf,1,0),MONTH(I177),DAY(I177))-AsOf))</f>
        <v/>
      </c>
      <c r="AU177" s="43" t="str">
        <f aca="false">IF(B177="","",IF(AV177="",0,LEN(AV177)-LEN(SUBSTITUTE(AV177,";",""))))</f>
        <v/>
      </c>
      <c r="AV177" s="9" t="str">
        <f aca="false">IF(B177="","",IF(COUNTIF($B$6:$B$505,B177)&gt;1,"Duplicate Emp Code; ","")&amp;IF(C177="","Name missing; ","")&amp;IF(I177="","DOJ missing; ","")&amp;IF(AND(J177&lt;&gt;"",I177&lt;&gt;"",J177&lt;I177),"Exit before DOJ; ","")&amp;IF(Q177="","DOB missing; ","")&amp;IF(T177="","Aadhaar missing; ",IF(LEN(T177)&lt;&gt;12,"Aadhaar not 12 digits; ",IF(COUNTIF($T$6:$T$505,T177)&gt;1,"Duplicate Aadhaar; ","")))&amp;IF(U177="","PAN missing; ",IF(LEN(U177)&lt;&gt;10,"PAN not 10 chars; ",""))&amp;IF(V177="","Mobile missing; ",IF(LEN(V177)&lt;&gt;10,"Mobile not 10 digits; ",""))&amp;IF(AG177="","Bank A/c missing; ","")&amp;IF(AH177="","IFSC missing; ",IF(LEN(AH177)&lt;&gt;11,"IFSC not 11 chars; ","")))</f>
        <v/>
      </c>
      <c r="AW177" s="46" t="str">
        <f aca="false">IF(AS177="","",AS177+ROW()/100000)</f>
        <v/>
      </c>
      <c r="AX177" s="46" t="str">
        <f aca="false">IF(AT177="","",AT177+ROW()/100000)</f>
        <v/>
      </c>
    </row>
    <row r="178" customFormat="false" ht="15" hidden="false" customHeight="false" outlineLevel="0" collapsed="false">
      <c r="A178" s="9" t="str">
        <f aca="false">IF(B178="","",ROW()-5)</f>
        <v/>
      </c>
      <c r="B178" s="40"/>
      <c r="C178" s="8"/>
      <c r="D178" s="9" t="str">
        <f aca="false">IF(B178="","",IF(J178="","Active","Exited"))</f>
        <v/>
      </c>
      <c r="E178" s="8"/>
      <c r="F178" s="8"/>
      <c r="G178" s="8"/>
      <c r="H178" s="9" t="str">
        <f aca="false">IF(OR(B178="",I178=""),"",IF(IF(J178="",AsOf,J178)-I178&gt;=Settings!$C$13,"Permanent","Probation"))</f>
        <v/>
      </c>
      <c r="I178" s="41"/>
      <c r="J178" s="41"/>
      <c r="K178" s="8"/>
      <c r="L178" s="42" t="str">
        <f aca="false">IF(OR(B178="",I178=""),"",ROUND((IF(J178="",AsOf,J178)-I178)/365.25,1))</f>
        <v/>
      </c>
      <c r="M178" s="8"/>
      <c r="N178" s="8"/>
      <c r="O178" s="8"/>
      <c r="P178" s="8"/>
      <c r="Q178" s="41"/>
      <c r="R178" s="43" t="str">
        <f aca="false">IF(OR(B178="",Q178=""),"",INT((AsOf-Q178)/365.25))</f>
        <v/>
      </c>
      <c r="S178" s="8"/>
      <c r="T178" s="40"/>
      <c r="U178" s="40"/>
      <c r="V178" s="40"/>
      <c r="W178" s="40"/>
      <c r="X178" s="8"/>
      <c r="Y178" s="8"/>
      <c r="Z178" s="8"/>
      <c r="AA178" s="8"/>
      <c r="AB178" s="8"/>
      <c r="AC178" s="8"/>
      <c r="AD178" s="8"/>
      <c r="AE178" s="40"/>
      <c r="AF178" s="8"/>
      <c r="AG178" s="40"/>
      <c r="AH178" s="40"/>
      <c r="AI178" s="8"/>
      <c r="AJ178" s="40"/>
      <c r="AK178" s="40"/>
      <c r="AL178" s="40"/>
      <c r="AM178" s="44"/>
      <c r="AN178" s="44"/>
      <c r="AO178" s="41"/>
      <c r="AP178" s="45" t="str">
        <f aca="false">IF(B178="","",IF(AND(ISNUMBER(AM178),ISNUMBER(AN178),AM178&gt;0,AN178&gt;0),AN178/AM178-1,""))</f>
        <v/>
      </c>
      <c r="AQ178" s="9" t="str">
        <f aca="false">IF(I178="","",(YEAR(I178)-IF(MONTH(I178)&lt;4,1,0))&amp;"-"&amp;RIGHT((YEAR(I178)-IF(MONTH(I178)&lt;4,1,0))+1,2))</f>
        <v/>
      </c>
      <c r="AR178" s="9" t="str">
        <f aca="false">IF(J178="","",(YEAR(J178)-IF(MONTH(J178)&lt;4,1,0))&amp;"-"&amp;RIGHT((YEAR(J178)-IF(MONTH(J178)&lt;4,1,0))+1,2))</f>
        <v/>
      </c>
      <c r="AS178" s="43" t="str">
        <f aca="false">IF(OR(B178="",Q178="",D178&lt;&gt;"Active"),"",DATE(YEAR(AsOf)+IF(DATE(YEAR(AsOf),MONTH(Q178),DAY(Q178))&lt;AsOf,1,0),MONTH(Q178),DAY(Q178))-AsOf)</f>
        <v/>
      </c>
      <c r="AT178" s="43" t="str">
        <f aca="false">IF(OR(B178="",I178="",D178&lt;&gt;"Active"),"",IF(YEAR(DATE(YEAR(AsOf)+IF(DATE(YEAR(AsOf),MONTH(I178),DAY(I178))&lt;AsOf,1,0),MONTH(I178),DAY(I178)))-YEAR(I178)&lt;1,"",DATE(YEAR(AsOf)+IF(DATE(YEAR(AsOf),MONTH(I178),DAY(I178))&lt;AsOf,1,0),MONTH(I178),DAY(I178))-AsOf))</f>
        <v/>
      </c>
      <c r="AU178" s="43" t="str">
        <f aca="false">IF(B178="","",IF(AV178="",0,LEN(AV178)-LEN(SUBSTITUTE(AV178,";",""))))</f>
        <v/>
      </c>
      <c r="AV178" s="9" t="str">
        <f aca="false">IF(B178="","",IF(COUNTIF($B$6:$B$505,B178)&gt;1,"Duplicate Emp Code; ","")&amp;IF(C178="","Name missing; ","")&amp;IF(I178="","DOJ missing; ","")&amp;IF(AND(J178&lt;&gt;"",I178&lt;&gt;"",J178&lt;I178),"Exit before DOJ; ","")&amp;IF(Q178="","DOB missing; ","")&amp;IF(T178="","Aadhaar missing; ",IF(LEN(T178)&lt;&gt;12,"Aadhaar not 12 digits; ",IF(COUNTIF($T$6:$T$505,T178)&gt;1,"Duplicate Aadhaar; ","")))&amp;IF(U178="","PAN missing; ",IF(LEN(U178)&lt;&gt;10,"PAN not 10 chars; ",""))&amp;IF(V178="","Mobile missing; ",IF(LEN(V178)&lt;&gt;10,"Mobile not 10 digits; ",""))&amp;IF(AG178="","Bank A/c missing; ","")&amp;IF(AH178="","IFSC missing; ",IF(LEN(AH178)&lt;&gt;11,"IFSC not 11 chars; ","")))</f>
        <v/>
      </c>
      <c r="AW178" s="46" t="str">
        <f aca="false">IF(AS178="","",AS178+ROW()/100000)</f>
        <v/>
      </c>
      <c r="AX178" s="46" t="str">
        <f aca="false">IF(AT178="","",AT178+ROW()/100000)</f>
        <v/>
      </c>
    </row>
    <row r="179" customFormat="false" ht="15" hidden="false" customHeight="false" outlineLevel="0" collapsed="false">
      <c r="A179" s="9" t="str">
        <f aca="false">IF(B179="","",ROW()-5)</f>
        <v/>
      </c>
      <c r="B179" s="40"/>
      <c r="C179" s="8"/>
      <c r="D179" s="9" t="str">
        <f aca="false">IF(B179="","",IF(J179="","Active","Exited"))</f>
        <v/>
      </c>
      <c r="E179" s="8"/>
      <c r="F179" s="8"/>
      <c r="G179" s="8"/>
      <c r="H179" s="9" t="str">
        <f aca="false">IF(OR(B179="",I179=""),"",IF(IF(J179="",AsOf,J179)-I179&gt;=Settings!$C$13,"Permanent","Probation"))</f>
        <v/>
      </c>
      <c r="I179" s="41"/>
      <c r="J179" s="41"/>
      <c r="K179" s="8"/>
      <c r="L179" s="42" t="str">
        <f aca="false">IF(OR(B179="",I179=""),"",ROUND((IF(J179="",AsOf,J179)-I179)/365.25,1))</f>
        <v/>
      </c>
      <c r="M179" s="8"/>
      <c r="N179" s="8"/>
      <c r="O179" s="8"/>
      <c r="P179" s="8"/>
      <c r="Q179" s="41"/>
      <c r="R179" s="43" t="str">
        <f aca="false">IF(OR(B179="",Q179=""),"",INT((AsOf-Q179)/365.25))</f>
        <v/>
      </c>
      <c r="S179" s="8"/>
      <c r="T179" s="40"/>
      <c r="U179" s="40"/>
      <c r="V179" s="40"/>
      <c r="W179" s="40"/>
      <c r="X179" s="8"/>
      <c r="Y179" s="8"/>
      <c r="Z179" s="8"/>
      <c r="AA179" s="8"/>
      <c r="AB179" s="8"/>
      <c r="AC179" s="8"/>
      <c r="AD179" s="8"/>
      <c r="AE179" s="40"/>
      <c r="AF179" s="8"/>
      <c r="AG179" s="40"/>
      <c r="AH179" s="40"/>
      <c r="AI179" s="8"/>
      <c r="AJ179" s="40"/>
      <c r="AK179" s="40"/>
      <c r="AL179" s="40"/>
      <c r="AM179" s="44"/>
      <c r="AN179" s="44"/>
      <c r="AO179" s="41"/>
      <c r="AP179" s="45" t="str">
        <f aca="false">IF(B179="","",IF(AND(ISNUMBER(AM179),ISNUMBER(AN179),AM179&gt;0,AN179&gt;0),AN179/AM179-1,""))</f>
        <v/>
      </c>
      <c r="AQ179" s="9" t="str">
        <f aca="false">IF(I179="","",(YEAR(I179)-IF(MONTH(I179)&lt;4,1,0))&amp;"-"&amp;RIGHT((YEAR(I179)-IF(MONTH(I179)&lt;4,1,0))+1,2))</f>
        <v/>
      </c>
      <c r="AR179" s="9" t="str">
        <f aca="false">IF(J179="","",(YEAR(J179)-IF(MONTH(J179)&lt;4,1,0))&amp;"-"&amp;RIGHT((YEAR(J179)-IF(MONTH(J179)&lt;4,1,0))+1,2))</f>
        <v/>
      </c>
      <c r="AS179" s="43" t="str">
        <f aca="false">IF(OR(B179="",Q179="",D179&lt;&gt;"Active"),"",DATE(YEAR(AsOf)+IF(DATE(YEAR(AsOf),MONTH(Q179),DAY(Q179))&lt;AsOf,1,0),MONTH(Q179),DAY(Q179))-AsOf)</f>
        <v/>
      </c>
      <c r="AT179" s="43" t="str">
        <f aca="false">IF(OR(B179="",I179="",D179&lt;&gt;"Active"),"",IF(YEAR(DATE(YEAR(AsOf)+IF(DATE(YEAR(AsOf),MONTH(I179),DAY(I179))&lt;AsOf,1,0),MONTH(I179),DAY(I179)))-YEAR(I179)&lt;1,"",DATE(YEAR(AsOf)+IF(DATE(YEAR(AsOf),MONTH(I179),DAY(I179))&lt;AsOf,1,0),MONTH(I179),DAY(I179))-AsOf))</f>
        <v/>
      </c>
      <c r="AU179" s="43" t="str">
        <f aca="false">IF(B179="","",IF(AV179="",0,LEN(AV179)-LEN(SUBSTITUTE(AV179,";",""))))</f>
        <v/>
      </c>
      <c r="AV179" s="9" t="str">
        <f aca="false">IF(B179="","",IF(COUNTIF($B$6:$B$505,B179)&gt;1,"Duplicate Emp Code; ","")&amp;IF(C179="","Name missing; ","")&amp;IF(I179="","DOJ missing; ","")&amp;IF(AND(J179&lt;&gt;"",I179&lt;&gt;"",J179&lt;I179),"Exit before DOJ; ","")&amp;IF(Q179="","DOB missing; ","")&amp;IF(T179="","Aadhaar missing; ",IF(LEN(T179)&lt;&gt;12,"Aadhaar not 12 digits; ",IF(COUNTIF($T$6:$T$505,T179)&gt;1,"Duplicate Aadhaar; ","")))&amp;IF(U179="","PAN missing; ",IF(LEN(U179)&lt;&gt;10,"PAN not 10 chars; ",""))&amp;IF(V179="","Mobile missing; ",IF(LEN(V179)&lt;&gt;10,"Mobile not 10 digits; ",""))&amp;IF(AG179="","Bank A/c missing; ","")&amp;IF(AH179="","IFSC missing; ",IF(LEN(AH179)&lt;&gt;11,"IFSC not 11 chars; ","")))</f>
        <v/>
      </c>
      <c r="AW179" s="46" t="str">
        <f aca="false">IF(AS179="","",AS179+ROW()/100000)</f>
        <v/>
      </c>
      <c r="AX179" s="46" t="str">
        <f aca="false">IF(AT179="","",AT179+ROW()/100000)</f>
        <v/>
      </c>
    </row>
    <row r="180" customFormat="false" ht="15" hidden="false" customHeight="false" outlineLevel="0" collapsed="false">
      <c r="A180" s="9" t="str">
        <f aca="false">IF(B180="","",ROW()-5)</f>
        <v/>
      </c>
      <c r="B180" s="40"/>
      <c r="C180" s="8"/>
      <c r="D180" s="9" t="str">
        <f aca="false">IF(B180="","",IF(J180="","Active","Exited"))</f>
        <v/>
      </c>
      <c r="E180" s="8"/>
      <c r="F180" s="8"/>
      <c r="G180" s="8"/>
      <c r="H180" s="9" t="str">
        <f aca="false">IF(OR(B180="",I180=""),"",IF(IF(J180="",AsOf,J180)-I180&gt;=Settings!$C$13,"Permanent","Probation"))</f>
        <v/>
      </c>
      <c r="I180" s="41"/>
      <c r="J180" s="41"/>
      <c r="K180" s="8"/>
      <c r="L180" s="42" t="str">
        <f aca="false">IF(OR(B180="",I180=""),"",ROUND((IF(J180="",AsOf,J180)-I180)/365.25,1))</f>
        <v/>
      </c>
      <c r="M180" s="8"/>
      <c r="N180" s="8"/>
      <c r="O180" s="8"/>
      <c r="P180" s="8"/>
      <c r="Q180" s="41"/>
      <c r="R180" s="43" t="str">
        <f aca="false">IF(OR(B180="",Q180=""),"",INT((AsOf-Q180)/365.25))</f>
        <v/>
      </c>
      <c r="S180" s="8"/>
      <c r="T180" s="40"/>
      <c r="U180" s="40"/>
      <c r="V180" s="40"/>
      <c r="W180" s="40"/>
      <c r="X180" s="8"/>
      <c r="Y180" s="8"/>
      <c r="Z180" s="8"/>
      <c r="AA180" s="8"/>
      <c r="AB180" s="8"/>
      <c r="AC180" s="8"/>
      <c r="AD180" s="8"/>
      <c r="AE180" s="40"/>
      <c r="AF180" s="8"/>
      <c r="AG180" s="40"/>
      <c r="AH180" s="40"/>
      <c r="AI180" s="8"/>
      <c r="AJ180" s="40"/>
      <c r="AK180" s="40"/>
      <c r="AL180" s="40"/>
      <c r="AM180" s="44"/>
      <c r="AN180" s="44"/>
      <c r="AO180" s="41"/>
      <c r="AP180" s="45" t="str">
        <f aca="false">IF(B180="","",IF(AND(ISNUMBER(AM180),ISNUMBER(AN180),AM180&gt;0,AN180&gt;0),AN180/AM180-1,""))</f>
        <v/>
      </c>
      <c r="AQ180" s="9" t="str">
        <f aca="false">IF(I180="","",(YEAR(I180)-IF(MONTH(I180)&lt;4,1,0))&amp;"-"&amp;RIGHT((YEAR(I180)-IF(MONTH(I180)&lt;4,1,0))+1,2))</f>
        <v/>
      </c>
      <c r="AR180" s="9" t="str">
        <f aca="false">IF(J180="","",(YEAR(J180)-IF(MONTH(J180)&lt;4,1,0))&amp;"-"&amp;RIGHT((YEAR(J180)-IF(MONTH(J180)&lt;4,1,0))+1,2))</f>
        <v/>
      </c>
      <c r="AS180" s="43" t="str">
        <f aca="false">IF(OR(B180="",Q180="",D180&lt;&gt;"Active"),"",DATE(YEAR(AsOf)+IF(DATE(YEAR(AsOf),MONTH(Q180),DAY(Q180))&lt;AsOf,1,0),MONTH(Q180),DAY(Q180))-AsOf)</f>
        <v/>
      </c>
      <c r="AT180" s="43" t="str">
        <f aca="false">IF(OR(B180="",I180="",D180&lt;&gt;"Active"),"",IF(YEAR(DATE(YEAR(AsOf)+IF(DATE(YEAR(AsOf),MONTH(I180),DAY(I180))&lt;AsOf,1,0),MONTH(I180),DAY(I180)))-YEAR(I180)&lt;1,"",DATE(YEAR(AsOf)+IF(DATE(YEAR(AsOf),MONTH(I180),DAY(I180))&lt;AsOf,1,0),MONTH(I180),DAY(I180))-AsOf))</f>
        <v/>
      </c>
      <c r="AU180" s="43" t="str">
        <f aca="false">IF(B180="","",IF(AV180="",0,LEN(AV180)-LEN(SUBSTITUTE(AV180,";",""))))</f>
        <v/>
      </c>
      <c r="AV180" s="9" t="str">
        <f aca="false">IF(B180="","",IF(COUNTIF($B$6:$B$505,B180)&gt;1,"Duplicate Emp Code; ","")&amp;IF(C180="","Name missing; ","")&amp;IF(I180="","DOJ missing; ","")&amp;IF(AND(J180&lt;&gt;"",I180&lt;&gt;"",J180&lt;I180),"Exit before DOJ; ","")&amp;IF(Q180="","DOB missing; ","")&amp;IF(T180="","Aadhaar missing; ",IF(LEN(T180)&lt;&gt;12,"Aadhaar not 12 digits; ",IF(COUNTIF($T$6:$T$505,T180)&gt;1,"Duplicate Aadhaar; ","")))&amp;IF(U180="","PAN missing; ",IF(LEN(U180)&lt;&gt;10,"PAN not 10 chars; ",""))&amp;IF(V180="","Mobile missing; ",IF(LEN(V180)&lt;&gt;10,"Mobile not 10 digits; ",""))&amp;IF(AG180="","Bank A/c missing; ","")&amp;IF(AH180="","IFSC missing; ",IF(LEN(AH180)&lt;&gt;11,"IFSC not 11 chars; ","")))</f>
        <v/>
      </c>
      <c r="AW180" s="46" t="str">
        <f aca="false">IF(AS180="","",AS180+ROW()/100000)</f>
        <v/>
      </c>
      <c r="AX180" s="46" t="str">
        <f aca="false">IF(AT180="","",AT180+ROW()/100000)</f>
        <v/>
      </c>
    </row>
    <row r="181" customFormat="false" ht="15" hidden="false" customHeight="false" outlineLevel="0" collapsed="false">
      <c r="A181" s="9" t="str">
        <f aca="false">IF(B181="","",ROW()-5)</f>
        <v/>
      </c>
      <c r="B181" s="40"/>
      <c r="C181" s="8"/>
      <c r="D181" s="9" t="str">
        <f aca="false">IF(B181="","",IF(J181="","Active","Exited"))</f>
        <v/>
      </c>
      <c r="E181" s="8"/>
      <c r="F181" s="8"/>
      <c r="G181" s="8"/>
      <c r="H181" s="9" t="str">
        <f aca="false">IF(OR(B181="",I181=""),"",IF(IF(J181="",AsOf,J181)-I181&gt;=Settings!$C$13,"Permanent","Probation"))</f>
        <v/>
      </c>
      <c r="I181" s="41"/>
      <c r="J181" s="41"/>
      <c r="K181" s="8"/>
      <c r="L181" s="42" t="str">
        <f aca="false">IF(OR(B181="",I181=""),"",ROUND((IF(J181="",AsOf,J181)-I181)/365.25,1))</f>
        <v/>
      </c>
      <c r="M181" s="8"/>
      <c r="N181" s="8"/>
      <c r="O181" s="8"/>
      <c r="P181" s="8"/>
      <c r="Q181" s="41"/>
      <c r="R181" s="43" t="str">
        <f aca="false">IF(OR(B181="",Q181=""),"",INT((AsOf-Q181)/365.25))</f>
        <v/>
      </c>
      <c r="S181" s="8"/>
      <c r="T181" s="40"/>
      <c r="U181" s="40"/>
      <c r="V181" s="40"/>
      <c r="W181" s="40"/>
      <c r="X181" s="8"/>
      <c r="Y181" s="8"/>
      <c r="Z181" s="8"/>
      <c r="AA181" s="8"/>
      <c r="AB181" s="8"/>
      <c r="AC181" s="8"/>
      <c r="AD181" s="8"/>
      <c r="AE181" s="40"/>
      <c r="AF181" s="8"/>
      <c r="AG181" s="40"/>
      <c r="AH181" s="40"/>
      <c r="AI181" s="8"/>
      <c r="AJ181" s="40"/>
      <c r="AK181" s="40"/>
      <c r="AL181" s="40"/>
      <c r="AM181" s="44"/>
      <c r="AN181" s="44"/>
      <c r="AO181" s="41"/>
      <c r="AP181" s="45" t="str">
        <f aca="false">IF(B181="","",IF(AND(ISNUMBER(AM181),ISNUMBER(AN181),AM181&gt;0,AN181&gt;0),AN181/AM181-1,""))</f>
        <v/>
      </c>
      <c r="AQ181" s="9" t="str">
        <f aca="false">IF(I181="","",(YEAR(I181)-IF(MONTH(I181)&lt;4,1,0))&amp;"-"&amp;RIGHT((YEAR(I181)-IF(MONTH(I181)&lt;4,1,0))+1,2))</f>
        <v/>
      </c>
      <c r="AR181" s="9" t="str">
        <f aca="false">IF(J181="","",(YEAR(J181)-IF(MONTH(J181)&lt;4,1,0))&amp;"-"&amp;RIGHT((YEAR(J181)-IF(MONTH(J181)&lt;4,1,0))+1,2))</f>
        <v/>
      </c>
      <c r="AS181" s="43" t="str">
        <f aca="false">IF(OR(B181="",Q181="",D181&lt;&gt;"Active"),"",DATE(YEAR(AsOf)+IF(DATE(YEAR(AsOf),MONTH(Q181),DAY(Q181))&lt;AsOf,1,0),MONTH(Q181),DAY(Q181))-AsOf)</f>
        <v/>
      </c>
      <c r="AT181" s="43" t="str">
        <f aca="false">IF(OR(B181="",I181="",D181&lt;&gt;"Active"),"",IF(YEAR(DATE(YEAR(AsOf)+IF(DATE(YEAR(AsOf),MONTH(I181),DAY(I181))&lt;AsOf,1,0),MONTH(I181),DAY(I181)))-YEAR(I181)&lt;1,"",DATE(YEAR(AsOf)+IF(DATE(YEAR(AsOf),MONTH(I181),DAY(I181))&lt;AsOf,1,0),MONTH(I181),DAY(I181))-AsOf))</f>
        <v/>
      </c>
      <c r="AU181" s="43" t="str">
        <f aca="false">IF(B181="","",IF(AV181="",0,LEN(AV181)-LEN(SUBSTITUTE(AV181,";",""))))</f>
        <v/>
      </c>
      <c r="AV181" s="9" t="str">
        <f aca="false">IF(B181="","",IF(COUNTIF($B$6:$B$505,B181)&gt;1,"Duplicate Emp Code; ","")&amp;IF(C181="","Name missing; ","")&amp;IF(I181="","DOJ missing; ","")&amp;IF(AND(J181&lt;&gt;"",I181&lt;&gt;"",J181&lt;I181),"Exit before DOJ; ","")&amp;IF(Q181="","DOB missing; ","")&amp;IF(T181="","Aadhaar missing; ",IF(LEN(T181)&lt;&gt;12,"Aadhaar not 12 digits; ",IF(COUNTIF($T$6:$T$505,T181)&gt;1,"Duplicate Aadhaar; ","")))&amp;IF(U181="","PAN missing; ",IF(LEN(U181)&lt;&gt;10,"PAN not 10 chars; ",""))&amp;IF(V181="","Mobile missing; ",IF(LEN(V181)&lt;&gt;10,"Mobile not 10 digits; ",""))&amp;IF(AG181="","Bank A/c missing; ","")&amp;IF(AH181="","IFSC missing; ",IF(LEN(AH181)&lt;&gt;11,"IFSC not 11 chars; ","")))</f>
        <v/>
      </c>
      <c r="AW181" s="46" t="str">
        <f aca="false">IF(AS181="","",AS181+ROW()/100000)</f>
        <v/>
      </c>
      <c r="AX181" s="46" t="str">
        <f aca="false">IF(AT181="","",AT181+ROW()/100000)</f>
        <v/>
      </c>
    </row>
    <row r="182" customFormat="false" ht="15" hidden="false" customHeight="false" outlineLevel="0" collapsed="false">
      <c r="A182" s="9" t="str">
        <f aca="false">IF(B182="","",ROW()-5)</f>
        <v/>
      </c>
      <c r="B182" s="40"/>
      <c r="C182" s="8"/>
      <c r="D182" s="9" t="str">
        <f aca="false">IF(B182="","",IF(J182="","Active","Exited"))</f>
        <v/>
      </c>
      <c r="E182" s="8"/>
      <c r="F182" s="8"/>
      <c r="G182" s="8"/>
      <c r="H182" s="9" t="str">
        <f aca="false">IF(OR(B182="",I182=""),"",IF(IF(J182="",AsOf,J182)-I182&gt;=Settings!$C$13,"Permanent","Probation"))</f>
        <v/>
      </c>
      <c r="I182" s="41"/>
      <c r="J182" s="41"/>
      <c r="K182" s="8"/>
      <c r="L182" s="42" t="str">
        <f aca="false">IF(OR(B182="",I182=""),"",ROUND((IF(J182="",AsOf,J182)-I182)/365.25,1))</f>
        <v/>
      </c>
      <c r="M182" s="8"/>
      <c r="N182" s="8"/>
      <c r="O182" s="8"/>
      <c r="P182" s="8"/>
      <c r="Q182" s="41"/>
      <c r="R182" s="43" t="str">
        <f aca="false">IF(OR(B182="",Q182=""),"",INT((AsOf-Q182)/365.25))</f>
        <v/>
      </c>
      <c r="S182" s="8"/>
      <c r="T182" s="40"/>
      <c r="U182" s="40"/>
      <c r="V182" s="40"/>
      <c r="W182" s="40"/>
      <c r="X182" s="8"/>
      <c r="Y182" s="8"/>
      <c r="Z182" s="8"/>
      <c r="AA182" s="8"/>
      <c r="AB182" s="8"/>
      <c r="AC182" s="8"/>
      <c r="AD182" s="8"/>
      <c r="AE182" s="40"/>
      <c r="AF182" s="8"/>
      <c r="AG182" s="40"/>
      <c r="AH182" s="40"/>
      <c r="AI182" s="8"/>
      <c r="AJ182" s="40"/>
      <c r="AK182" s="40"/>
      <c r="AL182" s="40"/>
      <c r="AM182" s="44"/>
      <c r="AN182" s="44"/>
      <c r="AO182" s="41"/>
      <c r="AP182" s="45" t="str">
        <f aca="false">IF(B182="","",IF(AND(ISNUMBER(AM182),ISNUMBER(AN182),AM182&gt;0,AN182&gt;0),AN182/AM182-1,""))</f>
        <v/>
      </c>
      <c r="AQ182" s="9" t="str">
        <f aca="false">IF(I182="","",(YEAR(I182)-IF(MONTH(I182)&lt;4,1,0))&amp;"-"&amp;RIGHT((YEAR(I182)-IF(MONTH(I182)&lt;4,1,0))+1,2))</f>
        <v/>
      </c>
      <c r="AR182" s="9" t="str">
        <f aca="false">IF(J182="","",(YEAR(J182)-IF(MONTH(J182)&lt;4,1,0))&amp;"-"&amp;RIGHT((YEAR(J182)-IF(MONTH(J182)&lt;4,1,0))+1,2))</f>
        <v/>
      </c>
      <c r="AS182" s="43" t="str">
        <f aca="false">IF(OR(B182="",Q182="",D182&lt;&gt;"Active"),"",DATE(YEAR(AsOf)+IF(DATE(YEAR(AsOf),MONTH(Q182),DAY(Q182))&lt;AsOf,1,0),MONTH(Q182),DAY(Q182))-AsOf)</f>
        <v/>
      </c>
      <c r="AT182" s="43" t="str">
        <f aca="false">IF(OR(B182="",I182="",D182&lt;&gt;"Active"),"",IF(YEAR(DATE(YEAR(AsOf)+IF(DATE(YEAR(AsOf),MONTH(I182),DAY(I182))&lt;AsOf,1,0),MONTH(I182),DAY(I182)))-YEAR(I182)&lt;1,"",DATE(YEAR(AsOf)+IF(DATE(YEAR(AsOf),MONTH(I182),DAY(I182))&lt;AsOf,1,0),MONTH(I182),DAY(I182))-AsOf))</f>
        <v/>
      </c>
      <c r="AU182" s="43" t="str">
        <f aca="false">IF(B182="","",IF(AV182="",0,LEN(AV182)-LEN(SUBSTITUTE(AV182,";",""))))</f>
        <v/>
      </c>
      <c r="AV182" s="9" t="str">
        <f aca="false">IF(B182="","",IF(COUNTIF($B$6:$B$505,B182)&gt;1,"Duplicate Emp Code; ","")&amp;IF(C182="","Name missing; ","")&amp;IF(I182="","DOJ missing; ","")&amp;IF(AND(J182&lt;&gt;"",I182&lt;&gt;"",J182&lt;I182),"Exit before DOJ; ","")&amp;IF(Q182="","DOB missing; ","")&amp;IF(T182="","Aadhaar missing; ",IF(LEN(T182)&lt;&gt;12,"Aadhaar not 12 digits; ",IF(COUNTIF($T$6:$T$505,T182)&gt;1,"Duplicate Aadhaar; ","")))&amp;IF(U182="","PAN missing; ",IF(LEN(U182)&lt;&gt;10,"PAN not 10 chars; ",""))&amp;IF(V182="","Mobile missing; ",IF(LEN(V182)&lt;&gt;10,"Mobile not 10 digits; ",""))&amp;IF(AG182="","Bank A/c missing; ","")&amp;IF(AH182="","IFSC missing; ",IF(LEN(AH182)&lt;&gt;11,"IFSC not 11 chars; ","")))</f>
        <v/>
      </c>
      <c r="AW182" s="46" t="str">
        <f aca="false">IF(AS182="","",AS182+ROW()/100000)</f>
        <v/>
      </c>
      <c r="AX182" s="46" t="str">
        <f aca="false">IF(AT182="","",AT182+ROW()/100000)</f>
        <v/>
      </c>
    </row>
    <row r="183" customFormat="false" ht="15" hidden="false" customHeight="false" outlineLevel="0" collapsed="false">
      <c r="A183" s="9" t="str">
        <f aca="false">IF(B183="","",ROW()-5)</f>
        <v/>
      </c>
      <c r="B183" s="40"/>
      <c r="C183" s="8"/>
      <c r="D183" s="9" t="str">
        <f aca="false">IF(B183="","",IF(J183="","Active","Exited"))</f>
        <v/>
      </c>
      <c r="E183" s="8"/>
      <c r="F183" s="8"/>
      <c r="G183" s="8"/>
      <c r="H183" s="9" t="str">
        <f aca="false">IF(OR(B183="",I183=""),"",IF(IF(J183="",AsOf,J183)-I183&gt;=Settings!$C$13,"Permanent","Probation"))</f>
        <v/>
      </c>
      <c r="I183" s="41"/>
      <c r="J183" s="41"/>
      <c r="K183" s="8"/>
      <c r="L183" s="42" t="str">
        <f aca="false">IF(OR(B183="",I183=""),"",ROUND((IF(J183="",AsOf,J183)-I183)/365.25,1))</f>
        <v/>
      </c>
      <c r="M183" s="8"/>
      <c r="N183" s="8"/>
      <c r="O183" s="8"/>
      <c r="P183" s="8"/>
      <c r="Q183" s="41"/>
      <c r="R183" s="43" t="str">
        <f aca="false">IF(OR(B183="",Q183=""),"",INT((AsOf-Q183)/365.25))</f>
        <v/>
      </c>
      <c r="S183" s="8"/>
      <c r="T183" s="40"/>
      <c r="U183" s="40"/>
      <c r="V183" s="40"/>
      <c r="W183" s="40"/>
      <c r="X183" s="8"/>
      <c r="Y183" s="8"/>
      <c r="Z183" s="8"/>
      <c r="AA183" s="8"/>
      <c r="AB183" s="8"/>
      <c r="AC183" s="8"/>
      <c r="AD183" s="8"/>
      <c r="AE183" s="40"/>
      <c r="AF183" s="8"/>
      <c r="AG183" s="40"/>
      <c r="AH183" s="40"/>
      <c r="AI183" s="8"/>
      <c r="AJ183" s="40"/>
      <c r="AK183" s="40"/>
      <c r="AL183" s="40"/>
      <c r="AM183" s="44"/>
      <c r="AN183" s="44"/>
      <c r="AO183" s="41"/>
      <c r="AP183" s="45" t="str">
        <f aca="false">IF(B183="","",IF(AND(ISNUMBER(AM183),ISNUMBER(AN183),AM183&gt;0,AN183&gt;0),AN183/AM183-1,""))</f>
        <v/>
      </c>
      <c r="AQ183" s="9" t="str">
        <f aca="false">IF(I183="","",(YEAR(I183)-IF(MONTH(I183)&lt;4,1,0))&amp;"-"&amp;RIGHT((YEAR(I183)-IF(MONTH(I183)&lt;4,1,0))+1,2))</f>
        <v/>
      </c>
      <c r="AR183" s="9" t="str">
        <f aca="false">IF(J183="","",(YEAR(J183)-IF(MONTH(J183)&lt;4,1,0))&amp;"-"&amp;RIGHT((YEAR(J183)-IF(MONTH(J183)&lt;4,1,0))+1,2))</f>
        <v/>
      </c>
      <c r="AS183" s="43" t="str">
        <f aca="false">IF(OR(B183="",Q183="",D183&lt;&gt;"Active"),"",DATE(YEAR(AsOf)+IF(DATE(YEAR(AsOf),MONTH(Q183),DAY(Q183))&lt;AsOf,1,0),MONTH(Q183),DAY(Q183))-AsOf)</f>
        <v/>
      </c>
      <c r="AT183" s="43" t="str">
        <f aca="false">IF(OR(B183="",I183="",D183&lt;&gt;"Active"),"",IF(YEAR(DATE(YEAR(AsOf)+IF(DATE(YEAR(AsOf),MONTH(I183),DAY(I183))&lt;AsOf,1,0),MONTH(I183),DAY(I183)))-YEAR(I183)&lt;1,"",DATE(YEAR(AsOf)+IF(DATE(YEAR(AsOf),MONTH(I183),DAY(I183))&lt;AsOf,1,0),MONTH(I183),DAY(I183))-AsOf))</f>
        <v/>
      </c>
      <c r="AU183" s="43" t="str">
        <f aca="false">IF(B183="","",IF(AV183="",0,LEN(AV183)-LEN(SUBSTITUTE(AV183,";",""))))</f>
        <v/>
      </c>
      <c r="AV183" s="9" t="str">
        <f aca="false">IF(B183="","",IF(COUNTIF($B$6:$B$505,B183)&gt;1,"Duplicate Emp Code; ","")&amp;IF(C183="","Name missing; ","")&amp;IF(I183="","DOJ missing; ","")&amp;IF(AND(J183&lt;&gt;"",I183&lt;&gt;"",J183&lt;I183),"Exit before DOJ; ","")&amp;IF(Q183="","DOB missing; ","")&amp;IF(T183="","Aadhaar missing; ",IF(LEN(T183)&lt;&gt;12,"Aadhaar not 12 digits; ",IF(COUNTIF($T$6:$T$505,T183)&gt;1,"Duplicate Aadhaar; ","")))&amp;IF(U183="","PAN missing; ",IF(LEN(U183)&lt;&gt;10,"PAN not 10 chars; ",""))&amp;IF(V183="","Mobile missing; ",IF(LEN(V183)&lt;&gt;10,"Mobile not 10 digits; ",""))&amp;IF(AG183="","Bank A/c missing; ","")&amp;IF(AH183="","IFSC missing; ",IF(LEN(AH183)&lt;&gt;11,"IFSC not 11 chars; ","")))</f>
        <v/>
      </c>
      <c r="AW183" s="46" t="str">
        <f aca="false">IF(AS183="","",AS183+ROW()/100000)</f>
        <v/>
      </c>
      <c r="AX183" s="46" t="str">
        <f aca="false">IF(AT183="","",AT183+ROW()/100000)</f>
        <v/>
      </c>
    </row>
    <row r="184" customFormat="false" ht="15" hidden="false" customHeight="false" outlineLevel="0" collapsed="false">
      <c r="A184" s="9" t="str">
        <f aca="false">IF(B184="","",ROW()-5)</f>
        <v/>
      </c>
      <c r="B184" s="40"/>
      <c r="C184" s="8"/>
      <c r="D184" s="9" t="str">
        <f aca="false">IF(B184="","",IF(J184="","Active","Exited"))</f>
        <v/>
      </c>
      <c r="E184" s="8"/>
      <c r="F184" s="8"/>
      <c r="G184" s="8"/>
      <c r="H184" s="9" t="str">
        <f aca="false">IF(OR(B184="",I184=""),"",IF(IF(J184="",AsOf,J184)-I184&gt;=Settings!$C$13,"Permanent","Probation"))</f>
        <v/>
      </c>
      <c r="I184" s="41"/>
      <c r="J184" s="41"/>
      <c r="K184" s="8"/>
      <c r="L184" s="42" t="str">
        <f aca="false">IF(OR(B184="",I184=""),"",ROUND((IF(J184="",AsOf,J184)-I184)/365.25,1))</f>
        <v/>
      </c>
      <c r="M184" s="8"/>
      <c r="N184" s="8"/>
      <c r="O184" s="8"/>
      <c r="P184" s="8"/>
      <c r="Q184" s="41"/>
      <c r="R184" s="43" t="str">
        <f aca="false">IF(OR(B184="",Q184=""),"",INT((AsOf-Q184)/365.25))</f>
        <v/>
      </c>
      <c r="S184" s="8"/>
      <c r="T184" s="40"/>
      <c r="U184" s="40"/>
      <c r="V184" s="40"/>
      <c r="W184" s="40"/>
      <c r="X184" s="8"/>
      <c r="Y184" s="8"/>
      <c r="Z184" s="8"/>
      <c r="AA184" s="8"/>
      <c r="AB184" s="8"/>
      <c r="AC184" s="8"/>
      <c r="AD184" s="8"/>
      <c r="AE184" s="40"/>
      <c r="AF184" s="8"/>
      <c r="AG184" s="40"/>
      <c r="AH184" s="40"/>
      <c r="AI184" s="8"/>
      <c r="AJ184" s="40"/>
      <c r="AK184" s="40"/>
      <c r="AL184" s="40"/>
      <c r="AM184" s="44"/>
      <c r="AN184" s="44"/>
      <c r="AO184" s="41"/>
      <c r="AP184" s="45" t="str">
        <f aca="false">IF(B184="","",IF(AND(ISNUMBER(AM184),ISNUMBER(AN184),AM184&gt;0,AN184&gt;0),AN184/AM184-1,""))</f>
        <v/>
      </c>
      <c r="AQ184" s="9" t="str">
        <f aca="false">IF(I184="","",(YEAR(I184)-IF(MONTH(I184)&lt;4,1,0))&amp;"-"&amp;RIGHT((YEAR(I184)-IF(MONTH(I184)&lt;4,1,0))+1,2))</f>
        <v/>
      </c>
      <c r="AR184" s="9" t="str">
        <f aca="false">IF(J184="","",(YEAR(J184)-IF(MONTH(J184)&lt;4,1,0))&amp;"-"&amp;RIGHT((YEAR(J184)-IF(MONTH(J184)&lt;4,1,0))+1,2))</f>
        <v/>
      </c>
      <c r="AS184" s="43" t="str">
        <f aca="false">IF(OR(B184="",Q184="",D184&lt;&gt;"Active"),"",DATE(YEAR(AsOf)+IF(DATE(YEAR(AsOf),MONTH(Q184),DAY(Q184))&lt;AsOf,1,0),MONTH(Q184),DAY(Q184))-AsOf)</f>
        <v/>
      </c>
      <c r="AT184" s="43" t="str">
        <f aca="false">IF(OR(B184="",I184="",D184&lt;&gt;"Active"),"",IF(YEAR(DATE(YEAR(AsOf)+IF(DATE(YEAR(AsOf),MONTH(I184),DAY(I184))&lt;AsOf,1,0),MONTH(I184),DAY(I184)))-YEAR(I184)&lt;1,"",DATE(YEAR(AsOf)+IF(DATE(YEAR(AsOf),MONTH(I184),DAY(I184))&lt;AsOf,1,0),MONTH(I184),DAY(I184))-AsOf))</f>
        <v/>
      </c>
      <c r="AU184" s="43" t="str">
        <f aca="false">IF(B184="","",IF(AV184="",0,LEN(AV184)-LEN(SUBSTITUTE(AV184,";",""))))</f>
        <v/>
      </c>
      <c r="AV184" s="9" t="str">
        <f aca="false">IF(B184="","",IF(COUNTIF($B$6:$B$505,B184)&gt;1,"Duplicate Emp Code; ","")&amp;IF(C184="","Name missing; ","")&amp;IF(I184="","DOJ missing; ","")&amp;IF(AND(J184&lt;&gt;"",I184&lt;&gt;"",J184&lt;I184),"Exit before DOJ; ","")&amp;IF(Q184="","DOB missing; ","")&amp;IF(T184="","Aadhaar missing; ",IF(LEN(T184)&lt;&gt;12,"Aadhaar not 12 digits; ",IF(COUNTIF($T$6:$T$505,T184)&gt;1,"Duplicate Aadhaar; ","")))&amp;IF(U184="","PAN missing; ",IF(LEN(U184)&lt;&gt;10,"PAN not 10 chars; ",""))&amp;IF(V184="","Mobile missing; ",IF(LEN(V184)&lt;&gt;10,"Mobile not 10 digits; ",""))&amp;IF(AG184="","Bank A/c missing; ","")&amp;IF(AH184="","IFSC missing; ",IF(LEN(AH184)&lt;&gt;11,"IFSC not 11 chars; ","")))</f>
        <v/>
      </c>
      <c r="AW184" s="46" t="str">
        <f aca="false">IF(AS184="","",AS184+ROW()/100000)</f>
        <v/>
      </c>
      <c r="AX184" s="46" t="str">
        <f aca="false">IF(AT184="","",AT184+ROW()/100000)</f>
        <v/>
      </c>
    </row>
    <row r="185" customFormat="false" ht="15" hidden="false" customHeight="false" outlineLevel="0" collapsed="false">
      <c r="A185" s="9" t="str">
        <f aca="false">IF(B185="","",ROW()-5)</f>
        <v/>
      </c>
      <c r="B185" s="40"/>
      <c r="C185" s="8"/>
      <c r="D185" s="9" t="str">
        <f aca="false">IF(B185="","",IF(J185="","Active","Exited"))</f>
        <v/>
      </c>
      <c r="E185" s="8"/>
      <c r="F185" s="8"/>
      <c r="G185" s="8"/>
      <c r="H185" s="9" t="str">
        <f aca="false">IF(OR(B185="",I185=""),"",IF(IF(J185="",AsOf,J185)-I185&gt;=Settings!$C$13,"Permanent","Probation"))</f>
        <v/>
      </c>
      <c r="I185" s="41"/>
      <c r="J185" s="41"/>
      <c r="K185" s="8"/>
      <c r="L185" s="42" t="str">
        <f aca="false">IF(OR(B185="",I185=""),"",ROUND((IF(J185="",AsOf,J185)-I185)/365.25,1))</f>
        <v/>
      </c>
      <c r="M185" s="8"/>
      <c r="N185" s="8"/>
      <c r="O185" s="8"/>
      <c r="P185" s="8"/>
      <c r="Q185" s="41"/>
      <c r="R185" s="43" t="str">
        <f aca="false">IF(OR(B185="",Q185=""),"",INT((AsOf-Q185)/365.25))</f>
        <v/>
      </c>
      <c r="S185" s="8"/>
      <c r="T185" s="40"/>
      <c r="U185" s="40"/>
      <c r="V185" s="40"/>
      <c r="W185" s="40"/>
      <c r="X185" s="8"/>
      <c r="Y185" s="8"/>
      <c r="Z185" s="8"/>
      <c r="AA185" s="8"/>
      <c r="AB185" s="8"/>
      <c r="AC185" s="8"/>
      <c r="AD185" s="8"/>
      <c r="AE185" s="40"/>
      <c r="AF185" s="8"/>
      <c r="AG185" s="40"/>
      <c r="AH185" s="40"/>
      <c r="AI185" s="8"/>
      <c r="AJ185" s="40"/>
      <c r="AK185" s="40"/>
      <c r="AL185" s="40"/>
      <c r="AM185" s="44"/>
      <c r="AN185" s="44"/>
      <c r="AO185" s="41"/>
      <c r="AP185" s="45" t="str">
        <f aca="false">IF(B185="","",IF(AND(ISNUMBER(AM185),ISNUMBER(AN185),AM185&gt;0,AN185&gt;0),AN185/AM185-1,""))</f>
        <v/>
      </c>
      <c r="AQ185" s="9" t="str">
        <f aca="false">IF(I185="","",(YEAR(I185)-IF(MONTH(I185)&lt;4,1,0))&amp;"-"&amp;RIGHT((YEAR(I185)-IF(MONTH(I185)&lt;4,1,0))+1,2))</f>
        <v/>
      </c>
      <c r="AR185" s="9" t="str">
        <f aca="false">IF(J185="","",(YEAR(J185)-IF(MONTH(J185)&lt;4,1,0))&amp;"-"&amp;RIGHT((YEAR(J185)-IF(MONTH(J185)&lt;4,1,0))+1,2))</f>
        <v/>
      </c>
      <c r="AS185" s="43" t="str">
        <f aca="false">IF(OR(B185="",Q185="",D185&lt;&gt;"Active"),"",DATE(YEAR(AsOf)+IF(DATE(YEAR(AsOf),MONTH(Q185),DAY(Q185))&lt;AsOf,1,0),MONTH(Q185),DAY(Q185))-AsOf)</f>
        <v/>
      </c>
      <c r="AT185" s="43" t="str">
        <f aca="false">IF(OR(B185="",I185="",D185&lt;&gt;"Active"),"",IF(YEAR(DATE(YEAR(AsOf)+IF(DATE(YEAR(AsOf),MONTH(I185),DAY(I185))&lt;AsOf,1,0),MONTH(I185),DAY(I185)))-YEAR(I185)&lt;1,"",DATE(YEAR(AsOf)+IF(DATE(YEAR(AsOf),MONTH(I185),DAY(I185))&lt;AsOf,1,0),MONTH(I185),DAY(I185))-AsOf))</f>
        <v/>
      </c>
      <c r="AU185" s="43" t="str">
        <f aca="false">IF(B185="","",IF(AV185="",0,LEN(AV185)-LEN(SUBSTITUTE(AV185,";",""))))</f>
        <v/>
      </c>
      <c r="AV185" s="9" t="str">
        <f aca="false">IF(B185="","",IF(COUNTIF($B$6:$B$505,B185)&gt;1,"Duplicate Emp Code; ","")&amp;IF(C185="","Name missing; ","")&amp;IF(I185="","DOJ missing; ","")&amp;IF(AND(J185&lt;&gt;"",I185&lt;&gt;"",J185&lt;I185),"Exit before DOJ; ","")&amp;IF(Q185="","DOB missing; ","")&amp;IF(T185="","Aadhaar missing; ",IF(LEN(T185)&lt;&gt;12,"Aadhaar not 12 digits; ",IF(COUNTIF($T$6:$T$505,T185)&gt;1,"Duplicate Aadhaar; ","")))&amp;IF(U185="","PAN missing; ",IF(LEN(U185)&lt;&gt;10,"PAN not 10 chars; ",""))&amp;IF(V185="","Mobile missing; ",IF(LEN(V185)&lt;&gt;10,"Mobile not 10 digits; ",""))&amp;IF(AG185="","Bank A/c missing; ","")&amp;IF(AH185="","IFSC missing; ",IF(LEN(AH185)&lt;&gt;11,"IFSC not 11 chars; ","")))</f>
        <v/>
      </c>
      <c r="AW185" s="46" t="str">
        <f aca="false">IF(AS185="","",AS185+ROW()/100000)</f>
        <v/>
      </c>
      <c r="AX185" s="46" t="str">
        <f aca="false">IF(AT185="","",AT185+ROW()/100000)</f>
        <v/>
      </c>
    </row>
    <row r="186" customFormat="false" ht="15" hidden="false" customHeight="false" outlineLevel="0" collapsed="false">
      <c r="A186" s="9" t="str">
        <f aca="false">IF(B186="","",ROW()-5)</f>
        <v/>
      </c>
      <c r="B186" s="40"/>
      <c r="C186" s="8"/>
      <c r="D186" s="9" t="str">
        <f aca="false">IF(B186="","",IF(J186="","Active","Exited"))</f>
        <v/>
      </c>
      <c r="E186" s="8"/>
      <c r="F186" s="8"/>
      <c r="G186" s="8"/>
      <c r="H186" s="9" t="str">
        <f aca="false">IF(OR(B186="",I186=""),"",IF(IF(J186="",AsOf,J186)-I186&gt;=Settings!$C$13,"Permanent","Probation"))</f>
        <v/>
      </c>
      <c r="I186" s="41"/>
      <c r="J186" s="41"/>
      <c r="K186" s="8"/>
      <c r="L186" s="42" t="str">
        <f aca="false">IF(OR(B186="",I186=""),"",ROUND((IF(J186="",AsOf,J186)-I186)/365.25,1))</f>
        <v/>
      </c>
      <c r="M186" s="8"/>
      <c r="N186" s="8"/>
      <c r="O186" s="8"/>
      <c r="P186" s="8"/>
      <c r="Q186" s="41"/>
      <c r="R186" s="43" t="str">
        <f aca="false">IF(OR(B186="",Q186=""),"",INT((AsOf-Q186)/365.25))</f>
        <v/>
      </c>
      <c r="S186" s="8"/>
      <c r="T186" s="40"/>
      <c r="U186" s="40"/>
      <c r="V186" s="40"/>
      <c r="W186" s="40"/>
      <c r="X186" s="8"/>
      <c r="Y186" s="8"/>
      <c r="Z186" s="8"/>
      <c r="AA186" s="8"/>
      <c r="AB186" s="8"/>
      <c r="AC186" s="8"/>
      <c r="AD186" s="8"/>
      <c r="AE186" s="40"/>
      <c r="AF186" s="8"/>
      <c r="AG186" s="40"/>
      <c r="AH186" s="40"/>
      <c r="AI186" s="8"/>
      <c r="AJ186" s="40"/>
      <c r="AK186" s="40"/>
      <c r="AL186" s="40"/>
      <c r="AM186" s="44"/>
      <c r="AN186" s="44"/>
      <c r="AO186" s="41"/>
      <c r="AP186" s="45" t="str">
        <f aca="false">IF(B186="","",IF(AND(ISNUMBER(AM186),ISNUMBER(AN186),AM186&gt;0,AN186&gt;0),AN186/AM186-1,""))</f>
        <v/>
      </c>
      <c r="AQ186" s="9" t="str">
        <f aca="false">IF(I186="","",(YEAR(I186)-IF(MONTH(I186)&lt;4,1,0))&amp;"-"&amp;RIGHT((YEAR(I186)-IF(MONTH(I186)&lt;4,1,0))+1,2))</f>
        <v/>
      </c>
      <c r="AR186" s="9" t="str">
        <f aca="false">IF(J186="","",(YEAR(J186)-IF(MONTH(J186)&lt;4,1,0))&amp;"-"&amp;RIGHT((YEAR(J186)-IF(MONTH(J186)&lt;4,1,0))+1,2))</f>
        <v/>
      </c>
      <c r="AS186" s="43" t="str">
        <f aca="false">IF(OR(B186="",Q186="",D186&lt;&gt;"Active"),"",DATE(YEAR(AsOf)+IF(DATE(YEAR(AsOf),MONTH(Q186),DAY(Q186))&lt;AsOf,1,0),MONTH(Q186),DAY(Q186))-AsOf)</f>
        <v/>
      </c>
      <c r="AT186" s="43" t="str">
        <f aca="false">IF(OR(B186="",I186="",D186&lt;&gt;"Active"),"",IF(YEAR(DATE(YEAR(AsOf)+IF(DATE(YEAR(AsOf),MONTH(I186),DAY(I186))&lt;AsOf,1,0),MONTH(I186),DAY(I186)))-YEAR(I186)&lt;1,"",DATE(YEAR(AsOf)+IF(DATE(YEAR(AsOf),MONTH(I186),DAY(I186))&lt;AsOf,1,0),MONTH(I186),DAY(I186))-AsOf))</f>
        <v/>
      </c>
      <c r="AU186" s="43" t="str">
        <f aca="false">IF(B186="","",IF(AV186="",0,LEN(AV186)-LEN(SUBSTITUTE(AV186,";",""))))</f>
        <v/>
      </c>
      <c r="AV186" s="9" t="str">
        <f aca="false">IF(B186="","",IF(COUNTIF($B$6:$B$505,B186)&gt;1,"Duplicate Emp Code; ","")&amp;IF(C186="","Name missing; ","")&amp;IF(I186="","DOJ missing; ","")&amp;IF(AND(J186&lt;&gt;"",I186&lt;&gt;"",J186&lt;I186),"Exit before DOJ; ","")&amp;IF(Q186="","DOB missing; ","")&amp;IF(T186="","Aadhaar missing; ",IF(LEN(T186)&lt;&gt;12,"Aadhaar not 12 digits; ",IF(COUNTIF($T$6:$T$505,T186)&gt;1,"Duplicate Aadhaar; ","")))&amp;IF(U186="","PAN missing; ",IF(LEN(U186)&lt;&gt;10,"PAN not 10 chars; ",""))&amp;IF(V186="","Mobile missing; ",IF(LEN(V186)&lt;&gt;10,"Mobile not 10 digits; ",""))&amp;IF(AG186="","Bank A/c missing; ","")&amp;IF(AH186="","IFSC missing; ",IF(LEN(AH186)&lt;&gt;11,"IFSC not 11 chars; ","")))</f>
        <v/>
      </c>
      <c r="AW186" s="46" t="str">
        <f aca="false">IF(AS186="","",AS186+ROW()/100000)</f>
        <v/>
      </c>
      <c r="AX186" s="46" t="str">
        <f aca="false">IF(AT186="","",AT186+ROW()/100000)</f>
        <v/>
      </c>
    </row>
    <row r="187" customFormat="false" ht="15" hidden="false" customHeight="false" outlineLevel="0" collapsed="false">
      <c r="A187" s="9" t="str">
        <f aca="false">IF(B187="","",ROW()-5)</f>
        <v/>
      </c>
      <c r="B187" s="40"/>
      <c r="C187" s="8"/>
      <c r="D187" s="9" t="str">
        <f aca="false">IF(B187="","",IF(J187="","Active","Exited"))</f>
        <v/>
      </c>
      <c r="E187" s="8"/>
      <c r="F187" s="8"/>
      <c r="G187" s="8"/>
      <c r="H187" s="9" t="str">
        <f aca="false">IF(OR(B187="",I187=""),"",IF(IF(J187="",AsOf,J187)-I187&gt;=Settings!$C$13,"Permanent","Probation"))</f>
        <v/>
      </c>
      <c r="I187" s="41"/>
      <c r="J187" s="41"/>
      <c r="K187" s="8"/>
      <c r="L187" s="42" t="str">
        <f aca="false">IF(OR(B187="",I187=""),"",ROUND((IF(J187="",AsOf,J187)-I187)/365.25,1))</f>
        <v/>
      </c>
      <c r="M187" s="8"/>
      <c r="N187" s="8"/>
      <c r="O187" s="8"/>
      <c r="P187" s="8"/>
      <c r="Q187" s="41"/>
      <c r="R187" s="43" t="str">
        <f aca="false">IF(OR(B187="",Q187=""),"",INT((AsOf-Q187)/365.25))</f>
        <v/>
      </c>
      <c r="S187" s="8"/>
      <c r="T187" s="40"/>
      <c r="U187" s="40"/>
      <c r="V187" s="40"/>
      <c r="W187" s="40"/>
      <c r="X187" s="8"/>
      <c r="Y187" s="8"/>
      <c r="Z187" s="8"/>
      <c r="AA187" s="8"/>
      <c r="AB187" s="8"/>
      <c r="AC187" s="8"/>
      <c r="AD187" s="8"/>
      <c r="AE187" s="40"/>
      <c r="AF187" s="8"/>
      <c r="AG187" s="40"/>
      <c r="AH187" s="40"/>
      <c r="AI187" s="8"/>
      <c r="AJ187" s="40"/>
      <c r="AK187" s="40"/>
      <c r="AL187" s="40"/>
      <c r="AM187" s="44"/>
      <c r="AN187" s="44"/>
      <c r="AO187" s="41"/>
      <c r="AP187" s="45" t="str">
        <f aca="false">IF(B187="","",IF(AND(ISNUMBER(AM187),ISNUMBER(AN187),AM187&gt;0,AN187&gt;0),AN187/AM187-1,""))</f>
        <v/>
      </c>
      <c r="AQ187" s="9" t="str">
        <f aca="false">IF(I187="","",(YEAR(I187)-IF(MONTH(I187)&lt;4,1,0))&amp;"-"&amp;RIGHT((YEAR(I187)-IF(MONTH(I187)&lt;4,1,0))+1,2))</f>
        <v/>
      </c>
      <c r="AR187" s="9" t="str">
        <f aca="false">IF(J187="","",(YEAR(J187)-IF(MONTH(J187)&lt;4,1,0))&amp;"-"&amp;RIGHT((YEAR(J187)-IF(MONTH(J187)&lt;4,1,0))+1,2))</f>
        <v/>
      </c>
      <c r="AS187" s="43" t="str">
        <f aca="false">IF(OR(B187="",Q187="",D187&lt;&gt;"Active"),"",DATE(YEAR(AsOf)+IF(DATE(YEAR(AsOf),MONTH(Q187),DAY(Q187))&lt;AsOf,1,0),MONTH(Q187),DAY(Q187))-AsOf)</f>
        <v/>
      </c>
      <c r="AT187" s="43" t="str">
        <f aca="false">IF(OR(B187="",I187="",D187&lt;&gt;"Active"),"",IF(YEAR(DATE(YEAR(AsOf)+IF(DATE(YEAR(AsOf),MONTH(I187),DAY(I187))&lt;AsOf,1,0),MONTH(I187),DAY(I187)))-YEAR(I187)&lt;1,"",DATE(YEAR(AsOf)+IF(DATE(YEAR(AsOf),MONTH(I187),DAY(I187))&lt;AsOf,1,0),MONTH(I187),DAY(I187))-AsOf))</f>
        <v/>
      </c>
      <c r="AU187" s="43" t="str">
        <f aca="false">IF(B187="","",IF(AV187="",0,LEN(AV187)-LEN(SUBSTITUTE(AV187,";",""))))</f>
        <v/>
      </c>
      <c r="AV187" s="9" t="str">
        <f aca="false">IF(B187="","",IF(COUNTIF($B$6:$B$505,B187)&gt;1,"Duplicate Emp Code; ","")&amp;IF(C187="","Name missing; ","")&amp;IF(I187="","DOJ missing; ","")&amp;IF(AND(J187&lt;&gt;"",I187&lt;&gt;"",J187&lt;I187),"Exit before DOJ; ","")&amp;IF(Q187="","DOB missing; ","")&amp;IF(T187="","Aadhaar missing; ",IF(LEN(T187)&lt;&gt;12,"Aadhaar not 12 digits; ",IF(COUNTIF($T$6:$T$505,T187)&gt;1,"Duplicate Aadhaar; ","")))&amp;IF(U187="","PAN missing; ",IF(LEN(U187)&lt;&gt;10,"PAN not 10 chars; ",""))&amp;IF(V187="","Mobile missing; ",IF(LEN(V187)&lt;&gt;10,"Mobile not 10 digits; ",""))&amp;IF(AG187="","Bank A/c missing; ","")&amp;IF(AH187="","IFSC missing; ",IF(LEN(AH187)&lt;&gt;11,"IFSC not 11 chars; ","")))</f>
        <v/>
      </c>
      <c r="AW187" s="46" t="str">
        <f aca="false">IF(AS187="","",AS187+ROW()/100000)</f>
        <v/>
      </c>
      <c r="AX187" s="46" t="str">
        <f aca="false">IF(AT187="","",AT187+ROW()/100000)</f>
        <v/>
      </c>
    </row>
    <row r="188" customFormat="false" ht="15" hidden="false" customHeight="false" outlineLevel="0" collapsed="false">
      <c r="A188" s="9" t="str">
        <f aca="false">IF(B188="","",ROW()-5)</f>
        <v/>
      </c>
      <c r="B188" s="40"/>
      <c r="C188" s="8"/>
      <c r="D188" s="9" t="str">
        <f aca="false">IF(B188="","",IF(J188="","Active","Exited"))</f>
        <v/>
      </c>
      <c r="E188" s="8"/>
      <c r="F188" s="8"/>
      <c r="G188" s="8"/>
      <c r="H188" s="9" t="str">
        <f aca="false">IF(OR(B188="",I188=""),"",IF(IF(J188="",AsOf,J188)-I188&gt;=Settings!$C$13,"Permanent","Probation"))</f>
        <v/>
      </c>
      <c r="I188" s="41"/>
      <c r="J188" s="41"/>
      <c r="K188" s="8"/>
      <c r="L188" s="42" t="str">
        <f aca="false">IF(OR(B188="",I188=""),"",ROUND((IF(J188="",AsOf,J188)-I188)/365.25,1))</f>
        <v/>
      </c>
      <c r="M188" s="8"/>
      <c r="N188" s="8"/>
      <c r="O188" s="8"/>
      <c r="P188" s="8"/>
      <c r="Q188" s="41"/>
      <c r="R188" s="43" t="str">
        <f aca="false">IF(OR(B188="",Q188=""),"",INT((AsOf-Q188)/365.25))</f>
        <v/>
      </c>
      <c r="S188" s="8"/>
      <c r="T188" s="40"/>
      <c r="U188" s="40"/>
      <c r="V188" s="40"/>
      <c r="W188" s="40"/>
      <c r="X188" s="8"/>
      <c r="Y188" s="8"/>
      <c r="Z188" s="8"/>
      <c r="AA188" s="8"/>
      <c r="AB188" s="8"/>
      <c r="AC188" s="8"/>
      <c r="AD188" s="8"/>
      <c r="AE188" s="40"/>
      <c r="AF188" s="8"/>
      <c r="AG188" s="40"/>
      <c r="AH188" s="40"/>
      <c r="AI188" s="8"/>
      <c r="AJ188" s="40"/>
      <c r="AK188" s="40"/>
      <c r="AL188" s="40"/>
      <c r="AM188" s="44"/>
      <c r="AN188" s="44"/>
      <c r="AO188" s="41"/>
      <c r="AP188" s="45" t="str">
        <f aca="false">IF(B188="","",IF(AND(ISNUMBER(AM188),ISNUMBER(AN188),AM188&gt;0,AN188&gt;0),AN188/AM188-1,""))</f>
        <v/>
      </c>
      <c r="AQ188" s="9" t="str">
        <f aca="false">IF(I188="","",(YEAR(I188)-IF(MONTH(I188)&lt;4,1,0))&amp;"-"&amp;RIGHT((YEAR(I188)-IF(MONTH(I188)&lt;4,1,0))+1,2))</f>
        <v/>
      </c>
      <c r="AR188" s="9" t="str">
        <f aca="false">IF(J188="","",(YEAR(J188)-IF(MONTH(J188)&lt;4,1,0))&amp;"-"&amp;RIGHT((YEAR(J188)-IF(MONTH(J188)&lt;4,1,0))+1,2))</f>
        <v/>
      </c>
      <c r="AS188" s="43" t="str">
        <f aca="false">IF(OR(B188="",Q188="",D188&lt;&gt;"Active"),"",DATE(YEAR(AsOf)+IF(DATE(YEAR(AsOf),MONTH(Q188),DAY(Q188))&lt;AsOf,1,0),MONTH(Q188),DAY(Q188))-AsOf)</f>
        <v/>
      </c>
      <c r="AT188" s="43" t="str">
        <f aca="false">IF(OR(B188="",I188="",D188&lt;&gt;"Active"),"",IF(YEAR(DATE(YEAR(AsOf)+IF(DATE(YEAR(AsOf),MONTH(I188),DAY(I188))&lt;AsOf,1,0),MONTH(I188),DAY(I188)))-YEAR(I188)&lt;1,"",DATE(YEAR(AsOf)+IF(DATE(YEAR(AsOf),MONTH(I188),DAY(I188))&lt;AsOf,1,0),MONTH(I188),DAY(I188))-AsOf))</f>
        <v/>
      </c>
      <c r="AU188" s="43" t="str">
        <f aca="false">IF(B188="","",IF(AV188="",0,LEN(AV188)-LEN(SUBSTITUTE(AV188,";",""))))</f>
        <v/>
      </c>
      <c r="AV188" s="9" t="str">
        <f aca="false">IF(B188="","",IF(COUNTIF($B$6:$B$505,B188)&gt;1,"Duplicate Emp Code; ","")&amp;IF(C188="","Name missing; ","")&amp;IF(I188="","DOJ missing; ","")&amp;IF(AND(J188&lt;&gt;"",I188&lt;&gt;"",J188&lt;I188),"Exit before DOJ; ","")&amp;IF(Q188="","DOB missing; ","")&amp;IF(T188="","Aadhaar missing; ",IF(LEN(T188)&lt;&gt;12,"Aadhaar not 12 digits; ",IF(COUNTIF($T$6:$T$505,T188)&gt;1,"Duplicate Aadhaar; ","")))&amp;IF(U188="","PAN missing; ",IF(LEN(U188)&lt;&gt;10,"PAN not 10 chars; ",""))&amp;IF(V188="","Mobile missing; ",IF(LEN(V188)&lt;&gt;10,"Mobile not 10 digits; ",""))&amp;IF(AG188="","Bank A/c missing; ","")&amp;IF(AH188="","IFSC missing; ",IF(LEN(AH188)&lt;&gt;11,"IFSC not 11 chars; ","")))</f>
        <v/>
      </c>
      <c r="AW188" s="46" t="str">
        <f aca="false">IF(AS188="","",AS188+ROW()/100000)</f>
        <v/>
      </c>
      <c r="AX188" s="46" t="str">
        <f aca="false">IF(AT188="","",AT188+ROW()/100000)</f>
        <v/>
      </c>
    </row>
    <row r="189" customFormat="false" ht="15" hidden="false" customHeight="false" outlineLevel="0" collapsed="false">
      <c r="A189" s="9" t="str">
        <f aca="false">IF(B189="","",ROW()-5)</f>
        <v/>
      </c>
      <c r="B189" s="40"/>
      <c r="C189" s="8"/>
      <c r="D189" s="9" t="str">
        <f aca="false">IF(B189="","",IF(J189="","Active","Exited"))</f>
        <v/>
      </c>
      <c r="E189" s="8"/>
      <c r="F189" s="8"/>
      <c r="G189" s="8"/>
      <c r="H189" s="9" t="str">
        <f aca="false">IF(OR(B189="",I189=""),"",IF(IF(J189="",AsOf,J189)-I189&gt;=Settings!$C$13,"Permanent","Probation"))</f>
        <v/>
      </c>
      <c r="I189" s="41"/>
      <c r="J189" s="41"/>
      <c r="K189" s="8"/>
      <c r="L189" s="42" t="str">
        <f aca="false">IF(OR(B189="",I189=""),"",ROUND((IF(J189="",AsOf,J189)-I189)/365.25,1))</f>
        <v/>
      </c>
      <c r="M189" s="8"/>
      <c r="N189" s="8"/>
      <c r="O189" s="8"/>
      <c r="P189" s="8"/>
      <c r="Q189" s="41"/>
      <c r="R189" s="43" t="str">
        <f aca="false">IF(OR(B189="",Q189=""),"",INT((AsOf-Q189)/365.25))</f>
        <v/>
      </c>
      <c r="S189" s="8"/>
      <c r="T189" s="40"/>
      <c r="U189" s="40"/>
      <c r="V189" s="40"/>
      <c r="W189" s="40"/>
      <c r="X189" s="8"/>
      <c r="Y189" s="8"/>
      <c r="Z189" s="8"/>
      <c r="AA189" s="8"/>
      <c r="AB189" s="8"/>
      <c r="AC189" s="8"/>
      <c r="AD189" s="8"/>
      <c r="AE189" s="40"/>
      <c r="AF189" s="8"/>
      <c r="AG189" s="40"/>
      <c r="AH189" s="40"/>
      <c r="AI189" s="8"/>
      <c r="AJ189" s="40"/>
      <c r="AK189" s="40"/>
      <c r="AL189" s="40"/>
      <c r="AM189" s="44"/>
      <c r="AN189" s="44"/>
      <c r="AO189" s="41"/>
      <c r="AP189" s="45" t="str">
        <f aca="false">IF(B189="","",IF(AND(ISNUMBER(AM189),ISNUMBER(AN189),AM189&gt;0,AN189&gt;0),AN189/AM189-1,""))</f>
        <v/>
      </c>
      <c r="AQ189" s="9" t="str">
        <f aca="false">IF(I189="","",(YEAR(I189)-IF(MONTH(I189)&lt;4,1,0))&amp;"-"&amp;RIGHT((YEAR(I189)-IF(MONTH(I189)&lt;4,1,0))+1,2))</f>
        <v/>
      </c>
      <c r="AR189" s="9" t="str">
        <f aca="false">IF(J189="","",(YEAR(J189)-IF(MONTH(J189)&lt;4,1,0))&amp;"-"&amp;RIGHT((YEAR(J189)-IF(MONTH(J189)&lt;4,1,0))+1,2))</f>
        <v/>
      </c>
      <c r="AS189" s="43" t="str">
        <f aca="false">IF(OR(B189="",Q189="",D189&lt;&gt;"Active"),"",DATE(YEAR(AsOf)+IF(DATE(YEAR(AsOf),MONTH(Q189),DAY(Q189))&lt;AsOf,1,0),MONTH(Q189),DAY(Q189))-AsOf)</f>
        <v/>
      </c>
      <c r="AT189" s="43" t="str">
        <f aca="false">IF(OR(B189="",I189="",D189&lt;&gt;"Active"),"",IF(YEAR(DATE(YEAR(AsOf)+IF(DATE(YEAR(AsOf),MONTH(I189),DAY(I189))&lt;AsOf,1,0),MONTH(I189),DAY(I189)))-YEAR(I189)&lt;1,"",DATE(YEAR(AsOf)+IF(DATE(YEAR(AsOf),MONTH(I189),DAY(I189))&lt;AsOf,1,0),MONTH(I189),DAY(I189))-AsOf))</f>
        <v/>
      </c>
      <c r="AU189" s="43" t="str">
        <f aca="false">IF(B189="","",IF(AV189="",0,LEN(AV189)-LEN(SUBSTITUTE(AV189,";",""))))</f>
        <v/>
      </c>
      <c r="AV189" s="9" t="str">
        <f aca="false">IF(B189="","",IF(COUNTIF($B$6:$B$505,B189)&gt;1,"Duplicate Emp Code; ","")&amp;IF(C189="","Name missing; ","")&amp;IF(I189="","DOJ missing; ","")&amp;IF(AND(J189&lt;&gt;"",I189&lt;&gt;"",J189&lt;I189),"Exit before DOJ; ","")&amp;IF(Q189="","DOB missing; ","")&amp;IF(T189="","Aadhaar missing; ",IF(LEN(T189)&lt;&gt;12,"Aadhaar not 12 digits; ",IF(COUNTIF($T$6:$T$505,T189)&gt;1,"Duplicate Aadhaar; ","")))&amp;IF(U189="","PAN missing; ",IF(LEN(U189)&lt;&gt;10,"PAN not 10 chars; ",""))&amp;IF(V189="","Mobile missing; ",IF(LEN(V189)&lt;&gt;10,"Mobile not 10 digits; ",""))&amp;IF(AG189="","Bank A/c missing; ","")&amp;IF(AH189="","IFSC missing; ",IF(LEN(AH189)&lt;&gt;11,"IFSC not 11 chars; ","")))</f>
        <v/>
      </c>
      <c r="AW189" s="46" t="str">
        <f aca="false">IF(AS189="","",AS189+ROW()/100000)</f>
        <v/>
      </c>
      <c r="AX189" s="46" t="str">
        <f aca="false">IF(AT189="","",AT189+ROW()/100000)</f>
        <v/>
      </c>
    </row>
    <row r="190" customFormat="false" ht="15" hidden="false" customHeight="false" outlineLevel="0" collapsed="false">
      <c r="A190" s="9" t="str">
        <f aca="false">IF(B190="","",ROW()-5)</f>
        <v/>
      </c>
      <c r="B190" s="40"/>
      <c r="C190" s="8"/>
      <c r="D190" s="9" t="str">
        <f aca="false">IF(B190="","",IF(J190="","Active","Exited"))</f>
        <v/>
      </c>
      <c r="E190" s="8"/>
      <c r="F190" s="8"/>
      <c r="G190" s="8"/>
      <c r="H190" s="9" t="str">
        <f aca="false">IF(OR(B190="",I190=""),"",IF(IF(J190="",AsOf,J190)-I190&gt;=Settings!$C$13,"Permanent","Probation"))</f>
        <v/>
      </c>
      <c r="I190" s="41"/>
      <c r="J190" s="41"/>
      <c r="K190" s="8"/>
      <c r="L190" s="42" t="str">
        <f aca="false">IF(OR(B190="",I190=""),"",ROUND((IF(J190="",AsOf,J190)-I190)/365.25,1))</f>
        <v/>
      </c>
      <c r="M190" s="8"/>
      <c r="N190" s="8"/>
      <c r="O190" s="8"/>
      <c r="P190" s="8"/>
      <c r="Q190" s="41"/>
      <c r="R190" s="43" t="str">
        <f aca="false">IF(OR(B190="",Q190=""),"",INT((AsOf-Q190)/365.25))</f>
        <v/>
      </c>
      <c r="S190" s="8"/>
      <c r="T190" s="40"/>
      <c r="U190" s="40"/>
      <c r="V190" s="40"/>
      <c r="W190" s="40"/>
      <c r="X190" s="8"/>
      <c r="Y190" s="8"/>
      <c r="Z190" s="8"/>
      <c r="AA190" s="8"/>
      <c r="AB190" s="8"/>
      <c r="AC190" s="8"/>
      <c r="AD190" s="8"/>
      <c r="AE190" s="40"/>
      <c r="AF190" s="8"/>
      <c r="AG190" s="40"/>
      <c r="AH190" s="40"/>
      <c r="AI190" s="8"/>
      <c r="AJ190" s="40"/>
      <c r="AK190" s="40"/>
      <c r="AL190" s="40"/>
      <c r="AM190" s="44"/>
      <c r="AN190" s="44"/>
      <c r="AO190" s="41"/>
      <c r="AP190" s="45" t="str">
        <f aca="false">IF(B190="","",IF(AND(ISNUMBER(AM190),ISNUMBER(AN190),AM190&gt;0,AN190&gt;0),AN190/AM190-1,""))</f>
        <v/>
      </c>
      <c r="AQ190" s="9" t="str">
        <f aca="false">IF(I190="","",(YEAR(I190)-IF(MONTH(I190)&lt;4,1,0))&amp;"-"&amp;RIGHT((YEAR(I190)-IF(MONTH(I190)&lt;4,1,0))+1,2))</f>
        <v/>
      </c>
      <c r="AR190" s="9" t="str">
        <f aca="false">IF(J190="","",(YEAR(J190)-IF(MONTH(J190)&lt;4,1,0))&amp;"-"&amp;RIGHT((YEAR(J190)-IF(MONTH(J190)&lt;4,1,0))+1,2))</f>
        <v/>
      </c>
      <c r="AS190" s="43" t="str">
        <f aca="false">IF(OR(B190="",Q190="",D190&lt;&gt;"Active"),"",DATE(YEAR(AsOf)+IF(DATE(YEAR(AsOf),MONTH(Q190),DAY(Q190))&lt;AsOf,1,0),MONTH(Q190),DAY(Q190))-AsOf)</f>
        <v/>
      </c>
      <c r="AT190" s="43" t="str">
        <f aca="false">IF(OR(B190="",I190="",D190&lt;&gt;"Active"),"",IF(YEAR(DATE(YEAR(AsOf)+IF(DATE(YEAR(AsOf),MONTH(I190),DAY(I190))&lt;AsOf,1,0),MONTH(I190),DAY(I190)))-YEAR(I190)&lt;1,"",DATE(YEAR(AsOf)+IF(DATE(YEAR(AsOf),MONTH(I190),DAY(I190))&lt;AsOf,1,0),MONTH(I190),DAY(I190))-AsOf))</f>
        <v/>
      </c>
      <c r="AU190" s="43" t="str">
        <f aca="false">IF(B190="","",IF(AV190="",0,LEN(AV190)-LEN(SUBSTITUTE(AV190,";",""))))</f>
        <v/>
      </c>
      <c r="AV190" s="9" t="str">
        <f aca="false">IF(B190="","",IF(COUNTIF($B$6:$B$505,B190)&gt;1,"Duplicate Emp Code; ","")&amp;IF(C190="","Name missing; ","")&amp;IF(I190="","DOJ missing; ","")&amp;IF(AND(J190&lt;&gt;"",I190&lt;&gt;"",J190&lt;I190),"Exit before DOJ; ","")&amp;IF(Q190="","DOB missing; ","")&amp;IF(T190="","Aadhaar missing; ",IF(LEN(T190)&lt;&gt;12,"Aadhaar not 12 digits; ",IF(COUNTIF($T$6:$T$505,T190)&gt;1,"Duplicate Aadhaar; ","")))&amp;IF(U190="","PAN missing; ",IF(LEN(U190)&lt;&gt;10,"PAN not 10 chars; ",""))&amp;IF(V190="","Mobile missing; ",IF(LEN(V190)&lt;&gt;10,"Mobile not 10 digits; ",""))&amp;IF(AG190="","Bank A/c missing; ","")&amp;IF(AH190="","IFSC missing; ",IF(LEN(AH190)&lt;&gt;11,"IFSC not 11 chars; ","")))</f>
        <v/>
      </c>
      <c r="AW190" s="46" t="str">
        <f aca="false">IF(AS190="","",AS190+ROW()/100000)</f>
        <v/>
      </c>
      <c r="AX190" s="46" t="str">
        <f aca="false">IF(AT190="","",AT190+ROW()/100000)</f>
        <v/>
      </c>
    </row>
    <row r="191" customFormat="false" ht="15" hidden="false" customHeight="false" outlineLevel="0" collapsed="false">
      <c r="A191" s="9" t="str">
        <f aca="false">IF(B191="","",ROW()-5)</f>
        <v/>
      </c>
      <c r="B191" s="40"/>
      <c r="C191" s="8"/>
      <c r="D191" s="9" t="str">
        <f aca="false">IF(B191="","",IF(J191="","Active","Exited"))</f>
        <v/>
      </c>
      <c r="E191" s="8"/>
      <c r="F191" s="8"/>
      <c r="G191" s="8"/>
      <c r="H191" s="9" t="str">
        <f aca="false">IF(OR(B191="",I191=""),"",IF(IF(J191="",AsOf,J191)-I191&gt;=Settings!$C$13,"Permanent","Probation"))</f>
        <v/>
      </c>
      <c r="I191" s="41"/>
      <c r="J191" s="41"/>
      <c r="K191" s="8"/>
      <c r="L191" s="42" t="str">
        <f aca="false">IF(OR(B191="",I191=""),"",ROUND((IF(J191="",AsOf,J191)-I191)/365.25,1))</f>
        <v/>
      </c>
      <c r="M191" s="8"/>
      <c r="N191" s="8"/>
      <c r="O191" s="8"/>
      <c r="P191" s="8"/>
      <c r="Q191" s="41"/>
      <c r="R191" s="43" t="str">
        <f aca="false">IF(OR(B191="",Q191=""),"",INT((AsOf-Q191)/365.25))</f>
        <v/>
      </c>
      <c r="S191" s="8"/>
      <c r="T191" s="40"/>
      <c r="U191" s="40"/>
      <c r="V191" s="40"/>
      <c r="W191" s="40"/>
      <c r="X191" s="8"/>
      <c r="Y191" s="8"/>
      <c r="Z191" s="8"/>
      <c r="AA191" s="8"/>
      <c r="AB191" s="8"/>
      <c r="AC191" s="8"/>
      <c r="AD191" s="8"/>
      <c r="AE191" s="40"/>
      <c r="AF191" s="8"/>
      <c r="AG191" s="40"/>
      <c r="AH191" s="40"/>
      <c r="AI191" s="8"/>
      <c r="AJ191" s="40"/>
      <c r="AK191" s="40"/>
      <c r="AL191" s="40"/>
      <c r="AM191" s="44"/>
      <c r="AN191" s="44"/>
      <c r="AO191" s="41"/>
      <c r="AP191" s="45" t="str">
        <f aca="false">IF(B191="","",IF(AND(ISNUMBER(AM191),ISNUMBER(AN191),AM191&gt;0,AN191&gt;0),AN191/AM191-1,""))</f>
        <v/>
      </c>
      <c r="AQ191" s="9" t="str">
        <f aca="false">IF(I191="","",(YEAR(I191)-IF(MONTH(I191)&lt;4,1,0))&amp;"-"&amp;RIGHT((YEAR(I191)-IF(MONTH(I191)&lt;4,1,0))+1,2))</f>
        <v/>
      </c>
      <c r="AR191" s="9" t="str">
        <f aca="false">IF(J191="","",(YEAR(J191)-IF(MONTH(J191)&lt;4,1,0))&amp;"-"&amp;RIGHT((YEAR(J191)-IF(MONTH(J191)&lt;4,1,0))+1,2))</f>
        <v/>
      </c>
      <c r="AS191" s="43" t="str">
        <f aca="false">IF(OR(B191="",Q191="",D191&lt;&gt;"Active"),"",DATE(YEAR(AsOf)+IF(DATE(YEAR(AsOf),MONTH(Q191),DAY(Q191))&lt;AsOf,1,0),MONTH(Q191),DAY(Q191))-AsOf)</f>
        <v/>
      </c>
      <c r="AT191" s="43" t="str">
        <f aca="false">IF(OR(B191="",I191="",D191&lt;&gt;"Active"),"",IF(YEAR(DATE(YEAR(AsOf)+IF(DATE(YEAR(AsOf),MONTH(I191),DAY(I191))&lt;AsOf,1,0),MONTH(I191),DAY(I191)))-YEAR(I191)&lt;1,"",DATE(YEAR(AsOf)+IF(DATE(YEAR(AsOf),MONTH(I191),DAY(I191))&lt;AsOf,1,0),MONTH(I191),DAY(I191))-AsOf))</f>
        <v/>
      </c>
      <c r="AU191" s="43" t="str">
        <f aca="false">IF(B191="","",IF(AV191="",0,LEN(AV191)-LEN(SUBSTITUTE(AV191,";",""))))</f>
        <v/>
      </c>
      <c r="AV191" s="9" t="str">
        <f aca="false">IF(B191="","",IF(COUNTIF($B$6:$B$505,B191)&gt;1,"Duplicate Emp Code; ","")&amp;IF(C191="","Name missing; ","")&amp;IF(I191="","DOJ missing; ","")&amp;IF(AND(J191&lt;&gt;"",I191&lt;&gt;"",J191&lt;I191),"Exit before DOJ; ","")&amp;IF(Q191="","DOB missing; ","")&amp;IF(T191="","Aadhaar missing; ",IF(LEN(T191)&lt;&gt;12,"Aadhaar not 12 digits; ",IF(COUNTIF($T$6:$T$505,T191)&gt;1,"Duplicate Aadhaar; ","")))&amp;IF(U191="","PAN missing; ",IF(LEN(U191)&lt;&gt;10,"PAN not 10 chars; ",""))&amp;IF(V191="","Mobile missing; ",IF(LEN(V191)&lt;&gt;10,"Mobile not 10 digits; ",""))&amp;IF(AG191="","Bank A/c missing; ","")&amp;IF(AH191="","IFSC missing; ",IF(LEN(AH191)&lt;&gt;11,"IFSC not 11 chars; ","")))</f>
        <v/>
      </c>
      <c r="AW191" s="46" t="str">
        <f aca="false">IF(AS191="","",AS191+ROW()/100000)</f>
        <v/>
      </c>
      <c r="AX191" s="46" t="str">
        <f aca="false">IF(AT191="","",AT191+ROW()/100000)</f>
        <v/>
      </c>
    </row>
    <row r="192" customFormat="false" ht="15" hidden="false" customHeight="false" outlineLevel="0" collapsed="false">
      <c r="A192" s="9" t="str">
        <f aca="false">IF(B192="","",ROW()-5)</f>
        <v/>
      </c>
      <c r="B192" s="40"/>
      <c r="C192" s="8"/>
      <c r="D192" s="9" t="str">
        <f aca="false">IF(B192="","",IF(J192="","Active","Exited"))</f>
        <v/>
      </c>
      <c r="E192" s="8"/>
      <c r="F192" s="8"/>
      <c r="G192" s="8"/>
      <c r="H192" s="9" t="str">
        <f aca="false">IF(OR(B192="",I192=""),"",IF(IF(J192="",AsOf,J192)-I192&gt;=Settings!$C$13,"Permanent","Probation"))</f>
        <v/>
      </c>
      <c r="I192" s="41"/>
      <c r="J192" s="41"/>
      <c r="K192" s="8"/>
      <c r="L192" s="42" t="str">
        <f aca="false">IF(OR(B192="",I192=""),"",ROUND((IF(J192="",AsOf,J192)-I192)/365.25,1))</f>
        <v/>
      </c>
      <c r="M192" s="8"/>
      <c r="N192" s="8"/>
      <c r="O192" s="8"/>
      <c r="P192" s="8"/>
      <c r="Q192" s="41"/>
      <c r="R192" s="43" t="str">
        <f aca="false">IF(OR(B192="",Q192=""),"",INT((AsOf-Q192)/365.25))</f>
        <v/>
      </c>
      <c r="S192" s="8"/>
      <c r="T192" s="40"/>
      <c r="U192" s="40"/>
      <c r="V192" s="40"/>
      <c r="W192" s="40"/>
      <c r="X192" s="8"/>
      <c r="Y192" s="8"/>
      <c r="Z192" s="8"/>
      <c r="AA192" s="8"/>
      <c r="AB192" s="8"/>
      <c r="AC192" s="8"/>
      <c r="AD192" s="8"/>
      <c r="AE192" s="40"/>
      <c r="AF192" s="8"/>
      <c r="AG192" s="40"/>
      <c r="AH192" s="40"/>
      <c r="AI192" s="8"/>
      <c r="AJ192" s="40"/>
      <c r="AK192" s="40"/>
      <c r="AL192" s="40"/>
      <c r="AM192" s="44"/>
      <c r="AN192" s="44"/>
      <c r="AO192" s="41"/>
      <c r="AP192" s="45" t="str">
        <f aca="false">IF(B192="","",IF(AND(ISNUMBER(AM192),ISNUMBER(AN192),AM192&gt;0,AN192&gt;0),AN192/AM192-1,""))</f>
        <v/>
      </c>
      <c r="AQ192" s="9" t="str">
        <f aca="false">IF(I192="","",(YEAR(I192)-IF(MONTH(I192)&lt;4,1,0))&amp;"-"&amp;RIGHT((YEAR(I192)-IF(MONTH(I192)&lt;4,1,0))+1,2))</f>
        <v/>
      </c>
      <c r="AR192" s="9" t="str">
        <f aca="false">IF(J192="","",(YEAR(J192)-IF(MONTH(J192)&lt;4,1,0))&amp;"-"&amp;RIGHT((YEAR(J192)-IF(MONTH(J192)&lt;4,1,0))+1,2))</f>
        <v/>
      </c>
      <c r="AS192" s="43" t="str">
        <f aca="false">IF(OR(B192="",Q192="",D192&lt;&gt;"Active"),"",DATE(YEAR(AsOf)+IF(DATE(YEAR(AsOf),MONTH(Q192),DAY(Q192))&lt;AsOf,1,0),MONTH(Q192),DAY(Q192))-AsOf)</f>
        <v/>
      </c>
      <c r="AT192" s="43" t="str">
        <f aca="false">IF(OR(B192="",I192="",D192&lt;&gt;"Active"),"",IF(YEAR(DATE(YEAR(AsOf)+IF(DATE(YEAR(AsOf),MONTH(I192),DAY(I192))&lt;AsOf,1,0),MONTH(I192),DAY(I192)))-YEAR(I192)&lt;1,"",DATE(YEAR(AsOf)+IF(DATE(YEAR(AsOf),MONTH(I192),DAY(I192))&lt;AsOf,1,0),MONTH(I192),DAY(I192))-AsOf))</f>
        <v/>
      </c>
      <c r="AU192" s="43" t="str">
        <f aca="false">IF(B192="","",IF(AV192="",0,LEN(AV192)-LEN(SUBSTITUTE(AV192,";",""))))</f>
        <v/>
      </c>
      <c r="AV192" s="9" t="str">
        <f aca="false">IF(B192="","",IF(COUNTIF($B$6:$B$505,B192)&gt;1,"Duplicate Emp Code; ","")&amp;IF(C192="","Name missing; ","")&amp;IF(I192="","DOJ missing; ","")&amp;IF(AND(J192&lt;&gt;"",I192&lt;&gt;"",J192&lt;I192),"Exit before DOJ; ","")&amp;IF(Q192="","DOB missing; ","")&amp;IF(T192="","Aadhaar missing; ",IF(LEN(T192)&lt;&gt;12,"Aadhaar not 12 digits; ",IF(COUNTIF($T$6:$T$505,T192)&gt;1,"Duplicate Aadhaar; ","")))&amp;IF(U192="","PAN missing; ",IF(LEN(U192)&lt;&gt;10,"PAN not 10 chars; ",""))&amp;IF(V192="","Mobile missing; ",IF(LEN(V192)&lt;&gt;10,"Mobile not 10 digits; ",""))&amp;IF(AG192="","Bank A/c missing; ","")&amp;IF(AH192="","IFSC missing; ",IF(LEN(AH192)&lt;&gt;11,"IFSC not 11 chars; ","")))</f>
        <v/>
      </c>
      <c r="AW192" s="46" t="str">
        <f aca="false">IF(AS192="","",AS192+ROW()/100000)</f>
        <v/>
      </c>
      <c r="AX192" s="46" t="str">
        <f aca="false">IF(AT192="","",AT192+ROW()/100000)</f>
        <v/>
      </c>
    </row>
    <row r="193" customFormat="false" ht="15" hidden="false" customHeight="false" outlineLevel="0" collapsed="false">
      <c r="A193" s="9" t="str">
        <f aca="false">IF(B193="","",ROW()-5)</f>
        <v/>
      </c>
      <c r="B193" s="40"/>
      <c r="C193" s="8"/>
      <c r="D193" s="9" t="str">
        <f aca="false">IF(B193="","",IF(J193="","Active","Exited"))</f>
        <v/>
      </c>
      <c r="E193" s="8"/>
      <c r="F193" s="8"/>
      <c r="G193" s="8"/>
      <c r="H193" s="9" t="str">
        <f aca="false">IF(OR(B193="",I193=""),"",IF(IF(J193="",AsOf,J193)-I193&gt;=Settings!$C$13,"Permanent","Probation"))</f>
        <v/>
      </c>
      <c r="I193" s="41"/>
      <c r="J193" s="41"/>
      <c r="K193" s="8"/>
      <c r="L193" s="42" t="str">
        <f aca="false">IF(OR(B193="",I193=""),"",ROUND((IF(J193="",AsOf,J193)-I193)/365.25,1))</f>
        <v/>
      </c>
      <c r="M193" s="8"/>
      <c r="N193" s="8"/>
      <c r="O193" s="8"/>
      <c r="P193" s="8"/>
      <c r="Q193" s="41"/>
      <c r="R193" s="43" t="str">
        <f aca="false">IF(OR(B193="",Q193=""),"",INT((AsOf-Q193)/365.25))</f>
        <v/>
      </c>
      <c r="S193" s="8"/>
      <c r="T193" s="40"/>
      <c r="U193" s="40"/>
      <c r="V193" s="40"/>
      <c r="W193" s="40"/>
      <c r="X193" s="8"/>
      <c r="Y193" s="8"/>
      <c r="Z193" s="8"/>
      <c r="AA193" s="8"/>
      <c r="AB193" s="8"/>
      <c r="AC193" s="8"/>
      <c r="AD193" s="8"/>
      <c r="AE193" s="40"/>
      <c r="AF193" s="8"/>
      <c r="AG193" s="40"/>
      <c r="AH193" s="40"/>
      <c r="AI193" s="8"/>
      <c r="AJ193" s="40"/>
      <c r="AK193" s="40"/>
      <c r="AL193" s="40"/>
      <c r="AM193" s="44"/>
      <c r="AN193" s="44"/>
      <c r="AO193" s="41"/>
      <c r="AP193" s="45" t="str">
        <f aca="false">IF(B193="","",IF(AND(ISNUMBER(AM193),ISNUMBER(AN193),AM193&gt;0,AN193&gt;0),AN193/AM193-1,""))</f>
        <v/>
      </c>
      <c r="AQ193" s="9" t="str">
        <f aca="false">IF(I193="","",(YEAR(I193)-IF(MONTH(I193)&lt;4,1,0))&amp;"-"&amp;RIGHT((YEAR(I193)-IF(MONTH(I193)&lt;4,1,0))+1,2))</f>
        <v/>
      </c>
      <c r="AR193" s="9" t="str">
        <f aca="false">IF(J193="","",(YEAR(J193)-IF(MONTH(J193)&lt;4,1,0))&amp;"-"&amp;RIGHT((YEAR(J193)-IF(MONTH(J193)&lt;4,1,0))+1,2))</f>
        <v/>
      </c>
      <c r="AS193" s="43" t="str">
        <f aca="false">IF(OR(B193="",Q193="",D193&lt;&gt;"Active"),"",DATE(YEAR(AsOf)+IF(DATE(YEAR(AsOf),MONTH(Q193),DAY(Q193))&lt;AsOf,1,0),MONTH(Q193),DAY(Q193))-AsOf)</f>
        <v/>
      </c>
      <c r="AT193" s="43" t="str">
        <f aca="false">IF(OR(B193="",I193="",D193&lt;&gt;"Active"),"",IF(YEAR(DATE(YEAR(AsOf)+IF(DATE(YEAR(AsOf),MONTH(I193),DAY(I193))&lt;AsOf,1,0),MONTH(I193),DAY(I193)))-YEAR(I193)&lt;1,"",DATE(YEAR(AsOf)+IF(DATE(YEAR(AsOf),MONTH(I193),DAY(I193))&lt;AsOf,1,0),MONTH(I193),DAY(I193))-AsOf))</f>
        <v/>
      </c>
      <c r="AU193" s="43" t="str">
        <f aca="false">IF(B193="","",IF(AV193="",0,LEN(AV193)-LEN(SUBSTITUTE(AV193,";",""))))</f>
        <v/>
      </c>
      <c r="AV193" s="9" t="str">
        <f aca="false">IF(B193="","",IF(COUNTIF($B$6:$B$505,B193)&gt;1,"Duplicate Emp Code; ","")&amp;IF(C193="","Name missing; ","")&amp;IF(I193="","DOJ missing; ","")&amp;IF(AND(J193&lt;&gt;"",I193&lt;&gt;"",J193&lt;I193),"Exit before DOJ; ","")&amp;IF(Q193="","DOB missing; ","")&amp;IF(T193="","Aadhaar missing; ",IF(LEN(T193)&lt;&gt;12,"Aadhaar not 12 digits; ",IF(COUNTIF($T$6:$T$505,T193)&gt;1,"Duplicate Aadhaar; ","")))&amp;IF(U193="","PAN missing; ",IF(LEN(U193)&lt;&gt;10,"PAN not 10 chars; ",""))&amp;IF(V193="","Mobile missing; ",IF(LEN(V193)&lt;&gt;10,"Mobile not 10 digits; ",""))&amp;IF(AG193="","Bank A/c missing; ","")&amp;IF(AH193="","IFSC missing; ",IF(LEN(AH193)&lt;&gt;11,"IFSC not 11 chars; ","")))</f>
        <v/>
      </c>
      <c r="AW193" s="46" t="str">
        <f aca="false">IF(AS193="","",AS193+ROW()/100000)</f>
        <v/>
      </c>
      <c r="AX193" s="46" t="str">
        <f aca="false">IF(AT193="","",AT193+ROW()/100000)</f>
        <v/>
      </c>
    </row>
    <row r="194" customFormat="false" ht="15" hidden="false" customHeight="false" outlineLevel="0" collapsed="false">
      <c r="A194" s="9" t="str">
        <f aca="false">IF(B194="","",ROW()-5)</f>
        <v/>
      </c>
      <c r="B194" s="40"/>
      <c r="C194" s="8"/>
      <c r="D194" s="9" t="str">
        <f aca="false">IF(B194="","",IF(J194="","Active","Exited"))</f>
        <v/>
      </c>
      <c r="E194" s="8"/>
      <c r="F194" s="8"/>
      <c r="G194" s="8"/>
      <c r="H194" s="9" t="str">
        <f aca="false">IF(OR(B194="",I194=""),"",IF(IF(J194="",AsOf,J194)-I194&gt;=Settings!$C$13,"Permanent","Probation"))</f>
        <v/>
      </c>
      <c r="I194" s="41"/>
      <c r="J194" s="41"/>
      <c r="K194" s="8"/>
      <c r="L194" s="42" t="str">
        <f aca="false">IF(OR(B194="",I194=""),"",ROUND((IF(J194="",AsOf,J194)-I194)/365.25,1))</f>
        <v/>
      </c>
      <c r="M194" s="8"/>
      <c r="N194" s="8"/>
      <c r="O194" s="8"/>
      <c r="P194" s="8"/>
      <c r="Q194" s="41"/>
      <c r="R194" s="43" t="str">
        <f aca="false">IF(OR(B194="",Q194=""),"",INT((AsOf-Q194)/365.25))</f>
        <v/>
      </c>
      <c r="S194" s="8"/>
      <c r="T194" s="40"/>
      <c r="U194" s="40"/>
      <c r="V194" s="40"/>
      <c r="W194" s="40"/>
      <c r="X194" s="8"/>
      <c r="Y194" s="8"/>
      <c r="Z194" s="8"/>
      <c r="AA194" s="8"/>
      <c r="AB194" s="8"/>
      <c r="AC194" s="8"/>
      <c r="AD194" s="8"/>
      <c r="AE194" s="40"/>
      <c r="AF194" s="8"/>
      <c r="AG194" s="40"/>
      <c r="AH194" s="40"/>
      <c r="AI194" s="8"/>
      <c r="AJ194" s="40"/>
      <c r="AK194" s="40"/>
      <c r="AL194" s="40"/>
      <c r="AM194" s="44"/>
      <c r="AN194" s="44"/>
      <c r="AO194" s="41"/>
      <c r="AP194" s="45" t="str">
        <f aca="false">IF(B194="","",IF(AND(ISNUMBER(AM194),ISNUMBER(AN194),AM194&gt;0,AN194&gt;0),AN194/AM194-1,""))</f>
        <v/>
      </c>
      <c r="AQ194" s="9" t="str">
        <f aca="false">IF(I194="","",(YEAR(I194)-IF(MONTH(I194)&lt;4,1,0))&amp;"-"&amp;RIGHT((YEAR(I194)-IF(MONTH(I194)&lt;4,1,0))+1,2))</f>
        <v/>
      </c>
      <c r="AR194" s="9" t="str">
        <f aca="false">IF(J194="","",(YEAR(J194)-IF(MONTH(J194)&lt;4,1,0))&amp;"-"&amp;RIGHT((YEAR(J194)-IF(MONTH(J194)&lt;4,1,0))+1,2))</f>
        <v/>
      </c>
      <c r="AS194" s="43" t="str">
        <f aca="false">IF(OR(B194="",Q194="",D194&lt;&gt;"Active"),"",DATE(YEAR(AsOf)+IF(DATE(YEAR(AsOf),MONTH(Q194),DAY(Q194))&lt;AsOf,1,0),MONTH(Q194),DAY(Q194))-AsOf)</f>
        <v/>
      </c>
      <c r="AT194" s="43" t="str">
        <f aca="false">IF(OR(B194="",I194="",D194&lt;&gt;"Active"),"",IF(YEAR(DATE(YEAR(AsOf)+IF(DATE(YEAR(AsOf),MONTH(I194),DAY(I194))&lt;AsOf,1,0),MONTH(I194),DAY(I194)))-YEAR(I194)&lt;1,"",DATE(YEAR(AsOf)+IF(DATE(YEAR(AsOf),MONTH(I194),DAY(I194))&lt;AsOf,1,0),MONTH(I194),DAY(I194))-AsOf))</f>
        <v/>
      </c>
      <c r="AU194" s="43" t="str">
        <f aca="false">IF(B194="","",IF(AV194="",0,LEN(AV194)-LEN(SUBSTITUTE(AV194,";",""))))</f>
        <v/>
      </c>
      <c r="AV194" s="9" t="str">
        <f aca="false">IF(B194="","",IF(COUNTIF($B$6:$B$505,B194)&gt;1,"Duplicate Emp Code; ","")&amp;IF(C194="","Name missing; ","")&amp;IF(I194="","DOJ missing; ","")&amp;IF(AND(J194&lt;&gt;"",I194&lt;&gt;"",J194&lt;I194),"Exit before DOJ; ","")&amp;IF(Q194="","DOB missing; ","")&amp;IF(T194="","Aadhaar missing; ",IF(LEN(T194)&lt;&gt;12,"Aadhaar not 12 digits; ",IF(COUNTIF($T$6:$T$505,T194)&gt;1,"Duplicate Aadhaar; ","")))&amp;IF(U194="","PAN missing; ",IF(LEN(U194)&lt;&gt;10,"PAN not 10 chars; ",""))&amp;IF(V194="","Mobile missing; ",IF(LEN(V194)&lt;&gt;10,"Mobile not 10 digits; ",""))&amp;IF(AG194="","Bank A/c missing; ","")&amp;IF(AH194="","IFSC missing; ",IF(LEN(AH194)&lt;&gt;11,"IFSC not 11 chars; ","")))</f>
        <v/>
      </c>
      <c r="AW194" s="46" t="str">
        <f aca="false">IF(AS194="","",AS194+ROW()/100000)</f>
        <v/>
      </c>
      <c r="AX194" s="46" t="str">
        <f aca="false">IF(AT194="","",AT194+ROW()/100000)</f>
        <v/>
      </c>
    </row>
    <row r="195" customFormat="false" ht="15" hidden="false" customHeight="false" outlineLevel="0" collapsed="false">
      <c r="A195" s="9" t="str">
        <f aca="false">IF(B195="","",ROW()-5)</f>
        <v/>
      </c>
      <c r="B195" s="40"/>
      <c r="C195" s="8"/>
      <c r="D195" s="9" t="str">
        <f aca="false">IF(B195="","",IF(J195="","Active","Exited"))</f>
        <v/>
      </c>
      <c r="E195" s="8"/>
      <c r="F195" s="8"/>
      <c r="G195" s="8"/>
      <c r="H195" s="9" t="str">
        <f aca="false">IF(OR(B195="",I195=""),"",IF(IF(J195="",AsOf,J195)-I195&gt;=Settings!$C$13,"Permanent","Probation"))</f>
        <v/>
      </c>
      <c r="I195" s="41"/>
      <c r="J195" s="41"/>
      <c r="K195" s="8"/>
      <c r="L195" s="42" t="str">
        <f aca="false">IF(OR(B195="",I195=""),"",ROUND((IF(J195="",AsOf,J195)-I195)/365.25,1))</f>
        <v/>
      </c>
      <c r="M195" s="8"/>
      <c r="N195" s="8"/>
      <c r="O195" s="8"/>
      <c r="P195" s="8"/>
      <c r="Q195" s="41"/>
      <c r="R195" s="43" t="str">
        <f aca="false">IF(OR(B195="",Q195=""),"",INT((AsOf-Q195)/365.25))</f>
        <v/>
      </c>
      <c r="S195" s="8"/>
      <c r="T195" s="40"/>
      <c r="U195" s="40"/>
      <c r="V195" s="40"/>
      <c r="W195" s="40"/>
      <c r="X195" s="8"/>
      <c r="Y195" s="8"/>
      <c r="Z195" s="8"/>
      <c r="AA195" s="8"/>
      <c r="AB195" s="8"/>
      <c r="AC195" s="8"/>
      <c r="AD195" s="8"/>
      <c r="AE195" s="40"/>
      <c r="AF195" s="8"/>
      <c r="AG195" s="40"/>
      <c r="AH195" s="40"/>
      <c r="AI195" s="8"/>
      <c r="AJ195" s="40"/>
      <c r="AK195" s="40"/>
      <c r="AL195" s="40"/>
      <c r="AM195" s="44"/>
      <c r="AN195" s="44"/>
      <c r="AO195" s="41"/>
      <c r="AP195" s="45" t="str">
        <f aca="false">IF(B195="","",IF(AND(ISNUMBER(AM195),ISNUMBER(AN195),AM195&gt;0,AN195&gt;0),AN195/AM195-1,""))</f>
        <v/>
      </c>
      <c r="AQ195" s="9" t="str">
        <f aca="false">IF(I195="","",(YEAR(I195)-IF(MONTH(I195)&lt;4,1,0))&amp;"-"&amp;RIGHT((YEAR(I195)-IF(MONTH(I195)&lt;4,1,0))+1,2))</f>
        <v/>
      </c>
      <c r="AR195" s="9" t="str">
        <f aca="false">IF(J195="","",(YEAR(J195)-IF(MONTH(J195)&lt;4,1,0))&amp;"-"&amp;RIGHT((YEAR(J195)-IF(MONTH(J195)&lt;4,1,0))+1,2))</f>
        <v/>
      </c>
      <c r="AS195" s="43" t="str">
        <f aca="false">IF(OR(B195="",Q195="",D195&lt;&gt;"Active"),"",DATE(YEAR(AsOf)+IF(DATE(YEAR(AsOf),MONTH(Q195),DAY(Q195))&lt;AsOf,1,0),MONTH(Q195),DAY(Q195))-AsOf)</f>
        <v/>
      </c>
      <c r="AT195" s="43" t="str">
        <f aca="false">IF(OR(B195="",I195="",D195&lt;&gt;"Active"),"",IF(YEAR(DATE(YEAR(AsOf)+IF(DATE(YEAR(AsOf),MONTH(I195),DAY(I195))&lt;AsOf,1,0),MONTH(I195),DAY(I195)))-YEAR(I195)&lt;1,"",DATE(YEAR(AsOf)+IF(DATE(YEAR(AsOf),MONTH(I195),DAY(I195))&lt;AsOf,1,0),MONTH(I195),DAY(I195))-AsOf))</f>
        <v/>
      </c>
      <c r="AU195" s="43" t="str">
        <f aca="false">IF(B195="","",IF(AV195="",0,LEN(AV195)-LEN(SUBSTITUTE(AV195,";",""))))</f>
        <v/>
      </c>
      <c r="AV195" s="9" t="str">
        <f aca="false">IF(B195="","",IF(COUNTIF($B$6:$B$505,B195)&gt;1,"Duplicate Emp Code; ","")&amp;IF(C195="","Name missing; ","")&amp;IF(I195="","DOJ missing; ","")&amp;IF(AND(J195&lt;&gt;"",I195&lt;&gt;"",J195&lt;I195),"Exit before DOJ; ","")&amp;IF(Q195="","DOB missing; ","")&amp;IF(T195="","Aadhaar missing; ",IF(LEN(T195)&lt;&gt;12,"Aadhaar not 12 digits; ",IF(COUNTIF($T$6:$T$505,T195)&gt;1,"Duplicate Aadhaar; ","")))&amp;IF(U195="","PAN missing; ",IF(LEN(U195)&lt;&gt;10,"PAN not 10 chars; ",""))&amp;IF(V195="","Mobile missing; ",IF(LEN(V195)&lt;&gt;10,"Mobile not 10 digits; ",""))&amp;IF(AG195="","Bank A/c missing; ","")&amp;IF(AH195="","IFSC missing; ",IF(LEN(AH195)&lt;&gt;11,"IFSC not 11 chars; ","")))</f>
        <v/>
      </c>
      <c r="AW195" s="46" t="str">
        <f aca="false">IF(AS195="","",AS195+ROW()/100000)</f>
        <v/>
      </c>
      <c r="AX195" s="46" t="str">
        <f aca="false">IF(AT195="","",AT195+ROW()/100000)</f>
        <v/>
      </c>
    </row>
    <row r="196" customFormat="false" ht="15" hidden="false" customHeight="false" outlineLevel="0" collapsed="false">
      <c r="A196" s="9" t="str">
        <f aca="false">IF(B196="","",ROW()-5)</f>
        <v/>
      </c>
      <c r="B196" s="40"/>
      <c r="C196" s="8"/>
      <c r="D196" s="9" t="str">
        <f aca="false">IF(B196="","",IF(J196="","Active","Exited"))</f>
        <v/>
      </c>
      <c r="E196" s="8"/>
      <c r="F196" s="8"/>
      <c r="G196" s="8"/>
      <c r="H196" s="9" t="str">
        <f aca="false">IF(OR(B196="",I196=""),"",IF(IF(J196="",AsOf,J196)-I196&gt;=Settings!$C$13,"Permanent","Probation"))</f>
        <v/>
      </c>
      <c r="I196" s="41"/>
      <c r="J196" s="41"/>
      <c r="K196" s="8"/>
      <c r="L196" s="42" t="str">
        <f aca="false">IF(OR(B196="",I196=""),"",ROUND((IF(J196="",AsOf,J196)-I196)/365.25,1))</f>
        <v/>
      </c>
      <c r="M196" s="8"/>
      <c r="N196" s="8"/>
      <c r="O196" s="8"/>
      <c r="P196" s="8"/>
      <c r="Q196" s="41"/>
      <c r="R196" s="43" t="str">
        <f aca="false">IF(OR(B196="",Q196=""),"",INT((AsOf-Q196)/365.25))</f>
        <v/>
      </c>
      <c r="S196" s="8"/>
      <c r="T196" s="40"/>
      <c r="U196" s="40"/>
      <c r="V196" s="40"/>
      <c r="W196" s="40"/>
      <c r="X196" s="8"/>
      <c r="Y196" s="8"/>
      <c r="Z196" s="8"/>
      <c r="AA196" s="8"/>
      <c r="AB196" s="8"/>
      <c r="AC196" s="8"/>
      <c r="AD196" s="8"/>
      <c r="AE196" s="40"/>
      <c r="AF196" s="8"/>
      <c r="AG196" s="40"/>
      <c r="AH196" s="40"/>
      <c r="AI196" s="8"/>
      <c r="AJ196" s="40"/>
      <c r="AK196" s="40"/>
      <c r="AL196" s="40"/>
      <c r="AM196" s="44"/>
      <c r="AN196" s="44"/>
      <c r="AO196" s="41"/>
      <c r="AP196" s="45" t="str">
        <f aca="false">IF(B196="","",IF(AND(ISNUMBER(AM196),ISNUMBER(AN196),AM196&gt;0,AN196&gt;0),AN196/AM196-1,""))</f>
        <v/>
      </c>
      <c r="AQ196" s="9" t="str">
        <f aca="false">IF(I196="","",(YEAR(I196)-IF(MONTH(I196)&lt;4,1,0))&amp;"-"&amp;RIGHT((YEAR(I196)-IF(MONTH(I196)&lt;4,1,0))+1,2))</f>
        <v/>
      </c>
      <c r="AR196" s="9" t="str">
        <f aca="false">IF(J196="","",(YEAR(J196)-IF(MONTH(J196)&lt;4,1,0))&amp;"-"&amp;RIGHT((YEAR(J196)-IF(MONTH(J196)&lt;4,1,0))+1,2))</f>
        <v/>
      </c>
      <c r="AS196" s="43" t="str">
        <f aca="false">IF(OR(B196="",Q196="",D196&lt;&gt;"Active"),"",DATE(YEAR(AsOf)+IF(DATE(YEAR(AsOf),MONTH(Q196),DAY(Q196))&lt;AsOf,1,0),MONTH(Q196),DAY(Q196))-AsOf)</f>
        <v/>
      </c>
      <c r="AT196" s="43" t="str">
        <f aca="false">IF(OR(B196="",I196="",D196&lt;&gt;"Active"),"",IF(YEAR(DATE(YEAR(AsOf)+IF(DATE(YEAR(AsOf),MONTH(I196),DAY(I196))&lt;AsOf,1,0),MONTH(I196),DAY(I196)))-YEAR(I196)&lt;1,"",DATE(YEAR(AsOf)+IF(DATE(YEAR(AsOf),MONTH(I196),DAY(I196))&lt;AsOf,1,0),MONTH(I196),DAY(I196))-AsOf))</f>
        <v/>
      </c>
      <c r="AU196" s="43" t="str">
        <f aca="false">IF(B196="","",IF(AV196="",0,LEN(AV196)-LEN(SUBSTITUTE(AV196,";",""))))</f>
        <v/>
      </c>
      <c r="AV196" s="9" t="str">
        <f aca="false">IF(B196="","",IF(COUNTIF($B$6:$B$505,B196)&gt;1,"Duplicate Emp Code; ","")&amp;IF(C196="","Name missing; ","")&amp;IF(I196="","DOJ missing; ","")&amp;IF(AND(J196&lt;&gt;"",I196&lt;&gt;"",J196&lt;I196),"Exit before DOJ; ","")&amp;IF(Q196="","DOB missing; ","")&amp;IF(T196="","Aadhaar missing; ",IF(LEN(T196)&lt;&gt;12,"Aadhaar not 12 digits; ",IF(COUNTIF($T$6:$T$505,T196)&gt;1,"Duplicate Aadhaar; ","")))&amp;IF(U196="","PAN missing; ",IF(LEN(U196)&lt;&gt;10,"PAN not 10 chars; ",""))&amp;IF(V196="","Mobile missing; ",IF(LEN(V196)&lt;&gt;10,"Mobile not 10 digits; ",""))&amp;IF(AG196="","Bank A/c missing; ","")&amp;IF(AH196="","IFSC missing; ",IF(LEN(AH196)&lt;&gt;11,"IFSC not 11 chars; ","")))</f>
        <v/>
      </c>
      <c r="AW196" s="46" t="str">
        <f aca="false">IF(AS196="","",AS196+ROW()/100000)</f>
        <v/>
      </c>
      <c r="AX196" s="46" t="str">
        <f aca="false">IF(AT196="","",AT196+ROW()/100000)</f>
        <v/>
      </c>
    </row>
    <row r="197" customFormat="false" ht="15" hidden="false" customHeight="false" outlineLevel="0" collapsed="false">
      <c r="A197" s="9" t="str">
        <f aca="false">IF(B197="","",ROW()-5)</f>
        <v/>
      </c>
      <c r="B197" s="40"/>
      <c r="C197" s="8"/>
      <c r="D197" s="9" t="str">
        <f aca="false">IF(B197="","",IF(J197="","Active","Exited"))</f>
        <v/>
      </c>
      <c r="E197" s="8"/>
      <c r="F197" s="8"/>
      <c r="G197" s="8"/>
      <c r="H197" s="9" t="str">
        <f aca="false">IF(OR(B197="",I197=""),"",IF(IF(J197="",AsOf,J197)-I197&gt;=Settings!$C$13,"Permanent","Probation"))</f>
        <v/>
      </c>
      <c r="I197" s="41"/>
      <c r="J197" s="41"/>
      <c r="K197" s="8"/>
      <c r="L197" s="42" t="str">
        <f aca="false">IF(OR(B197="",I197=""),"",ROUND((IF(J197="",AsOf,J197)-I197)/365.25,1))</f>
        <v/>
      </c>
      <c r="M197" s="8"/>
      <c r="N197" s="8"/>
      <c r="O197" s="8"/>
      <c r="P197" s="8"/>
      <c r="Q197" s="41"/>
      <c r="R197" s="43" t="str">
        <f aca="false">IF(OR(B197="",Q197=""),"",INT((AsOf-Q197)/365.25))</f>
        <v/>
      </c>
      <c r="S197" s="8"/>
      <c r="T197" s="40"/>
      <c r="U197" s="40"/>
      <c r="V197" s="40"/>
      <c r="W197" s="40"/>
      <c r="X197" s="8"/>
      <c r="Y197" s="8"/>
      <c r="Z197" s="8"/>
      <c r="AA197" s="8"/>
      <c r="AB197" s="8"/>
      <c r="AC197" s="8"/>
      <c r="AD197" s="8"/>
      <c r="AE197" s="40"/>
      <c r="AF197" s="8"/>
      <c r="AG197" s="40"/>
      <c r="AH197" s="40"/>
      <c r="AI197" s="8"/>
      <c r="AJ197" s="40"/>
      <c r="AK197" s="40"/>
      <c r="AL197" s="40"/>
      <c r="AM197" s="44"/>
      <c r="AN197" s="44"/>
      <c r="AO197" s="41"/>
      <c r="AP197" s="45" t="str">
        <f aca="false">IF(B197="","",IF(AND(ISNUMBER(AM197),ISNUMBER(AN197),AM197&gt;0,AN197&gt;0),AN197/AM197-1,""))</f>
        <v/>
      </c>
      <c r="AQ197" s="9" t="str">
        <f aca="false">IF(I197="","",(YEAR(I197)-IF(MONTH(I197)&lt;4,1,0))&amp;"-"&amp;RIGHT((YEAR(I197)-IF(MONTH(I197)&lt;4,1,0))+1,2))</f>
        <v/>
      </c>
      <c r="AR197" s="9" t="str">
        <f aca="false">IF(J197="","",(YEAR(J197)-IF(MONTH(J197)&lt;4,1,0))&amp;"-"&amp;RIGHT((YEAR(J197)-IF(MONTH(J197)&lt;4,1,0))+1,2))</f>
        <v/>
      </c>
      <c r="AS197" s="43" t="str">
        <f aca="false">IF(OR(B197="",Q197="",D197&lt;&gt;"Active"),"",DATE(YEAR(AsOf)+IF(DATE(YEAR(AsOf),MONTH(Q197),DAY(Q197))&lt;AsOf,1,0),MONTH(Q197),DAY(Q197))-AsOf)</f>
        <v/>
      </c>
      <c r="AT197" s="43" t="str">
        <f aca="false">IF(OR(B197="",I197="",D197&lt;&gt;"Active"),"",IF(YEAR(DATE(YEAR(AsOf)+IF(DATE(YEAR(AsOf),MONTH(I197),DAY(I197))&lt;AsOf,1,0),MONTH(I197),DAY(I197)))-YEAR(I197)&lt;1,"",DATE(YEAR(AsOf)+IF(DATE(YEAR(AsOf),MONTH(I197),DAY(I197))&lt;AsOf,1,0),MONTH(I197),DAY(I197))-AsOf))</f>
        <v/>
      </c>
      <c r="AU197" s="43" t="str">
        <f aca="false">IF(B197="","",IF(AV197="",0,LEN(AV197)-LEN(SUBSTITUTE(AV197,";",""))))</f>
        <v/>
      </c>
      <c r="AV197" s="9" t="str">
        <f aca="false">IF(B197="","",IF(COUNTIF($B$6:$B$505,B197)&gt;1,"Duplicate Emp Code; ","")&amp;IF(C197="","Name missing; ","")&amp;IF(I197="","DOJ missing; ","")&amp;IF(AND(J197&lt;&gt;"",I197&lt;&gt;"",J197&lt;I197),"Exit before DOJ; ","")&amp;IF(Q197="","DOB missing; ","")&amp;IF(T197="","Aadhaar missing; ",IF(LEN(T197)&lt;&gt;12,"Aadhaar not 12 digits; ",IF(COUNTIF($T$6:$T$505,T197)&gt;1,"Duplicate Aadhaar; ","")))&amp;IF(U197="","PAN missing; ",IF(LEN(U197)&lt;&gt;10,"PAN not 10 chars; ",""))&amp;IF(V197="","Mobile missing; ",IF(LEN(V197)&lt;&gt;10,"Mobile not 10 digits; ",""))&amp;IF(AG197="","Bank A/c missing; ","")&amp;IF(AH197="","IFSC missing; ",IF(LEN(AH197)&lt;&gt;11,"IFSC not 11 chars; ","")))</f>
        <v/>
      </c>
      <c r="AW197" s="46" t="str">
        <f aca="false">IF(AS197="","",AS197+ROW()/100000)</f>
        <v/>
      </c>
      <c r="AX197" s="46" t="str">
        <f aca="false">IF(AT197="","",AT197+ROW()/100000)</f>
        <v/>
      </c>
    </row>
    <row r="198" customFormat="false" ht="15" hidden="false" customHeight="false" outlineLevel="0" collapsed="false">
      <c r="A198" s="9" t="str">
        <f aca="false">IF(B198="","",ROW()-5)</f>
        <v/>
      </c>
      <c r="B198" s="40"/>
      <c r="C198" s="8"/>
      <c r="D198" s="9" t="str">
        <f aca="false">IF(B198="","",IF(J198="","Active","Exited"))</f>
        <v/>
      </c>
      <c r="E198" s="8"/>
      <c r="F198" s="8"/>
      <c r="G198" s="8"/>
      <c r="H198" s="9" t="str">
        <f aca="false">IF(OR(B198="",I198=""),"",IF(IF(J198="",AsOf,J198)-I198&gt;=Settings!$C$13,"Permanent","Probation"))</f>
        <v/>
      </c>
      <c r="I198" s="41"/>
      <c r="J198" s="41"/>
      <c r="K198" s="8"/>
      <c r="L198" s="42" t="str">
        <f aca="false">IF(OR(B198="",I198=""),"",ROUND((IF(J198="",AsOf,J198)-I198)/365.25,1))</f>
        <v/>
      </c>
      <c r="M198" s="8"/>
      <c r="N198" s="8"/>
      <c r="O198" s="8"/>
      <c r="P198" s="8"/>
      <c r="Q198" s="41"/>
      <c r="R198" s="43" t="str">
        <f aca="false">IF(OR(B198="",Q198=""),"",INT((AsOf-Q198)/365.25))</f>
        <v/>
      </c>
      <c r="S198" s="8"/>
      <c r="T198" s="40"/>
      <c r="U198" s="40"/>
      <c r="V198" s="40"/>
      <c r="W198" s="40"/>
      <c r="X198" s="8"/>
      <c r="Y198" s="8"/>
      <c r="Z198" s="8"/>
      <c r="AA198" s="8"/>
      <c r="AB198" s="8"/>
      <c r="AC198" s="8"/>
      <c r="AD198" s="8"/>
      <c r="AE198" s="40"/>
      <c r="AF198" s="8"/>
      <c r="AG198" s="40"/>
      <c r="AH198" s="40"/>
      <c r="AI198" s="8"/>
      <c r="AJ198" s="40"/>
      <c r="AK198" s="40"/>
      <c r="AL198" s="40"/>
      <c r="AM198" s="44"/>
      <c r="AN198" s="44"/>
      <c r="AO198" s="41"/>
      <c r="AP198" s="45" t="str">
        <f aca="false">IF(B198="","",IF(AND(ISNUMBER(AM198),ISNUMBER(AN198),AM198&gt;0,AN198&gt;0),AN198/AM198-1,""))</f>
        <v/>
      </c>
      <c r="AQ198" s="9" t="str">
        <f aca="false">IF(I198="","",(YEAR(I198)-IF(MONTH(I198)&lt;4,1,0))&amp;"-"&amp;RIGHT((YEAR(I198)-IF(MONTH(I198)&lt;4,1,0))+1,2))</f>
        <v/>
      </c>
      <c r="AR198" s="9" t="str">
        <f aca="false">IF(J198="","",(YEAR(J198)-IF(MONTH(J198)&lt;4,1,0))&amp;"-"&amp;RIGHT((YEAR(J198)-IF(MONTH(J198)&lt;4,1,0))+1,2))</f>
        <v/>
      </c>
      <c r="AS198" s="43" t="str">
        <f aca="false">IF(OR(B198="",Q198="",D198&lt;&gt;"Active"),"",DATE(YEAR(AsOf)+IF(DATE(YEAR(AsOf),MONTH(Q198),DAY(Q198))&lt;AsOf,1,0),MONTH(Q198),DAY(Q198))-AsOf)</f>
        <v/>
      </c>
      <c r="AT198" s="43" t="str">
        <f aca="false">IF(OR(B198="",I198="",D198&lt;&gt;"Active"),"",IF(YEAR(DATE(YEAR(AsOf)+IF(DATE(YEAR(AsOf),MONTH(I198),DAY(I198))&lt;AsOf,1,0),MONTH(I198),DAY(I198)))-YEAR(I198)&lt;1,"",DATE(YEAR(AsOf)+IF(DATE(YEAR(AsOf),MONTH(I198),DAY(I198))&lt;AsOf,1,0),MONTH(I198),DAY(I198))-AsOf))</f>
        <v/>
      </c>
      <c r="AU198" s="43" t="str">
        <f aca="false">IF(B198="","",IF(AV198="",0,LEN(AV198)-LEN(SUBSTITUTE(AV198,";",""))))</f>
        <v/>
      </c>
      <c r="AV198" s="9" t="str">
        <f aca="false">IF(B198="","",IF(COUNTIF($B$6:$B$505,B198)&gt;1,"Duplicate Emp Code; ","")&amp;IF(C198="","Name missing; ","")&amp;IF(I198="","DOJ missing; ","")&amp;IF(AND(J198&lt;&gt;"",I198&lt;&gt;"",J198&lt;I198),"Exit before DOJ; ","")&amp;IF(Q198="","DOB missing; ","")&amp;IF(T198="","Aadhaar missing; ",IF(LEN(T198)&lt;&gt;12,"Aadhaar not 12 digits; ",IF(COUNTIF($T$6:$T$505,T198)&gt;1,"Duplicate Aadhaar; ","")))&amp;IF(U198="","PAN missing; ",IF(LEN(U198)&lt;&gt;10,"PAN not 10 chars; ",""))&amp;IF(V198="","Mobile missing; ",IF(LEN(V198)&lt;&gt;10,"Mobile not 10 digits; ",""))&amp;IF(AG198="","Bank A/c missing; ","")&amp;IF(AH198="","IFSC missing; ",IF(LEN(AH198)&lt;&gt;11,"IFSC not 11 chars; ","")))</f>
        <v/>
      </c>
      <c r="AW198" s="46" t="str">
        <f aca="false">IF(AS198="","",AS198+ROW()/100000)</f>
        <v/>
      </c>
      <c r="AX198" s="46" t="str">
        <f aca="false">IF(AT198="","",AT198+ROW()/100000)</f>
        <v/>
      </c>
    </row>
    <row r="199" customFormat="false" ht="15" hidden="false" customHeight="false" outlineLevel="0" collapsed="false">
      <c r="A199" s="9" t="str">
        <f aca="false">IF(B199="","",ROW()-5)</f>
        <v/>
      </c>
      <c r="B199" s="40"/>
      <c r="C199" s="8"/>
      <c r="D199" s="9" t="str">
        <f aca="false">IF(B199="","",IF(J199="","Active","Exited"))</f>
        <v/>
      </c>
      <c r="E199" s="8"/>
      <c r="F199" s="8"/>
      <c r="G199" s="8"/>
      <c r="H199" s="9" t="str">
        <f aca="false">IF(OR(B199="",I199=""),"",IF(IF(J199="",AsOf,J199)-I199&gt;=Settings!$C$13,"Permanent","Probation"))</f>
        <v/>
      </c>
      <c r="I199" s="41"/>
      <c r="J199" s="41"/>
      <c r="K199" s="8"/>
      <c r="L199" s="42" t="str">
        <f aca="false">IF(OR(B199="",I199=""),"",ROUND((IF(J199="",AsOf,J199)-I199)/365.25,1))</f>
        <v/>
      </c>
      <c r="M199" s="8"/>
      <c r="N199" s="8"/>
      <c r="O199" s="8"/>
      <c r="P199" s="8"/>
      <c r="Q199" s="41"/>
      <c r="R199" s="43" t="str">
        <f aca="false">IF(OR(B199="",Q199=""),"",INT((AsOf-Q199)/365.25))</f>
        <v/>
      </c>
      <c r="S199" s="8"/>
      <c r="T199" s="40"/>
      <c r="U199" s="40"/>
      <c r="V199" s="40"/>
      <c r="W199" s="40"/>
      <c r="X199" s="8"/>
      <c r="Y199" s="8"/>
      <c r="Z199" s="8"/>
      <c r="AA199" s="8"/>
      <c r="AB199" s="8"/>
      <c r="AC199" s="8"/>
      <c r="AD199" s="8"/>
      <c r="AE199" s="40"/>
      <c r="AF199" s="8"/>
      <c r="AG199" s="40"/>
      <c r="AH199" s="40"/>
      <c r="AI199" s="8"/>
      <c r="AJ199" s="40"/>
      <c r="AK199" s="40"/>
      <c r="AL199" s="40"/>
      <c r="AM199" s="44"/>
      <c r="AN199" s="44"/>
      <c r="AO199" s="41"/>
      <c r="AP199" s="45" t="str">
        <f aca="false">IF(B199="","",IF(AND(ISNUMBER(AM199),ISNUMBER(AN199),AM199&gt;0,AN199&gt;0),AN199/AM199-1,""))</f>
        <v/>
      </c>
      <c r="AQ199" s="9" t="str">
        <f aca="false">IF(I199="","",(YEAR(I199)-IF(MONTH(I199)&lt;4,1,0))&amp;"-"&amp;RIGHT((YEAR(I199)-IF(MONTH(I199)&lt;4,1,0))+1,2))</f>
        <v/>
      </c>
      <c r="AR199" s="9" t="str">
        <f aca="false">IF(J199="","",(YEAR(J199)-IF(MONTH(J199)&lt;4,1,0))&amp;"-"&amp;RIGHT((YEAR(J199)-IF(MONTH(J199)&lt;4,1,0))+1,2))</f>
        <v/>
      </c>
      <c r="AS199" s="43" t="str">
        <f aca="false">IF(OR(B199="",Q199="",D199&lt;&gt;"Active"),"",DATE(YEAR(AsOf)+IF(DATE(YEAR(AsOf),MONTH(Q199),DAY(Q199))&lt;AsOf,1,0),MONTH(Q199),DAY(Q199))-AsOf)</f>
        <v/>
      </c>
      <c r="AT199" s="43" t="str">
        <f aca="false">IF(OR(B199="",I199="",D199&lt;&gt;"Active"),"",IF(YEAR(DATE(YEAR(AsOf)+IF(DATE(YEAR(AsOf),MONTH(I199),DAY(I199))&lt;AsOf,1,0),MONTH(I199),DAY(I199)))-YEAR(I199)&lt;1,"",DATE(YEAR(AsOf)+IF(DATE(YEAR(AsOf),MONTH(I199),DAY(I199))&lt;AsOf,1,0),MONTH(I199),DAY(I199))-AsOf))</f>
        <v/>
      </c>
      <c r="AU199" s="43" t="str">
        <f aca="false">IF(B199="","",IF(AV199="",0,LEN(AV199)-LEN(SUBSTITUTE(AV199,";",""))))</f>
        <v/>
      </c>
      <c r="AV199" s="9" t="str">
        <f aca="false">IF(B199="","",IF(COUNTIF($B$6:$B$505,B199)&gt;1,"Duplicate Emp Code; ","")&amp;IF(C199="","Name missing; ","")&amp;IF(I199="","DOJ missing; ","")&amp;IF(AND(J199&lt;&gt;"",I199&lt;&gt;"",J199&lt;I199),"Exit before DOJ; ","")&amp;IF(Q199="","DOB missing; ","")&amp;IF(T199="","Aadhaar missing; ",IF(LEN(T199)&lt;&gt;12,"Aadhaar not 12 digits; ",IF(COUNTIF($T$6:$T$505,T199)&gt;1,"Duplicate Aadhaar; ","")))&amp;IF(U199="","PAN missing; ",IF(LEN(U199)&lt;&gt;10,"PAN not 10 chars; ",""))&amp;IF(V199="","Mobile missing; ",IF(LEN(V199)&lt;&gt;10,"Mobile not 10 digits; ",""))&amp;IF(AG199="","Bank A/c missing; ","")&amp;IF(AH199="","IFSC missing; ",IF(LEN(AH199)&lt;&gt;11,"IFSC not 11 chars; ","")))</f>
        <v/>
      </c>
      <c r="AW199" s="46" t="str">
        <f aca="false">IF(AS199="","",AS199+ROW()/100000)</f>
        <v/>
      </c>
      <c r="AX199" s="46" t="str">
        <f aca="false">IF(AT199="","",AT199+ROW()/100000)</f>
        <v/>
      </c>
    </row>
    <row r="200" customFormat="false" ht="15" hidden="false" customHeight="false" outlineLevel="0" collapsed="false">
      <c r="A200" s="9" t="str">
        <f aca="false">IF(B200="","",ROW()-5)</f>
        <v/>
      </c>
      <c r="B200" s="40"/>
      <c r="C200" s="8"/>
      <c r="D200" s="9" t="str">
        <f aca="false">IF(B200="","",IF(J200="","Active","Exited"))</f>
        <v/>
      </c>
      <c r="E200" s="8"/>
      <c r="F200" s="8"/>
      <c r="G200" s="8"/>
      <c r="H200" s="9" t="str">
        <f aca="false">IF(OR(B200="",I200=""),"",IF(IF(J200="",AsOf,J200)-I200&gt;=Settings!$C$13,"Permanent","Probation"))</f>
        <v/>
      </c>
      <c r="I200" s="41"/>
      <c r="J200" s="41"/>
      <c r="K200" s="8"/>
      <c r="L200" s="42" t="str">
        <f aca="false">IF(OR(B200="",I200=""),"",ROUND((IF(J200="",AsOf,J200)-I200)/365.25,1))</f>
        <v/>
      </c>
      <c r="M200" s="8"/>
      <c r="N200" s="8"/>
      <c r="O200" s="8"/>
      <c r="P200" s="8"/>
      <c r="Q200" s="41"/>
      <c r="R200" s="43" t="str">
        <f aca="false">IF(OR(B200="",Q200=""),"",INT((AsOf-Q200)/365.25))</f>
        <v/>
      </c>
      <c r="S200" s="8"/>
      <c r="T200" s="40"/>
      <c r="U200" s="40"/>
      <c r="V200" s="40"/>
      <c r="W200" s="40"/>
      <c r="X200" s="8"/>
      <c r="Y200" s="8"/>
      <c r="Z200" s="8"/>
      <c r="AA200" s="8"/>
      <c r="AB200" s="8"/>
      <c r="AC200" s="8"/>
      <c r="AD200" s="8"/>
      <c r="AE200" s="40"/>
      <c r="AF200" s="8"/>
      <c r="AG200" s="40"/>
      <c r="AH200" s="40"/>
      <c r="AI200" s="8"/>
      <c r="AJ200" s="40"/>
      <c r="AK200" s="40"/>
      <c r="AL200" s="40"/>
      <c r="AM200" s="44"/>
      <c r="AN200" s="44"/>
      <c r="AO200" s="41"/>
      <c r="AP200" s="45" t="str">
        <f aca="false">IF(B200="","",IF(AND(ISNUMBER(AM200),ISNUMBER(AN200),AM200&gt;0,AN200&gt;0),AN200/AM200-1,""))</f>
        <v/>
      </c>
      <c r="AQ200" s="9" t="str">
        <f aca="false">IF(I200="","",(YEAR(I200)-IF(MONTH(I200)&lt;4,1,0))&amp;"-"&amp;RIGHT((YEAR(I200)-IF(MONTH(I200)&lt;4,1,0))+1,2))</f>
        <v/>
      </c>
      <c r="AR200" s="9" t="str">
        <f aca="false">IF(J200="","",(YEAR(J200)-IF(MONTH(J200)&lt;4,1,0))&amp;"-"&amp;RIGHT((YEAR(J200)-IF(MONTH(J200)&lt;4,1,0))+1,2))</f>
        <v/>
      </c>
      <c r="AS200" s="43" t="str">
        <f aca="false">IF(OR(B200="",Q200="",D200&lt;&gt;"Active"),"",DATE(YEAR(AsOf)+IF(DATE(YEAR(AsOf),MONTH(Q200),DAY(Q200))&lt;AsOf,1,0),MONTH(Q200),DAY(Q200))-AsOf)</f>
        <v/>
      </c>
      <c r="AT200" s="43" t="str">
        <f aca="false">IF(OR(B200="",I200="",D200&lt;&gt;"Active"),"",IF(YEAR(DATE(YEAR(AsOf)+IF(DATE(YEAR(AsOf),MONTH(I200),DAY(I200))&lt;AsOf,1,0),MONTH(I200),DAY(I200)))-YEAR(I200)&lt;1,"",DATE(YEAR(AsOf)+IF(DATE(YEAR(AsOf),MONTH(I200),DAY(I200))&lt;AsOf,1,0),MONTH(I200),DAY(I200))-AsOf))</f>
        <v/>
      </c>
      <c r="AU200" s="43" t="str">
        <f aca="false">IF(B200="","",IF(AV200="",0,LEN(AV200)-LEN(SUBSTITUTE(AV200,";",""))))</f>
        <v/>
      </c>
      <c r="AV200" s="9" t="str">
        <f aca="false">IF(B200="","",IF(COUNTIF($B$6:$B$505,B200)&gt;1,"Duplicate Emp Code; ","")&amp;IF(C200="","Name missing; ","")&amp;IF(I200="","DOJ missing; ","")&amp;IF(AND(J200&lt;&gt;"",I200&lt;&gt;"",J200&lt;I200),"Exit before DOJ; ","")&amp;IF(Q200="","DOB missing; ","")&amp;IF(T200="","Aadhaar missing; ",IF(LEN(T200)&lt;&gt;12,"Aadhaar not 12 digits; ",IF(COUNTIF($T$6:$T$505,T200)&gt;1,"Duplicate Aadhaar; ","")))&amp;IF(U200="","PAN missing; ",IF(LEN(U200)&lt;&gt;10,"PAN not 10 chars; ",""))&amp;IF(V200="","Mobile missing; ",IF(LEN(V200)&lt;&gt;10,"Mobile not 10 digits; ",""))&amp;IF(AG200="","Bank A/c missing; ","")&amp;IF(AH200="","IFSC missing; ",IF(LEN(AH200)&lt;&gt;11,"IFSC not 11 chars; ","")))</f>
        <v/>
      </c>
      <c r="AW200" s="46" t="str">
        <f aca="false">IF(AS200="","",AS200+ROW()/100000)</f>
        <v/>
      </c>
      <c r="AX200" s="46" t="str">
        <f aca="false">IF(AT200="","",AT200+ROW()/100000)</f>
        <v/>
      </c>
    </row>
    <row r="201" customFormat="false" ht="15" hidden="false" customHeight="false" outlineLevel="0" collapsed="false">
      <c r="A201" s="9" t="str">
        <f aca="false">IF(B201="","",ROW()-5)</f>
        <v/>
      </c>
      <c r="B201" s="40"/>
      <c r="C201" s="8"/>
      <c r="D201" s="9" t="str">
        <f aca="false">IF(B201="","",IF(J201="","Active","Exited"))</f>
        <v/>
      </c>
      <c r="E201" s="8"/>
      <c r="F201" s="8"/>
      <c r="G201" s="8"/>
      <c r="H201" s="9" t="str">
        <f aca="false">IF(OR(B201="",I201=""),"",IF(IF(J201="",AsOf,J201)-I201&gt;=Settings!$C$13,"Permanent","Probation"))</f>
        <v/>
      </c>
      <c r="I201" s="41"/>
      <c r="J201" s="41"/>
      <c r="K201" s="8"/>
      <c r="L201" s="42" t="str">
        <f aca="false">IF(OR(B201="",I201=""),"",ROUND((IF(J201="",AsOf,J201)-I201)/365.25,1))</f>
        <v/>
      </c>
      <c r="M201" s="8"/>
      <c r="N201" s="8"/>
      <c r="O201" s="8"/>
      <c r="P201" s="8"/>
      <c r="Q201" s="41"/>
      <c r="R201" s="43" t="str">
        <f aca="false">IF(OR(B201="",Q201=""),"",INT((AsOf-Q201)/365.25))</f>
        <v/>
      </c>
      <c r="S201" s="8"/>
      <c r="T201" s="40"/>
      <c r="U201" s="40"/>
      <c r="V201" s="40"/>
      <c r="W201" s="40"/>
      <c r="X201" s="8"/>
      <c r="Y201" s="8"/>
      <c r="Z201" s="8"/>
      <c r="AA201" s="8"/>
      <c r="AB201" s="8"/>
      <c r="AC201" s="8"/>
      <c r="AD201" s="8"/>
      <c r="AE201" s="40"/>
      <c r="AF201" s="8"/>
      <c r="AG201" s="40"/>
      <c r="AH201" s="40"/>
      <c r="AI201" s="8"/>
      <c r="AJ201" s="40"/>
      <c r="AK201" s="40"/>
      <c r="AL201" s="40"/>
      <c r="AM201" s="44"/>
      <c r="AN201" s="44"/>
      <c r="AO201" s="41"/>
      <c r="AP201" s="45" t="str">
        <f aca="false">IF(B201="","",IF(AND(ISNUMBER(AM201),ISNUMBER(AN201),AM201&gt;0,AN201&gt;0),AN201/AM201-1,""))</f>
        <v/>
      </c>
      <c r="AQ201" s="9" t="str">
        <f aca="false">IF(I201="","",(YEAR(I201)-IF(MONTH(I201)&lt;4,1,0))&amp;"-"&amp;RIGHT((YEAR(I201)-IF(MONTH(I201)&lt;4,1,0))+1,2))</f>
        <v/>
      </c>
      <c r="AR201" s="9" t="str">
        <f aca="false">IF(J201="","",(YEAR(J201)-IF(MONTH(J201)&lt;4,1,0))&amp;"-"&amp;RIGHT((YEAR(J201)-IF(MONTH(J201)&lt;4,1,0))+1,2))</f>
        <v/>
      </c>
      <c r="AS201" s="43" t="str">
        <f aca="false">IF(OR(B201="",Q201="",D201&lt;&gt;"Active"),"",DATE(YEAR(AsOf)+IF(DATE(YEAR(AsOf),MONTH(Q201),DAY(Q201))&lt;AsOf,1,0),MONTH(Q201),DAY(Q201))-AsOf)</f>
        <v/>
      </c>
      <c r="AT201" s="43" t="str">
        <f aca="false">IF(OR(B201="",I201="",D201&lt;&gt;"Active"),"",IF(YEAR(DATE(YEAR(AsOf)+IF(DATE(YEAR(AsOf),MONTH(I201),DAY(I201))&lt;AsOf,1,0),MONTH(I201),DAY(I201)))-YEAR(I201)&lt;1,"",DATE(YEAR(AsOf)+IF(DATE(YEAR(AsOf),MONTH(I201),DAY(I201))&lt;AsOf,1,0),MONTH(I201),DAY(I201))-AsOf))</f>
        <v/>
      </c>
      <c r="AU201" s="43" t="str">
        <f aca="false">IF(B201="","",IF(AV201="",0,LEN(AV201)-LEN(SUBSTITUTE(AV201,";",""))))</f>
        <v/>
      </c>
      <c r="AV201" s="9" t="str">
        <f aca="false">IF(B201="","",IF(COUNTIF($B$6:$B$505,B201)&gt;1,"Duplicate Emp Code; ","")&amp;IF(C201="","Name missing; ","")&amp;IF(I201="","DOJ missing; ","")&amp;IF(AND(J201&lt;&gt;"",I201&lt;&gt;"",J201&lt;I201),"Exit before DOJ; ","")&amp;IF(Q201="","DOB missing; ","")&amp;IF(T201="","Aadhaar missing; ",IF(LEN(T201)&lt;&gt;12,"Aadhaar not 12 digits; ",IF(COUNTIF($T$6:$T$505,T201)&gt;1,"Duplicate Aadhaar; ","")))&amp;IF(U201="","PAN missing; ",IF(LEN(U201)&lt;&gt;10,"PAN not 10 chars; ",""))&amp;IF(V201="","Mobile missing; ",IF(LEN(V201)&lt;&gt;10,"Mobile not 10 digits; ",""))&amp;IF(AG201="","Bank A/c missing; ","")&amp;IF(AH201="","IFSC missing; ",IF(LEN(AH201)&lt;&gt;11,"IFSC not 11 chars; ","")))</f>
        <v/>
      </c>
      <c r="AW201" s="46" t="str">
        <f aca="false">IF(AS201="","",AS201+ROW()/100000)</f>
        <v/>
      </c>
      <c r="AX201" s="46" t="str">
        <f aca="false">IF(AT201="","",AT201+ROW()/100000)</f>
        <v/>
      </c>
    </row>
    <row r="202" customFormat="false" ht="15" hidden="false" customHeight="false" outlineLevel="0" collapsed="false">
      <c r="A202" s="9" t="str">
        <f aca="false">IF(B202="","",ROW()-5)</f>
        <v/>
      </c>
      <c r="B202" s="40"/>
      <c r="C202" s="8"/>
      <c r="D202" s="9" t="str">
        <f aca="false">IF(B202="","",IF(J202="","Active","Exited"))</f>
        <v/>
      </c>
      <c r="E202" s="8"/>
      <c r="F202" s="8"/>
      <c r="G202" s="8"/>
      <c r="H202" s="9" t="str">
        <f aca="false">IF(OR(B202="",I202=""),"",IF(IF(J202="",AsOf,J202)-I202&gt;=Settings!$C$13,"Permanent","Probation"))</f>
        <v/>
      </c>
      <c r="I202" s="41"/>
      <c r="J202" s="41"/>
      <c r="K202" s="8"/>
      <c r="L202" s="42" t="str">
        <f aca="false">IF(OR(B202="",I202=""),"",ROUND((IF(J202="",AsOf,J202)-I202)/365.25,1))</f>
        <v/>
      </c>
      <c r="M202" s="8"/>
      <c r="N202" s="8"/>
      <c r="O202" s="8"/>
      <c r="P202" s="8"/>
      <c r="Q202" s="41"/>
      <c r="R202" s="43" t="str">
        <f aca="false">IF(OR(B202="",Q202=""),"",INT((AsOf-Q202)/365.25))</f>
        <v/>
      </c>
      <c r="S202" s="8"/>
      <c r="T202" s="40"/>
      <c r="U202" s="40"/>
      <c r="V202" s="40"/>
      <c r="W202" s="40"/>
      <c r="X202" s="8"/>
      <c r="Y202" s="8"/>
      <c r="Z202" s="8"/>
      <c r="AA202" s="8"/>
      <c r="AB202" s="8"/>
      <c r="AC202" s="8"/>
      <c r="AD202" s="8"/>
      <c r="AE202" s="40"/>
      <c r="AF202" s="8"/>
      <c r="AG202" s="40"/>
      <c r="AH202" s="40"/>
      <c r="AI202" s="8"/>
      <c r="AJ202" s="40"/>
      <c r="AK202" s="40"/>
      <c r="AL202" s="40"/>
      <c r="AM202" s="44"/>
      <c r="AN202" s="44"/>
      <c r="AO202" s="41"/>
      <c r="AP202" s="45" t="str">
        <f aca="false">IF(B202="","",IF(AND(ISNUMBER(AM202),ISNUMBER(AN202),AM202&gt;0,AN202&gt;0),AN202/AM202-1,""))</f>
        <v/>
      </c>
      <c r="AQ202" s="9" t="str">
        <f aca="false">IF(I202="","",(YEAR(I202)-IF(MONTH(I202)&lt;4,1,0))&amp;"-"&amp;RIGHT((YEAR(I202)-IF(MONTH(I202)&lt;4,1,0))+1,2))</f>
        <v/>
      </c>
      <c r="AR202" s="9" t="str">
        <f aca="false">IF(J202="","",(YEAR(J202)-IF(MONTH(J202)&lt;4,1,0))&amp;"-"&amp;RIGHT((YEAR(J202)-IF(MONTH(J202)&lt;4,1,0))+1,2))</f>
        <v/>
      </c>
      <c r="AS202" s="43" t="str">
        <f aca="false">IF(OR(B202="",Q202="",D202&lt;&gt;"Active"),"",DATE(YEAR(AsOf)+IF(DATE(YEAR(AsOf),MONTH(Q202),DAY(Q202))&lt;AsOf,1,0),MONTH(Q202),DAY(Q202))-AsOf)</f>
        <v/>
      </c>
      <c r="AT202" s="43" t="str">
        <f aca="false">IF(OR(B202="",I202="",D202&lt;&gt;"Active"),"",IF(YEAR(DATE(YEAR(AsOf)+IF(DATE(YEAR(AsOf),MONTH(I202),DAY(I202))&lt;AsOf,1,0),MONTH(I202),DAY(I202)))-YEAR(I202)&lt;1,"",DATE(YEAR(AsOf)+IF(DATE(YEAR(AsOf),MONTH(I202),DAY(I202))&lt;AsOf,1,0),MONTH(I202),DAY(I202))-AsOf))</f>
        <v/>
      </c>
      <c r="AU202" s="43" t="str">
        <f aca="false">IF(B202="","",IF(AV202="",0,LEN(AV202)-LEN(SUBSTITUTE(AV202,";",""))))</f>
        <v/>
      </c>
      <c r="AV202" s="9" t="str">
        <f aca="false">IF(B202="","",IF(COUNTIF($B$6:$B$505,B202)&gt;1,"Duplicate Emp Code; ","")&amp;IF(C202="","Name missing; ","")&amp;IF(I202="","DOJ missing; ","")&amp;IF(AND(J202&lt;&gt;"",I202&lt;&gt;"",J202&lt;I202),"Exit before DOJ; ","")&amp;IF(Q202="","DOB missing; ","")&amp;IF(T202="","Aadhaar missing; ",IF(LEN(T202)&lt;&gt;12,"Aadhaar not 12 digits; ",IF(COUNTIF($T$6:$T$505,T202)&gt;1,"Duplicate Aadhaar; ","")))&amp;IF(U202="","PAN missing; ",IF(LEN(U202)&lt;&gt;10,"PAN not 10 chars; ",""))&amp;IF(V202="","Mobile missing; ",IF(LEN(V202)&lt;&gt;10,"Mobile not 10 digits; ",""))&amp;IF(AG202="","Bank A/c missing; ","")&amp;IF(AH202="","IFSC missing; ",IF(LEN(AH202)&lt;&gt;11,"IFSC not 11 chars; ","")))</f>
        <v/>
      </c>
      <c r="AW202" s="46" t="str">
        <f aca="false">IF(AS202="","",AS202+ROW()/100000)</f>
        <v/>
      </c>
      <c r="AX202" s="46" t="str">
        <f aca="false">IF(AT202="","",AT202+ROW()/100000)</f>
        <v/>
      </c>
    </row>
    <row r="203" customFormat="false" ht="15" hidden="false" customHeight="false" outlineLevel="0" collapsed="false">
      <c r="A203" s="9" t="str">
        <f aca="false">IF(B203="","",ROW()-5)</f>
        <v/>
      </c>
      <c r="B203" s="40"/>
      <c r="C203" s="8"/>
      <c r="D203" s="9" t="str">
        <f aca="false">IF(B203="","",IF(J203="","Active","Exited"))</f>
        <v/>
      </c>
      <c r="E203" s="8"/>
      <c r="F203" s="8"/>
      <c r="G203" s="8"/>
      <c r="H203" s="9" t="str">
        <f aca="false">IF(OR(B203="",I203=""),"",IF(IF(J203="",AsOf,J203)-I203&gt;=Settings!$C$13,"Permanent","Probation"))</f>
        <v/>
      </c>
      <c r="I203" s="41"/>
      <c r="J203" s="41"/>
      <c r="K203" s="8"/>
      <c r="L203" s="42" t="str">
        <f aca="false">IF(OR(B203="",I203=""),"",ROUND((IF(J203="",AsOf,J203)-I203)/365.25,1))</f>
        <v/>
      </c>
      <c r="M203" s="8"/>
      <c r="N203" s="8"/>
      <c r="O203" s="8"/>
      <c r="P203" s="8"/>
      <c r="Q203" s="41"/>
      <c r="R203" s="43" t="str">
        <f aca="false">IF(OR(B203="",Q203=""),"",INT((AsOf-Q203)/365.25))</f>
        <v/>
      </c>
      <c r="S203" s="8"/>
      <c r="T203" s="40"/>
      <c r="U203" s="40"/>
      <c r="V203" s="40"/>
      <c r="W203" s="40"/>
      <c r="X203" s="8"/>
      <c r="Y203" s="8"/>
      <c r="Z203" s="8"/>
      <c r="AA203" s="8"/>
      <c r="AB203" s="8"/>
      <c r="AC203" s="8"/>
      <c r="AD203" s="8"/>
      <c r="AE203" s="40"/>
      <c r="AF203" s="8"/>
      <c r="AG203" s="40"/>
      <c r="AH203" s="40"/>
      <c r="AI203" s="8"/>
      <c r="AJ203" s="40"/>
      <c r="AK203" s="40"/>
      <c r="AL203" s="40"/>
      <c r="AM203" s="44"/>
      <c r="AN203" s="44"/>
      <c r="AO203" s="41"/>
      <c r="AP203" s="45" t="str">
        <f aca="false">IF(B203="","",IF(AND(ISNUMBER(AM203),ISNUMBER(AN203),AM203&gt;0,AN203&gt;0),AN203/AM203-1,""))</f>
        <v/>
      </c>
      <c r="AQ203" s="9" t="str">
        <f aca="false">IF(I203="","",(YEAR(I203)-IF(MONTH(I203)&lt;4,1,0))&amp;"-"&amp;RIGHT((YEAR(I203)-IF(MONTH(I203)&lt;4,1,0))+1,2))</f>
        <v/>
      </c>
      <c r="AR203" s="9" t="str">
        <f aca="false">IF(J203="","",(YEAR(J203)-IF(MONTH(J203)&lt;4,1,0))&amp;"-"&amp;RIGHT((YEAR(J203)-IF(MONTH(J203)&lt;4,1,0))+1,2))</f>
        <v/>
      </c>
      <c r="AS203" s="43" t="str">
        <f aca="false">IF(OR(B203="",Q203="",D203&lt;&gt;"Active"),"",DATE(YEAR(AsOf)+IF(DATE(YEAR(AsOf),MONTH(Q203),DAY(Q203))&lt;AsOf,1,0),MONTH(Q203),DAY(Q203))-AsOf)</f>
        <v/>
      </c>
      <c r="AT203" s="43" t="str">
        <f aca="false">IF(OR(B203="",I203="",D203&lt;&gt;"Active"),"",IF(YEAR(DATE(YEAR(AsOf)+IF(DATE(YEAR(AsOf),MONTH(I203),DAY(I203))&lt;AsOf,1,0),MONTH(I203),DAY(I203)))-YEAR(I203)&lt;1,"",DATE(YEAR(AsOf)+IF(DATE(YEAR(AsOf),MONTH(I203),DAY(I203))&lt;AsOf,1,0),MONTH(I203),DAY(I203))-AsOf))</f>
        <v/>
      </c>
      <c r="AU203" s="43" t="str">
        <f aca="false">IF(B203="","",IF(AV203="",0,LEN(AV203)-LEN(SUBSTITUTE(AV203,";",""))))</f>
        <v/>
      </c>
      <c r="AV203" s="9" t="str">
        <f aca="false">IF(B203="","",IF(COUNTIF($B$6:$B$505,B203)&gt;1,"Duplicate Emp Code; ","")&amp;IF(C203="","Name missing; ","")&amp;IF(I203="","DOJ missing; ","")&amp;IF(AND(J203&lt;&gt;"",I203&lt;&gt;"",J203&lt;I203),"Exit before DOJ; ","")&amp;IF(Q203="","DOB missing; ","")&amp;IF(T203="","Aadhaar missing; ",IF(LEN(T203)&lt;&gt;12,"Aadhaar not 12 digits; ",IF(COUNTIF($T$6:$T$505,T203)&gt;1,"Duplicate Aadhaar; ","")))&amp;IF(U203="","PAN missing; ",IF(LEN(U203)&lt;&gt;10,"PAN not 10 chars; ",""))&amp;IF(V203="","Mobile missing; ",IF(LEN(V203)&lt;&gt;10,"Mobile not 10 digits; ",""))&amp;IF(AG203="","Bank A/c missing; ","")&amp;IF(AH203="","IFSC missing; ",IF(LEN(AH203)&lt;&gt;11,"IFSC not 11 chars; ","")))</f>
        <v/>
      </c>
      <c r="AW203" s="46" t="str">
        <f aca="false">IF(AS203="","",AS203+ROW()/100000)</f>
        <v/>
      </c>
      <c r="AX203" s="46" t="str">
        <f aca="false">IF(AT203="","",AT203+ROW()/100000)</f>
        <v/>
      </c>
    </row>
    <row r="204" customFormat="false" ht="15" hidden="false" customHeight="false" outlineLevel="0" collapsed="false">
      <c r="A204" s="9" t="str">
        <f aca="false">IF(B204="","",ROW()-5)</f>
        <v/>
      </c>
      <c r="B204" s="40"/>
      <c r="C204" s="8"/>
      <c r="D204" s="9" t="str">
        <f aca="false">IF(B204="","",IF(J204="","Active","Exited"))</f>
        <v/>
      </c>
      <c r="E204" s="8"/>
      <c r="F204" s="8"/>
      <c r="G204" s="8"/>
      <c r="H204" s="9" t="str">
        <f aca="false">IF(OR(B204="",I204=""),"",IF(IF(J204="",AsOf,J204)-I204&gt;=Settings!$C$13,"Permanent","Probation"))</f>
        <v/>
      </c>
      <c r="I204" s="41"/>
      <c r="J204" s="41"/>
      <c r="K204" s="8"/>
      <c r="L204" s="42" t="str">
        <f aca="false">IF(OR(B204="",I204=""),"",ROUND((IF(J204="",AsOf,J204)-I204)/365.25,1))</f>
        <v/>
      </c>
      <c r="M204" s="8"/>
      <c r="N204" s="8"/>
      <c r="O204" s="8"/>
      <c r="P204" s="8"/>
      <c r="Q204" s="41"/>
      <c r="R204" s="43" t="str">
        <f aca="false">IF(OR(B204="",Q204=""),"",INT((AsOf-Q204)/365.25))</f>
        <v/>
      </c>
      <c r="S204" s="8"/>
      <c r="T204" s="40"/>
      <c r="U204" s="40"/>
      <c r="V204" s="40"/>
      <c r="W204" s="40"/>
      <c r="X204" s="8"/>
      <c r="Y204" s="8"/>
      <c r="Z204" s="8"/>
      <c r="AA204" s="8"/>
      <c r="AB204" s="8"/>
      <c r="AC204" s="8"/>
      <c r="AD204" s="8"/>
      <c r="AE204" s="40"/>
      <c r="AF204" s="8"/>
      <c r="AG204" s="40"/>
      <c r="AH204" s="40"/>
      <c r="AI204" s="8"/>
      <c r="AJ204" s="40"/>
      <c r="AK204" s="40"/>
      <c r="AL204" s="40"/>
      <c r="AM204" s="44"/>
      <c r="AN204" s="44"/>
      <c r="AO204" s="41"/>
      <c r="AP204" s="45" t="str">
        <f aca="false">IF(B204="","",IF(AND(ISNUMBER(AM204),ISNUMBER(AN204),AM204&gt;0,AN204&gt;0),AN204/AM204-1,""))</f>
        <v/>
      </c>
      <c r="AQ204" s="9" t="str">
        <f aca="false">IF(I204="","",(YEAR(I204)-IF(MONTH(I204)&lt;4,1,0))&amp;"-"&amp;RIGHT((YEAR(I204)-IF(MONTH(I204)&lt;4,1,0))+1,2))</f>
        <v/>
      </c>
      <c r="AR204" s="9" t="str">
        <f aca="false">IF(J204="","",(YEAR(J204)-IF(MONTH(J204)&lt;4,1,0))&amp;"-"&amp;RIGHT((YEAR(J204)-IF(MONTH(J204)&lt;4,1,0))+1,2))</f>
        <v/>
      </c>
      <c r="AS204" s="43" t="str">
        <f aca="false">IF(OR(B204="",Q204="",D204&lt;&gt;"Active"),"",DATE(YEAR(AsOf)+IF(DATE(YEAR(AsOf),MONTH(Q204),DAY(Q204))&lt;AsOf,1,0),MONTH(Q204),DAY(Q204))-AsOf)</f>
        <v/>
      </c>
      <c r="AT204" s="43" t="str">
        <f aca="false">IF(OR(B204="",I204="",D204&lt;&gt;"Active"),"",IF(YEAR(DATE(YEAR(AsOf)+IF(DATE(YEAR(AsOf),MONTH(I204),DAY(I204))&lt;AsOf,1,0),MONTH(I204),DAY(I204)))-YEAR(I204)&lt;1,"",DATE(YEAR(AsOf)+IF(DATE(YEAR(AsOf),MONTH(I204),DAY(I204))&lt;AsOf,1,0),MONTH(I204),DAY(I204))-AsOf))</f>
        <v/>
      </c>
      <c r="AU204" s="43" t="str">
        <f aca="false">IF(B204="","",IF(AV204="",0,LEN(AV204)-LEN(SUBSTITUTE(AV204,";",""))))</f>
        <v/>
      </c>
      <c r="AV204" s="9" t="str">
        <f aca="false">IF(B204="","",IF(COUNTIF($B$6:$B$505,B204)&gt;1,"Duplicate Emp Code; ","")&amp;IF(C204="","Name missing; ","")&amp;IF(I204="","DOJ missing; ","")&amp;IF(AND(J204&lt;&gt;"",I204&lt;&gt;"",J204&lt;I204),"Exit before DOJ; ","")&amp;IF(Q204="","DOB missing; ","")&amp;IF(T204="","Aadhaar missing; ",IF(LEN(T204)&lt;&gt;12,"Aadhaar not 12 digits; ",IF(COUNTIF($T$6:$T$505,T204)&gt;1,"Duplicate Aadhaar; ","")))&amp;IF(U204="","PAN missing; ",IF(LEN(U204)&lt;&gt;10,"PAN not 10 chars; ",""))&amp;IF(V204="","Mobile missing; ",IF(LEN(V204)&lt;&gt;10,"Mobile not 10 digits; ",""))&amp;IF(AG204="","Bank A/c missing; ","")&amp;IF(AH204="","IFSC missing; ",IF(LEN(AH204)&lt;&gt;11,"IFSC not 11 chars; ","")))</f>
        <v/>
      </c>
      <c r="AW204" s="46" t="str">
        <f aca="false">IF(AS204="","",AS204+ROW()/100000)</f>
        <v/>
      </c>
      <c r="AX204" s="46" t="str">
        <f aca="false">IF(AT204="","",AT204+ROW()/100000)</f>
        <v/>
      </c>
    </row>
    <row r="205" customFormat="false" ht="15" hidden="false" customHeight="false" outlineLevel="0" collapsed="false">
      <c r="A205" s="9" t="str">
        <f aca="false">IF(B205="","",ROW()-5)</f>
        <v/>
      </c>
      <c r="B205" s="40"/>
      <c r="C205" s="8"/>
      <c r="D205" s="9" t="str">
        <f aca="false">IF(B205="","",IF(J205="","Active","Exited"))</f>
        <v/>
      </c>
      <c r="E205" s="8"/>
      <c r="F205" s="8"/>
      <c r="G205" s="8"/>
      <c r="H205" s="9" t="str">
        <f aca="false">IF(OR(B205="",I205=""),"",IF(IF(J205="",AsOf,J205)-I205&gt;=Settings!$C$13,"Permanent","Probation"))</f>
        <v/>
      </c>
      <c r="I205" s="41"/>
      <c r="J205" s="41"/>
      <c r="K205" s="8"/>
      <c r="L205" s="42" t="str">
        <f aca="false">IF(OR(B205="",I205=""),"",ROUND((IF(J205="",AsOf,J205)-I205)/365.25,1))</f>
        <v/>
      </c>
      <c r="M205" s="8"/>
      <c r="N205" s="8"/>
      <c r="O205" s="8"/>
      <c r="P205" s="8"/>
      <c r="Q205" s="41"/>
      <c r="R205" s="43" t="str">
        <f aca="false">IF(OR(B205="",Q205=""),"",INT((AsOf-Q205)/365.25))</f>
        <v/>
      </c>
      <c r="S205" s="8"/>
      <c r="T205" s="40"/>
      <c r="U205" s="40"/>
      <c r="V205" s="40"/>
      <c r="W205" s="40"/>
      <c r="X205" s="8"/>
      <c r="Y205" s="8"/>
      <c r="Z205" s="8"/>
      <c r="AA205" s="8"/>
      <c r="AB205" s="8"/>
      <c r="AC205" s="8"/>
      <c r="AD205" s="8"/>
      <c r="AE205" s="40"/>
      <c r="AF205" s="8"/>
      <c r="AG205" s="40"/>
      <c r="AH205" s="40"/>
      <c r="AI205" s="8"/>
      <c r="AJ205" s="40"/>
      <c r="AK205" s="40"/>
      <c r="AL205" s="40"/>
      <c r="AM205" s="44"/>
      <c r="AN205" s="44"/>
      <c r="AO205" s="41"/>
      <c r="AP205" s="45" t="str">
        <f aca="false">IF(B205="","",IF(AND(ISNUMBER(AM205),ISNUMBER(AN205),AM205&gt;0,AN205&gt;0),AN205/AM205-1,""))</f>
        <v/>
      </c>
      <c r="AQ205" s="9" t="str">
        <f aca="false">IF(I205="","",(YEAR(I205)-IF(MONTH(I205)&lt;4,1,0))&amp;"-"&amp;RIGHT((YEAR(I205)-IF(MONTH(I205)&lt;4,1,0))+1,2))</f>
        <v/>
      </c>
      <c r="AR205" s="9" t="str">
        <f aca="false">IF(J205="","",(YEAR(J205)-IF(MONTH(J205)&lt;4,1,0))&amp;"-"&amp;RIGHT((YEAR(J205)-IF(MONTH(J205)&lt;4,1,0))+1,2))</f>
        <v/>
      </c>
      <c r="AS205" s="43" t="str">
        <f aca="false">IF(OR(B205="",Q205="",D205&lt;&gt;"Active"),"",DATE(YEAR(AsOf)+IF(DATE(YEAR(AsOf),MONTH(Q205),DAY(Q205))&lt;AsOf,1,0),MONTH(Q205),DAY(Q205))-AsOf)</f>
        <v/>
      </c>
      <c r="AT205" s="43" t="str">
        <f aca="false">IF(OR(B205="",I205="",D205&lt;&gt;"Active"),"",IF(YEAR(DATE(YEAR(AsOf)+IF(DATE(YEAR(AsOf),MONTH(I205),DAY(I205))&lt;AsOf,1,0),MONTH(I205),DAY(I205)))-YEAR(I205)&lt;1,"",DATE(YEAR(AsOf)+IF(DATE(YEAR(AsOf),MONTH(I205),DAY(I205))&lt;AsOf,1,0),MONTH(I205),DAY(I205))-AsOf))</f>
        <v/>
      </c>
      <c r="AU205" s="43" t="str">
        <f aca="false">IF(B205="","",IF(AV205="",0,LEN(AV205)-LEN(SUBSTITUTE(AV205,";",""))))</f>
        <v/>
      </c>
      <c r="AV205" s="9" t="str">
        <f aca="false">IF(B205="","",IF(COUNTIF($B$6:$B$505,B205)&gt;1,"Duplicate Emp Code; ","")&amp;IF(C205="","Name missing; ","")&amp;IF(I205="","DOJ missing; ","")&amp;IF(AND(J205&lt;&gt;"",I205&lt;&gt;"",J205&lt;I205),"Exit before DOJ; ","")&amp;IF(Q205="","DOB missing; ","")&amp;IF(T205="","Aadhaar missing; ",IF(LEN(T205)&lt;&gt;12,"Aadhaar not 12 digits; ",IF(COUNTIF($T$6:$T$505,T205)&gt;1,"Duplicate Aadhaar; ","")))&amp;IF(U205="","PAN missing; ",IF(LEN(U205)&lt;&gt;10,"PAN not 10 chars; ",""))&amp;IF(V205="","Mobile missing; ",IF(LEN(V205)&lt;&gt;10,"Mobile not 10 digits; ",""))&amp;IF(AG205="","Bank A/c missing; ","")&amp;IF(AH205="","IFSC missing; ",IF(LEN(AH205)&lt;&gt;11,"IFSC not 11 chars; ","")))</f>
        <v/>
      </c>
      <c r="AW205" s="46" t="str">
        <f aca="false">IF(AS205="","",AS205+ROW()/100000)</f>
        <v/>
      </c>
      <c r="AX205" s="46" t="str">
        <f aca="false">IF(AT205="","",AT205+ROW()/100000)</f>
        <v/>
      </c>
    </row>
    <row r="206" customFormat="false" ht="15" hidden="false" customHeight="false" outlineLevel="0" collapsed="false">
      <c r="A206" s="9" t="str">
        <f aca="false">IF(B206="","",ROW()-5)</f>
        <v/>
      </c>
      <c r="B206" s="40"/>
      <c r="C206" s="8"/>
      <c r="D206" s="9" t="str">
        <f aca="false">IF(B206="","",IF(J206="","Active","Exited"))</f>
        <v/>
      </c>
      <c r="E206" s="8"/>
      <c r="F206" s="8"/>
      <c r="G206" s="8"/>
      <c r="H206" s="9" t="str">
        <f aca="false">IF(OR(B206="",I206=""),"",IF(IF(J206="",AsOf,J206)-I206&gt;=Settings!$C$13,"Permanent","Probation"))</f>
        <v/>
      </c>
      <c r="I206" s="41"/>
      <c r="J206" s="41"/>
      <c r="K206" s="8"/>
      <c r="L206" s="42" t="str">
        <f aca="false">IF(OR(B206="",I206=""),"",ROUND((IF(J206="",AsOf,J206)-I206)/365.25,1))</f>
        <v/>
      </c>
      <c r="M206" s="8"/>
      <c r="N206" s="8"/>
      <c r="O206" s="8"/>
      <c r="P206" s="8"/>
      <c r="Q206" s="41"/>
      <c r="R206" s="43" t="str">
        <f aca="false">IF(OR(B206="",Q206=""),"",INT((AsOf-Q206)/365.25))</f>
        <v/>
      </c>
      <c r="S206" s="8"/>
      <c r="T206" s="40"/>
      <c r="U206" s="40"/>
      <c r="V206" s="40"/>
      <c r="W206" s="40"/>
      <c r="X206" s="8"/>
      <c r="Y206" s="8"/>
      <c r="Z206" s="8"/>
      <c r="AA206" s="8"/>
      <c r="AB206" s="8"/>
      <c r="AC206" s="8"/>
      <c r="AD206" s="8"/>
      <c r="AE206" s="40"/>
      <c r="AF206" s="8"/>
      <c r="AG206" s="40"/>
      <c r="AH206" s="40"/>
      <c r="AI206" s="8"/>
      <c r="AJ206" s="40"/>
      <c r="AK206" s="40"/>
      <c r="AL206" s="40"/>
      <c r="AM206" s="44"/>
      <c r="AN206" s="44"/>
      <c r="AO206" s="41"/>
      <c r="AP206" s="45" t="str">
        <f aca="false">IF(B206="","",IF(AND(ISNUMBER(AM206),ISNUMBER(AN206),AM206&gt;0,AN206&gt;0),AN206/AM206-1,""))</f>
        <v/>
      </c>
      <c r="AQ206" s="9" t="str">
        <f aca="false">IF(I206="","",(YEAR(I206)-IF(MONTH(I206)&lt;4,1,0))&amp;"-"&amp;RIGHT((YEAR(I206)-IF(MONTH(I206)&lt;4,1,0))+1,2))</f>
        <v/>
      </c>
      <c r="AR206" s="9" t="str">
        <f aca="false">IF(J206="","",(YEAR(J206)-IF(MONTH(J206)&lt;4,1,0))&amp;"-"&amp;RIGHT((YEAR(J206)-IF(MONTH(J206)&lt;4,1,0))+1,2))</f>
        <v/>
      </c>
      <c r="AS206" s="43" t="str">
        <f aca="false">IF(OR(B206="",Q206="",D206&lt;&gt;"Active"),"",DATE(YEAR(AsOf)+IF(DATE(YEAR(AsOf),MONTH(Q206),DAY(Q206))&lt;AsOf,1,0),MONTH(Q206),DAY(Q206))-AsOf)</f>
        <v/>
      </c>
      <c r="AT206" s="43" t="str">
        <f aca="false">IF(OR(B206="",I206="",D206&lt;&gt;"Active"),"",IF(YEAR(DATE(YEAR(AsOf)+IF(DATE(YEAR(AsOf),MONTH(I206),DAY(I206))&lt;AsOf,1,0),MONTH(I206),DAY(I206)))-YEAR(I206)&lt;1,"",DATE(YEAR(AsOf)+IF(DATE(YEAR(AsOf),MONTH(I206),DAY(I206))&lt;AsOf,1,0),MONTH(I206),DAY(I206))-AsOf))</f>
        <v/>
      </c>
      <c r="AU206" s="43" t="str">
        <f aca="false">IF(B206="","",IF(AV206="",0,LEN(AV206)-LEN(SUBSTITUTE(AV206,";",""))))</f>
        <v/>
      </c>
      <c r="AV206" s="9" t="str">
        <f aca="false">IF(B206="","",IF(COUNTIF($B$6:$B$505,B206)&gt;1,"Duplicate Emp Code; ","")&amp;IF(C206="","Name missing; ","")&amp;IF(I206="","DOJ missing; ","")&amp;IF(AND(J206&lt;&gt;"",I206&lt;&gt;"",J206&lt;I206),"Exit before DOJ; ","")&amp;IF(Q206="","DOB missing; ","")&amp;IF(T206="","Aadhaar missing; ",IF(LEN(T206)&lt;&gt;12,"Aadhaar not 12 digits; ",IF(COUNTIF($T$6:$T$505,T206)&gt;1,"Duplicate Aadhaar; ","")))&amp;IF(U206="","PAN missing; ",IF(LEN(U206)&lt;&gt;10,"PAN not 10 chars; ",""))&amp;IF(V206="","Mobile missing; ",IF(LEN(V206)&lt;&gt;10,"Mobile not 10 digits; ",""))&amp;IF(AG206="","Bank A/c missing; ","")&amp;IF(AH206="","IFSC missing; ",IF(LEN(AH206)&lt;&gt;11,"IFSC not 11 chars; ","")))</f>
        <v/>
      </c>
      <c r="AW206" s="46" t="str">
        <f aca="false">IF(AS206="","",AS206+ROW()/100000)</f>
        <v/>
      </c>
      <c r="AX206" s="46" t="str">
        <f aca="false">IF(AT206="","",AT206+ROW()/100000)</f>
        <v/>
      </c>
    </row>
    <row r="207" customFormat="false" ht="15" hidden="false" customHeight="false" outlineLevel="0" collapsed="false">
      <c r="A207" s="9" t="str">
        <f aca="false">IF(B207="","",ROW()-5)</f>
        <v/>
      </c>
      <c r="B207" s="40"/>
      <c r="C207" s="8"/>
      <c r="D207" s="9" t="str">
        <f aca="false">IF(B207="","",IF(J207="","Active","Exited"))</f>
        <v/>
      </c>
      <c r="E207" s="8"/>
      <c r="F207" s="8"/>
      <c r="G207" s="8"/>
      <c r="H207" s="9" t="str">
        <f aca="false">IF(OR(B207="",I207=""),"",IF(IF(J207="",AsOf,J207)-I207&gt;=Settings!$C$13,"Permanent","Probation"))</f>
        <v/>
      </c>
      <c r="I207" s="41"/>
      <c r="J207" s="41"/>
      <c r="K207" s="8"/>
      <c r="L207" s="42" t="str">
        <f aca="false">IF(OR(B207="",I207=""),"",ROUND((IF(J207="",AsOf,J207)-I207)/365.25,1))</f>
        <v/>
      </c>
      <c r="M207" s="8"/>
      <c r="N207" s="8"/>
      <c r="O207" s="8"/>
      <c r="P207" s="8"/>
      <c r="Q207" s="41"/>
      <c r="R207" s="43" t="str">
        <f aca="false">IF(OR(B207="",Q207=""),"",INT((AsOf-Q207)/365.25))</f>
        <v/>
      </c>
      <c r="S207" s="8"/>
      <c r="T207" s="40"/>
      <c r="U207" s="40"/>
      <c r="V207" s="40"/>
      <c r="W207" s="40"/>
      <c r="X207" s="8"/>
      <c r="Y207" s="8"/>
      <c r="Z207" s="8"/>
      <c r="AA207" s="8"/>
      <c r="AB207" s="8"/>
      <c r="AC207" s="8"/>
      <c r="AD207" s="8"/>
      <c r="AE207" s="40"/>
      <c r="AF207" s="8"/>
      <c r="AG207" s="40"/>
      <c r="AH207" s="40"/>
      <c r="AI207" s="8"/>
      <c r="AJ207" s="40"/>
      <c r="AK207" s="40"/>
      <c r="AL207" s="40"/>
      <c r="AM207" s="44"/>
      <c r="AN207" s="44"/>
      <c r="AO207" s="41"/>
      <c r="AP207" s="45" t="str">
        <f aca="false">IF(B207="","",IF(AND(ISNUMBER(AM207),ISNUMBER(AN207),AM207&gt;0,AN207&gt;0),AN207/AM207-1,""))</f>
        <v/>
      </c>
      <c r="AQ207" s="9" t="str">
        <f aca="false">IF(I207="","",(YEAR(I207)-IF(MONTH(I207)&lt;4,1,0))&amp;"-"&amp;RIGHT((YEAR(I207)-IF(MONTH(I207)&lt;4,1,0))+1,2))</f>
        <v/>
      </c>
      <c r="AR207" s="9" t="str">
        <f aca="false">IF(J207="","",(YEAR(J207)-IF(MONTH(J207)&lt;4,1,0))&amp;"-"&amp;RIGHT((YEAR(J207)-IF(MONTH(J207)&lt;4,1,0))+1,2))</f>
        <v/>
      </c>
      <c r="AS207" s="43" t="str">
        <f aca="false">IF(OR(B207="",Q207="",D207&lt;&gt;"Active"),"",DATE(YEAR(AsOf)+IF(DATE(YEAR(AsOf),MONTH(Q207),DAY(Q207))&lt;AsOf,1,0),MONTH(Q207),DAY(Q207))-AsOf)</f>
        <v/>
      </c>
      <c r="AT207" s="43" t="str">
        <f aca="false">IF(OR(B207="",I207="",D207&lt;&gt;"Active"),"",IF(YEAR(DATE(YEAR(AsOf)+IF(DATE(YEAR(AsOf),MONTH(I207),DAY(I207))&lt;AsOf,1,0),MONTH(I207),DAY(I207)))-YEAR(I207)&lt;1,"",DATE(YEAR(AsOf)+IF(DATE(YEAR(AsOf),MONTH(I207),DAY(I207))&lt;AsOf,1,0),MONTH(I207),DAY(I207))-AsOf))</f>
        <v/>
      </c>
      <c r="AU207" s="43" t="str">
        <f aca="false">IF(B207="","",IF(AV207="",0,LEN(AV207)-LEN(SUBSTITUTE(AV207,";",""))))</f>
        <v/>
      </c>
      <c r="AV207" s="9" t="str">
        <f aca="false">IF(B207="","",IF(COUNTIF($B$6:$B$505,B207)&gt;1,"Duplicate Emp Code; ","")&amp;IF(C207="","Name missing; ","")&amp;IF(I207="","DOJ missing; ","")&amp;IF(AND(J207&lt;&gt;"",I207&lt;&gt;"",J207&lt;I207),"Exit before DOJ; ","")&amp;IF(Q207="","DOB missing; ","")&amp;IF(T207="","Aadhaar missing; ",IF(LEN(T207)&lt;&gt;12,"Aadhaar not 12 digits; ",IF(COUNTIF($T$6:$T$505,T207)&gt;1,"Duplicate Aadhaar; ","")))&amp;IF(U207="","PAN missing; ",IF(LEN(U207)&lt;&gt;10,"PAN not 10 chars; ",""))&amp;IF(V207="","Mobile missing; ",IF(LEN(V207)&lt;&gt;10,"Mobile not 10 digits; ",""))&amp;IF(AG207="","Bank A/c missing; ","")&amp;IF(AH207="","IFSC missing; ",IF(LEN(AH207)&lt;&gt;11,"IFSC not 11 chars; ","")))</f>
        <v/>
      </c>
      <c r="AW207" s="46" t="str">
        <f aca="false">IF(AS207="","",AS207+ROW()/100000)</f>
        <v/>
      </c>
      <c r="AX207" s="46" t="str">
        <f aca="false">IF(AT207="","",AT207+ROW()/100000)</f>
        <v/>
      </c>
    </row>
    <row r="208" customFormat="false" ht="15" hidden="false" customHeight="false" outlineLevel="0" collapsed="false">
      <c r="A208" s="9" t="str">
        <f aca="false">IF(B208="","",ROW()-5)</f>
        <v/>
      </c>
      <c r="B208" s="40"/>
      <c r="C208" s="8"/>
      <c r="D208" s="9" t="str">
        <f aca="false">IF(B208="","",IF(J208="","Active","Exited"))</f>
        <v/>
      </c>
      <c r="E208" s="8"/>
      <c r="F208" s="8"/>
      <c r="G208" s="8"/>
      <c r="H208" s="9" t="str">
        <f aca="false">IF(OR(B208="",I208=""),"",IF(IF(J208="",AsOf,J208)-I208&gt;=Settings!$C$13,"Permanent","Probation"))</f>
        <v/>
      </c>
      <c r="I208" s="41"/>
      <c r="J208" s="41"/>
      <c r="K208" s="8"/>
      <c r="L208" s="42" t="str">
        <f aca="false">IF(OR(B208="",I208=""),"",ROUND((IF(J208="",AsOf,J208)-I208)/365.25,1))</f>
        <v/>
      </c>
      <c r="M208" s="8"/>
      <c r="N208" s="8"/>
      <c r="O208" s="8"/>
      <c r="P208" s="8"/>
      <c r="Q208" s="41"/>
      <c r="R208" s="43" t="str">
        <f aca="false">IF(OR(B208="",Q208=""),"",INT((AsOf-Q208)/365.25))</f>
        <v/>
      </c>
      <c r="S208" s="8"/>
      <c r="T208" s="40"/>
      <c r="U208" s="40"/>
      <c r="V208" s="40"/>
      <c r="W208" s="40"/>
      <c r="X208" s="8"/>
      <c r="Y208" s="8"/>
      <c r="Z208" s="8"/>
      <c r="AA208" s="8"/>
      <c r="AB208" s="8"/>
      <c r="AC208" s="8"/>
      <c r="AD208" s="8"/>
      <c r="AE208" s="40"/>
      <c r="AF208" s="8"/>
      <c r="AG208" s="40"/>
      <c r="AH208" s="40"/>
      <c r="AI208" s="8"/>
      <c r="AJ208" s="40"/>
      <c r="AK208" s="40"/>
      <c r="AL208" s="40"/>
      <c r="AM208" s="44"/>
      <c r="AN208" s="44"/>
      <c r="AO208" s="41"/>
      <c r="AP208" s="45" t="str">
        <f aca="false">IF(B208="","",IF(AND(ISNUMBER(AM208),ISNUMBER(AN208),AM208&gt;0,AN208&gt;0),AN208/AM208-1,""))</f>
        <v/>
      </c>
      <c r="AQ208" s="9" t="str">
        <f aca="false">IF(I208="","",(YEAR(I208)-IF(MONTH(I208)&lt;4,1,0))&amp;"-"&amp;RIGHT((YEAR(I208)-IF(MONTH(I208)&lt;4,1,0))+1,2))</f>
        <v/>
      </c>
      <c r="AR208" s="9" t="str">
        <f aca="false">IF(J208="","",(YEAR(J208)-IF(MONTH(J208)&lt;4,1,0))&amp;"-"&amp;RIGHT((YEAR(J208)-IF(MONTH(J208)&lt;4,1,0))+1,2))</f>
        <v/>
      </c>
      <c r="AS208" s="43" t="str">
        <f aca="false">IF(OR(B208="",Q208="",D208&lt;&gt;"Active"),"",DATE(YEAR(AsOf)+IF(DATE(YEAR(AsOf),MONTH(Q208),DAY(Q208))&lt;AsOf,1,0),MONTH(Q208),DAY(Q208))-AsOf)</f>
        <v/>
      </c>
      <c r="AT208" s="43" t="str">
        <f aca="false">IF(OR(B208="",I208="",D208&lt;&gt;"Active"),"",IF(YEAR(DATE(YEAR(AsOf)+IF(DATE(YEAR(AsOf),MONTH(I208),DAY(I208))&lt;AsOf,1,0),MONTH(I208),DAY(I208)))-YEAR(I208)&lt;1,"",DATE(YEAR(AsOf)+IF(DATE(YEAR(AsOf),MONTH(I208),DAY(I208))&lt;AsOf,1,0),MONTH(I208),DAY(I208))-AsOf))</f>
        <v/>
      </c>
      <c r="AU208" s="43" t="str">
        <f aca="false">IF(B208="","",IF(AV208="",0,LEN(AV208)-LEN(SUBSTITUTE(AV208,";",""))))</f>
        <v/>
      </c>
      <c r="AV208" s="9" t="str">
        <f aca="false">IF(B208="","",IF(COUNTIF($B$6:$B$505,B208)&gt;1,"Duplicate Emp Code; ","")&amp;IF(C208="","Name missing; ","")&amp;IF(I208="","DOJ missing; ","")&amp;IF(AND(J208&lt;&gt;"",I208&lt;&gt;"",J208&lt;I208),"Exit before DOJ; ","")&amp;IF(Q208="","DOB missing; ","")&amp;IF(T208="","Aadhaar missing; ",IF(LEN(T208)&lt;&gt;12,"Aadhaar not 12 digits; ",IF(COUNTIF($T$6:$T$505,T208)&gt;1,"Duplicate Aadhaar; ","")))&amp;IF(U208="","PAN missing; ",IF(LEN(U208)&lt;&gt;10,"PAN not 10 chars; ",""))&amp;IF(V208="","Mobile missing; ",IF(LEN(V208)&lt;&gt;10,"Mobile not 10 digits; ",""))&amp;IF(AG208="","Bank A/c missing; ","")&amp;IF(AH208="","IFSC missing; ",IF(LEN(AH208)&lt;&gt;11,"IFSC not 11 chars; ","")))</f>
        <v/>
      </c>
      <c r="AW208" s="46" t="str">
        <f aca="false">IF(AS208="","",AS208+ROW()/100000)</f>
        <v/>
      </c>
      <c r="AX208" s="46" t="str">
        <f aca="false">IF(AT208="","",AT208+ROW()/100000)</f>
        <v/>
      </c>
    </row>
    <row r="209" customFormat="false" ht="15" hidden="false" customHeight="false" outlineLevel="0" collapsed="false">
      <c r="A209" s="9" t="str">
        <f aca="false">IF(B209="","",ROW()-5)</f>
        <v/>
      </c>
      <c r="B209" s="40"/>
      <c r="C209" s="8"/>
      <c r="D209" s="9" t="str">
        <f aca="false">IF(B209="","",IF(J209="","Active","Exited"))</f>
        <v/>
      </c>
      <c r="E209" s="8"/>
      <c r="F209" s="8"/>
      <c r="G209" s="8"/>
      <c r="H209" s="9" t="str">
        <f aca="false">IF(OR(B209="",I209=""),"",IF(IF(J209="",AsOf,J209)-I209&gt;=Settings!$C$13,"Permanent","Probation"))</f>
        <v/>
      </c>
      <c r="I209" s="41"/>
      <c r="J209" s="41"/>
      <c r="K209" s="8"/>
      <c r="L209" s="42" t="str">
        <f aca="false">IF(OR(B209="",I209=""),"",ROUND((IF(J209="",AsOf,J209)-I209)/365.25,1))</f>
        <v/>
      </c>
      <c r="M209" s="8"/>
      <c r="N209" s="8"/>
      <c r="O209" s="8"/>
      <c r="P209" s="8"/>
      <c r="Q209" s="41"/>
      <c r="R209" s="43" t="str">
        <f aca="false">IF(OR(B209="",Q209=""),"",INT((AsOf-Q209)/365.25))</f>
        <v/>
      </c>
      <c r="S209" s="8"/>
      <c r="T209" s="40"/>
      <c r="U209" s="40"/>
      <c r="V209" s="40"/>
      <c r="W209" s="40"/>
      <c r="X209" s="8"/>
      <c r="Y209" s="8"/>
      <c r="Z209" s="8"/>
      <c r="AA209" s="8"/>
      <c r="AB209" s="8"/>
      <c r="AC209" s="8"/>
      <c r="AD209" s="8"/>
      <c r="AE209" s="40"/>
      <c r="AF209" s="8"/>
      <c r="AG209" s="40"/>
      <c r="AH209" s="40"/>
      <c r="AI209" s="8"/>
      <c r="AJ209" s="40"/>
      <c r="AK209" s="40"/>
      <c r="AL209" s="40"/>
      <c r="AM209" s="44"/>
      <c r="AN209" s="44"/>
      <c r="AO209" s="41"/>
      <c r="AP209" s="45" t="str">
        <f aca="false">IF(B209="","",IF(AND(ISNUMBER(AM209),ISNUMBER(AN209),AM209&gt;0,AN209&gt;0),AN209/AM209-1,""))</f>
        <v/>
      </c>
      <c r="AQ209" s="9" t="str">
        <f aca="false">IF(I209="","",(YEAR(I209)-IF(MONTH(I209)&lt;4,1,0))&amp;"-"&amp;RIGHT((YEAR(I209)-IF(MONTH(I209)&lt;4,1,0))+1,2))</f>
        <v/>
      </c>
      <c r="AR209" s="9" t="str">
        <f aca="false">IF(J209="","",(YEAR(J209)-IF(MONTH(J209)&lt;4,1,0))&amp;"-"&amp;RIGHT((YEAR(J209)-IF(MONTH(J209)&lt;4,1,0))+1,2))</f>
        <v/>
      </c>
      <c r="AS209" s="43" t="str">
        <f aca="false">IF(OR(B209="",Q209="",D209&lt;&gt;"Active"),"",DATE(YEAR(AsOf)+IF(DATE(YEAR(AsOf),MONTH(Q209),DAY(Q209))&lt;AsOf,1,0),MONTH(Q209),DAY(Q209))-AsOf)</f>
        <v/>
      </c>
      <c r="AT209" s="43" t="str">
        <f aca="false">IF(OR(B209="",I209="",D209&lt;&gt;"Active"),"",IF(YEAR(DATE(YEAR(AsOf)+IF(DATE(YEAR(AsOf),MONTH(I209),DAY(I209))&lt;AsOf,1,0),MONTH(I209),DAY(I209)))-YEAR(I209)&lt;1,"",DATE(YEAR(AsOf)+IF(DATE(YEAR(AsOf),MONTH(I209),DAY(I209))&lt;AsOf,1,0),MONTH(I209),DAY(I209))-AsOf))</f>
        <v/>
      </c>
      <c r="AU209" s="43" t="str">
        <f aca="false">IF(B209="","",IF(AV209="",0,LEN(AV209)-LEN(SUBSTITUTE(AV209,";",""))))</f>
        <v/>
      </c>
      <c r="AV209" s="9" t="str">
        <f aca="false">IF(B209="","",IF(COUNTIF($B$6:$B$505,B209)&gt;1,"Duplicate Emp Code; ","")&amp;IF(C209="","Name missing; ","")&amp;IF(I209="","DOJ missing; ","")&amp;IF(AND(J209&lt;&gt;"",I209&lt;&gt;"",J209&lt;I209),"Exit before DOJ; ","")&amp;IF(Q209="","DOB missing; ","")&amp;IF(T209="","Aadhaar missing; ",IF(LEN(T209)&lt;&gt;12,"Aadhaar not 12 digits; ",IF(COUNTIF($T$6:$T$505,T209)&gt;1,"Duplicate Aadhaar; ","")))&amp;IF(U209="","PAN missing; ",IF(LEN(U209)&lt;&gt;10,"PAN not 10 chars; ",""))&amp;IF(V209="","Mobile missing; ",IF(LEN(V209)&lt;&gt;10,"Mobile not 10 digits; ",""))&amp;IF(AG209="","Bank A/c missing; ","")&amp;IF(AH209="","IFSC missing; ",IF(LEN(AH209)&lt;&gt;11,"IFSC not 11 chars; ","")))</f>
        <v/>
      </c>
      <c r="AW209" s="46" t="str">
        <f aca="false">IF(AS209="","",AS209+ROW()/100000)</f>
        <v/>
      </c>
      <c r="AX209" s="46" t="str">
        <f aca="false">IF(AT209="","",AT209+ROW()/100000)</f>
        <v/>
      </c>
    </row>
    <row r="210" customFormat="false" ht="15" hidden="false" customHeight="false" outlineLevel="0" collapsed="false">
      <c r="A210" s="9" t="str">
        <f aca="false">IF(B210="","",ROW()-5)</f>
        <v/>
      </c>
      <c r="B210" s="40"/>
      <c r="C210" s="8"/>
      <c r="D210" s="9" t="str">
        <f aca="false">IF(B210="","",IF(J210="","Active","Exited"))</f>
        <v/>
      </c>
      <c r="E210" s="8"/>
      <c r="F210" s="8"/>
      <c r="G210" s="8"/>
      <c r="H210" s="9" t="str">
        <f aca="false">IF(OR(B210="",I210=""),"",IF(IF(J210="",AsOf,J210)-I210&gt;=Settings!$C$13,"Permanent","Probation"))</f>
        <v/>
      </c>
      <c r="I210" s="41"/>
      <c r="J210" s="41"/>
      <c r="K210" s="8"/>
      <c r="L210" s="42" t="str">
        <f aca="false">IF(OR(B210="",I210=""),"",ROUND((IF(J210="",AsOf,J210)-I210)/365.25,1))</f>
        <v/>
      </c>
      <c r="M210" s="8"/>
      <c r="N210" s="8"/>
      <c r="O210" s="8"/>
      <c r="P210" s="8"/>
      <c r="Q210" s="41"/>
      <c r="R210" s="43" t="str">
        <f aca="false">IF(OR(B210="",Q210=""),"",INT((AsOf-Q210)/365.25))</f>
        <v/>
      </c>
      <c r="S210" s="8"/>
      <c r="T210" s="40"/>
      <c r="U210" s="40"/>
      <c r="V210" s="40"/>
      <c r="W210" s="40"/>
      <c r="X210" s="8"/>
      <c r="Y210" s="8"/>
      <c r="Z210" s="8"/>
      <c r="AA210" s="8"/>
      <c r="AB210" s="8"/>
      <c r="AC210" s="8"/>
      <c r="AD210" s="8"/>
      <c r="AE210" s="40"/>
      <c r="AF210" s="8"/>
      <c r="AG210" s="40"/>
      <c r="AH210" s="40"/>
      <c r="AI210" s="8"/>
      <c r="AJ210" s="40"/>
      <c r="AK210" s="40"/>
      <c r="AL210" s="40"/>
      <c r="AM210" s="44"/>
      <c r="AN210" s="44"/>
      <c r="AO210" s="41"/>
      <c r="AP210" s="45" t="str">
        <f aca="false">IF(B210="","",IF(AND(ISNUMBER(AM210),ISNUMBER(AN210),AM210&gt;0,AN210&gt;0),AN210/AM210-1,""))</f>
        <v/>
      </c>
      <c r="AQ210" s="9" t="str">
        <f aca="false">IF(I210="","",(YEAR(I210)-IF(MONTH(I210)&lt;4,1,0))&amp;"-"&amp;RIGHT((YEAR(I210)-IF(MONTH(I210)&lt;4,1,0))+1,2))</f>
        <v/>
      </c>
      <c r="AR210" s="9" t="str">
        <f aca="false">IF(J210="","",(YEAR(J210)-IF(MONTH(J210)&lt;4,1,0))&amp;"-"&amp;RIGHT((YEAR(J210)-IF(MONTH(J210)&lt;4,1,0))+1,2))</f>
        <v/>
      </c>
      <c r="AS210" s="43" t="str">
        <f aca="false">IF(OR(B210="",Q210="",D210&lt;&gt;"Active"),"",DATE(YEAR(AsOf)+IF(DATE(YEAR(AsOf),MONTH(Q210),DAY(Q210))&lt;AsOf,1,0),MONTH(Q210),DAY(Q210))-AsOf)</f>
        <v/>
      </c>
      <c r="AT210" s="43" t="str">
        <f aca="false">IF(OR(B210="",I210="",D210&lt;&gt;"Active"),"",IF(YEAR(DATE(YEAR(AsOf)+IF(DATE(YEAR(AsOf),MONTH(I210),DAY(I210))&lt;AsOf,1,0),MONTH(I210),DAY(I210)))-YEAR(I210)&lt;1,"",DATE(YEAR(AsOf)+IF(DATE(YEAR(AsOf),MONTH(I210),DAY(I210))&lt;AsOf,1,0),MONTH(I210),DAY(I210))-AsOf))</f>
        <v/>
      </c>
      <c r="AU210" s="43" t="str">
        <f aca="false">IF(B210="","",IF(AV210="",0,LEN(AV210)-LEN(SUBSTITUTE(AV210,";",""))))</f>
        <v/>
      </c>
      <c r="AV210" s="9" t="str">
        <f aca="false">IF(B210="","",IF(COUNTIF($B$6:$B$505,B210)&gt;1,"Duplicate Emp Code; ","")&amp;IF(C210="","Name missing; ","")&amp;IF(I210="","DOJ missing; ","")&amp;IF(AND(J210&lt;&gt;"",I210&lt;&gt;"",J210&lt;I210),"Exit before DOJ; ","")&amp;IF(Q210="","DOB missing; ","")&amp;IF(T210="","Aadhaar missing; ",IF(LEN(T210)&lt;&gt;12,"Aadhaar not 12 digits; ",IF(COUNTIF($T$6:$T$505,T210)&gt;1,"Duplicate Aadhaar; ","")))&amp;IF(U210="","PAN missing; ",IF(LEN(U210)&lt;&gt;10,"PAN not 10 chars; ",""))&amp;IF(V210="","Mobile missing; ",IF(LEN(V210)&lt;&gt;10,"Mobile not 10 digits; ",""))&amp;IF(AG210="","Bank A/c missing; ","")&amp;IF(AH210="","IFSC missing; ",IF(LEN(AH210)&lt;&gt;11,"IFSC not 11 chars; ","")))</f>
        <v/>
      </c>
      <c r="AW210" s="46" t="str">
        <f aca="false">IF(AS210="","",AS210+ROW()/100000)</f>
        <v/>
      </c>
      <c r="AX210" s="46" t="str">
        <f aca="false">IF(AT210="","",AT210+ROW()/100000)</f>
        <v/>
      </c>
    </row>
    <row r="211" customFormat="false" ht="15" hidden="false" customHeight="false" outlineLevel="0" collapsed="false">
      <c r="A211" s="9" t="str">
        <f aca="false">IF(B211="","",ROW()-5)</f>
        <v/>
      </c>
      <c r="B211" s="40"/>
      <c r="C211" s="8"/>
      <c r="D211" s="9" t="str">
        <f aca="false">IF(B211="","",IF(J211="","Active","Exited"))</f>
        <v/>
      </c>
      <c r="E211" s="8"/>
      <c r="F211" s="8"/>
      <c r="G211" s="8"/>
      <c r="H211" s="9" t="str">
        <f aca="false">IF(OR(B211="",I211=""),"",IF(IF(J211="",AsOf,J211)-I211&gt;=Settings!$C$13,"Permanent","Probation"))</f>
        <v/>
      </c>
      <c r="I211" s="41"/>
      <c r="J211" s="41"/>
      <c r="K211" s="8"/>
      <c r="L211" s="42" t="str">
        <f aca="false">IF(OR(B211="",I211=""),"",ROUND((IF(J211="",AsOf,J211)-I211)/365.25,1))</f>
        <v/>
      </c>
      <c r="M211" s="8"/>
      <c r="N211" s="8"/>
      <c r="O211" s="8"/>
      <c r="P211" s="8"/>
      <c r="Q211" s="41"/>
      <c r="R211" s="43" t="str">
        <f aca="false">IF(OR(B211="",Q211=""),"",INT((AsOf-Q211)/365.25))</f>
        <v/>
      </c>
      <c r="S211" s="8"/>
      <c r="T211" s="40"/>
      <c r="U211" s="40"/>
      <c r="V211" s="40"/>
      <c r="W211" s="40"/>
      <c r="X211" s="8"/>
      <c r="Y211" s="8"/>
      <c r="Z211" s="8"/>
      <c r="AA211" s="8"/>
      <c r="AB211" s="8"/>
      <c r="AC211" s="8"/>
      <c r="AD211" s="8"/>
      <c r="AE211" s="40"/>
      <c r="AF211" s="8"/>
      <c r="AG211" s="40"/>
      <c r="AH211" s="40"/>
      <c r="AI211" s="8"/>
      <c r="AJ211" s="40"/>
      <c r="AK211" s="40"/>
      <c r="AL211" s="40"/>
      <c r="AM211" s="44"/>
      <c r="AN211" s="44"/>
      <c r="AO211" s="41"/>
      <c r="AP211" s="45" t="str">
        <f aca="false">IF(B211="","",IF(AND(ISNUMBER(AM211),ISNUMBER(AN211),AM211&gt;0,AN211&gt;0),AN211/AM211-1,""))</f>
        <v/>
      </c>
      <c r="AQ211" s="9" t="str">
        <f aca="false">IF(I211="","",(YEAR(I211)-IF(MONTH(I211)&lt;4,1,0))&amp;"-"&amp;RIGHT((YEAR(I211)-IF(MONTH(I211)&lt;4,1,0))+1,2))</f>
        <v/>
      </c>
      <c r="AR211" s="9" t="str">
        <f aca="false">IF(J211="","",(YEAR(J211)-IF(MONTH(J211)&lt;4,1,0))&amp;"-"&amp;RIGHT((YEAR(J211)-IF(MONTH(J211)&lt;4,1,0))+1,2))</f>
        <v/>
      </c>
      <c r="AS211" s="43" t="str">
        <f aca="false">IF(OR(B211="",Q211="",D211&lt;&gt;"Active"),"",DATE(YEAR(AsOf)+IF(DATE(YEAR(AsOf),MONTH(Q211),DAY(Q211))&lt;AsOf,1,0),MONTH(Q211),DAY(Q211))-AsOf)</f>
        <v/>
      </c>
      <c r="AT211" s="43" t="str">
        <f aca="false">IF(OR(B211="",I211="",D211&lt;&gt;"Active"),"",IF(YEAR(DATE(YEAR(AsOf)+IF(DATE(YEAR(AsOf),MONTH(I211),DAY(I211))&lt;AsOf,1,0),MONTH(I211),DAY(I211)))-YEAR(I211)&lt;1,"",DATE(YEAR(AsOf)+IF(DATE(YEAR(AsOf),MONTH(I211),DAY(I211))&lt;AsOf,1,0),MONTH(I211),DAY(I211))-AsOf))</f>
        <v/>
      </c>
      <c r="AU211" s="43" t="str">
        <f aca="false">IF(B211="","",IF(AV211="",0,LEN(AV211)-LEN(SUBSTITUTE(AV211,";",""))))</f>
        <v/>
      </c>
      <c r="AV211" s="9" t="str">
        <f aca="false">IF(B211="","",IF(COUNTIF($B$6:$B$505,B211)&gt;1,"Duplicate Emp Code; ","")&amp;IF(C211="","Name missing; ","")&amp;IF(I211="","DOJ missing; ","")&amp;IF(AND(J211&lt;&gt;"",I211&lt;&gt;"",J211&lt;I211),"Exit before DOJ; ","")&amp;IF(Q211="","DOB missing; ","")&amp;IF(T211="","Aadhaar missing; ",IF(LEN(T211)&lt;&gt;12,"Aadhaar not 12 digits; ",IF(COUNTIF($T$6:$T$505,T211)&gt;1,"Duplicate Aadhaar; ","")))&amp;IF(U211="","PAN missing; ",IF(LEN(U211)&lt;&gt;10,"PAN not 10 chars; ",""))&amp;IF(V211="","Mobile missing; ",IF(LEN(V211)&lt;&gt;10,"Mobile not 10 digits; ",""))&amp;IF(AG211="","Bank A/c missing; ","")&amp;IF(AH211="","IFSC missing; ",IF(LEN(AH211)&lt;&gt;11,"IFSC not 11 chars; ","")))</f>
        <v/>
      </c>
      <c r="AW211" s="46" t="str">
        <f aca="false">IF(AS211="","",AS211+ROW()/100000)</f>
        <v/>
      </c>
      <c r="AX211" s="46" t="str">
        <f aca="false">IF(AT211="","",AT211+ROW()/100000)</f>
        <v/>
      </c>
    </row>
    <row r="212" customFormat="false" ht="15" hidden="false" customHeight="false" outlineLevel="0" collapsed="false">
      <c r="A212" s="9" t="str">
        <f aca="false">IF(B212="","",ROW()-5)</f>
        <v/>
      </c>
      <c r="B212" s="40"/>
      <c r="C212" s="8"/>
      <c r="D212" s="9" t="str">
        <f aca="false">IF(B212="","",IF(J212="","Active","Exited"))</f>
        <v/>
      </c>
      <c r="E212" s="8"/>
      <c r="F212" s="8"/>
      <c r="G212" s="8"/>
      <c r="H212" s="9" t="str">
        <f aca="false">IF(OR(B212="",I212=""),"",IF(IF(J212="",AsOf,J212)-I212&gt;=Settings!$C$13,"Permanent","Probation"))</f>
        <v/>
      </c>
      <c r="I212" s="41"/>
      <c r="J212" s="41"/>
      <c r="K212" s="8"/>
      <c r="L212" s="42" t="str">
        <f aca="false">IF(OR(B212="",I212=""),"",ROUND((IF(J212="",AsOf,J212)-I212)/365.25,1))</f>
        <v/>
      </c>
      <c r="M212" s="8"/>
      <c r="N212" s="8"/>
      <c r="O212" s="8"/>
      <c r="P212" s="8"/>
      <c r="Q212" s="41"/>
      <c r="R212" s="43" t="str">
        <f aca="false">IF(OR(B212="",Q212=""),"",INT((AsOf-Q212)/365.25))</f>
        <v/>
      </c>
      <c r="S212" s="8"/>
      <c r="T212" s="40"/>
      <c r="U212" s="40"/>
      <c r="V212" s="40"/>
      <c r="W212" s="40"/>
      <c r="X212" s="8"/>
      <c r="Y212" s="8"/>
      <c r="Z212" s="8"/>
      <c r="AA212" s="8"/>
      <c r="AB212" s="8"/>
      <c r="AC212" s="8"/>
      <c r="AD212" s="8"/>
      <c r="AE212" s="40"/>
      <c r="AF212" s="8"/>
      <c r="AG212" s="40"/>
      <c r="AH212" s="40"/>
      <c r="AI212" s="8"/>
      <c r="AJ212" s="40"/>
      <c r="AK212" s="40"/>
      <c r="AL212" s="40"/>
      <c r="AM212" s="44"/>
      <c r="AN212" s="44"/>
      <c r="AO212" s="41"/>
      <c r="AP212" s="45" t="str">
        <f aca="false">IF(B212="","",IF(AND(ISNUMBER(AM212),ISNUMBER(AN212),AM212&gt;0,AN212&gt;0),AN212/AM212-1,""))</f>
        <v/>
      </c>
      <c r="AQ212" s="9" t="str">
        <f aca="false">IF(I212="","",(YEAR(I212)-IF(MONTH(I212)&lt;4,1,0))&amp;"-"&amp;RIGHT((YEAR(I212)-IF(MONTH(I212)&lt;4,1,0))+1,2))</f>
        <v/>
      </c>
      <c r="AR212" s="9" t="str">
        <f aca="false">IF(J212="","",(YEAR(J212)-IF(MONTH(J212)&lt;4,1,0))&amp;"-"&amp;RIGHT((YEAR(J212)-IF(MONTH(J212)&lt;4,1,0))+1,2))</f>
        <v/>
      </c>
      <c r="AS212" s="43" t="str">
        <f aca="false">IF(OR(B212="",Q212="",D212&lt;&gt;"Active"),"",DATE(YEAR(AsOf)+IF(DATE(YEAR(AsOf),MONTH(Q212),DAY(Q212))&lt;AsOf,1,0),MONTH(Q212),DAY(Q212))-AsOf)</f>
        <v/>
      </c>
      <c r="AT212" s="43" t="str">
        <f aca="false">IF(OR(B212="",I212="",D212&lt;&gt;"Active"),"",IF(YEAR(DATE(YEAR(AsOf)+IF(DATE(YEAR(AsOf),MONTH(I212),DAY(I212))&lt;AsOf,1,0),MONTH(I212),DAY(I212)))-YEAR(I212)&lt;1,"",DATE(YEAR(AsOf)+IF(DATE(YEAR(AsOf),MONTH(I212),DAY(I212))&lt;AsOf,1,0),MONTH(I212),DAY(I212))-AsOf))</f>
        <v/>
      </c>
      <c r="AU212" s="43" t="str">
        <f aca="false">IF(B212="","",IF(AV212="",0,LEN(AV212)-LEN(SUBSTITUTE(AV212,";",""))))</f>
        <v/>
      </c>
      <c r="AV212" s="9" t="str">
        <f aca="false">IF(B212="","",IF(COUNTIF($B$6:$B$505,B212)&gt;1,"Duplicate Emp Code; ","")&amp;IF(C212="","Name missing; ","")&amp;IF(I212="","DOJ missing; ","")&amp;IF(AND(J212&lt;&gt;"",I212&lt;&gt;"",J212&lt;I212),"Exit before DOJ; ","")&amp;IF(Q212="","DOB missing; ","")&amp;IF(T212="","Aadhaar missing; ",IF(LEN(T212)&lt;&gt;12,"Aadhaar not 12 digits; ",IF(COUNTIF($T$6:$T$505,T212)&gt;1,"Duplicate Aadhaar; ","")))&amp;IF(U212="","PAN missing; ",IF(LEN(U212)&lt;&gt;10,"PAN not 10 chars; ",""))&amp;IF(V212="","Mobile missing; ",IF(LEN(V212)&lt;&gt;10,"Mobile not 10 digits; ",""))&amp;IF(AG212="","Bank A/c missing; ","")&amp;IF(AH212="","IFSC missing; ",IF(LEN(AH212)&lt;&gt;11,"IFSC not 11 chars; ","")))</f>
        <v/>
      </c>
      <c r="AW212" s="46" t="str">
        <f aca="false">IF(AS212="","",AS212+ROW()/100000)</f>
        <v/>
      </c>
      <c r="AX212" s="46" t="str">
        <f aca="false">IF(AT212="","",AT212+ROW()/100000)</f>
        <v/>
      </c>
    </row>
    <row r="213" customFormat="false" ht="15" hidden="false" customHeight="false" outlineLevel="0" collapsed="false">
      <c r="A213" s="9" t="str">
        <f aca="false">IF(B213="","",ROW()-5)</f>
        <v/>
      </c>
      <c r="B213" s="40"/>
      <c r="C213" s="8"/>
      <c r="D213" s="9" t="str">
        <f aca="false">IF(B213="","",IF(J213="","Active","Exited"))</f>
        <v/>
      </c>
      <c r="E213" s="8"/>
      <c r="F213" s="8"/>
      <c r="G213" s="8"/>
      <c r="H213" s="9" t="str">
        <f aca="false">IF(OR(B213="",I213=""),"",IF(IF(J213="",AsOf,J213)-I213&gt;=Settings!$C$13,"Permanent","Probation"))</f>
        <v/>
      </c>
      <c r="I213" s="41"/>
      <c r="J213" s="41"/>
      <c r="K213" s="8"/>
      <c r="L213" s="42" t="str">
        <f aca="false">IF(OR(B213="",I213=""),"",ROUND((IF(J213="",AsOf,J213)-I213)/365.25,1))</f>
        <v/>
      </c>
      <c r="M213" s="8"/>
      <c r="N213" s="8"/>
      <c r="O213" s="8"/>
      <c r="P213" s="8"/>
      <c r="Q213" s="41"/>
      <c r="R213" s="43" t="str">
        <f aca="false">IF(OR(B213="",Q213=""),"",INT((AsOf-Q213)/365.25))</f>
        <v/>
      </c>
      <c r="S213" s="8"/>
      <c r="T213" s="40"/>
      <c r="U213" s="40"/>
      <c r="V213" s="40"/>
      <c r="W213" s="40"/>
      <c r="X213" s="8"/>
      <c r="Y213" s="8"/>
      <c r="Z213" s="8"/>
      <c r="AA213" s="8"/>
      <c r="AB213" s="8"/>
      <c r="AC213" s="8"/>
      <c r="AD213" s="8"/>
      <c r="AE213" s="40"/>
      <c r="AF213" s="8"/>
      <c r="AG213" s="40"/>
      <c r="AH213" s="40"/>
      <c r="AI213" s="8"/>
      <c r="AJ213" s="40"/>
      <c r="AK213" s="40"/>
      <c r="AL213" s="40"/>
      <c r="AM213" s="44"/>
      <c r="AN213" s="44"/>
      <c r="AO213" s="41"/>
      <c r="AP213" s="45" t="str">
        <f aca="false">IF(B213="","",IF(AND(ISNUMBER(AM213),ISNUMBER(AN213),AM213&gt;0,AN213&gt;0),AN213/AM213-1,""))</f>
        <v/>
      </c>
      <c r="AQ213" s="9" t="str">
        <f aca="false">IF(I213="","",(YEAR(I213)-IF(MONTH(I213)&lt;4,1,0))&amp;"-"&amp;RIGHT((YEAR(I213)-IF(MONTH(I213)&lt;4,1,0))+1,2))</f>
        <v/>
      </c>
      <c r="AR213" s="9" t="str">
        <f aca="false">IF(J213="","",(YEAR(J213)-IF(MONTH(J213)&lt;4,1,0))&amp;"-"&amp;RIGHT((YEAR(J213)-IF(MONTH(J213)&lt;4,1,0))+1,2))</f>
        <v/>
      </c>
      <c r="AS213" s="43" t="str">
        <f aca="false">IF(OR(B213="",Q213="",D213&lt;&gt;"Active"),"",DATE(YEAR(AsOf)+IF(DATE(YEAR(AsOf),MONTH(Q213),DAY(Q213))&lt;AsOf,1,0),MONTH(Q213),DAY(Q213))-AsOf)</f>
        <v/>
      </c>
      <c r="AT213" s="43" t="str">
        <f aca="false">IF(OR(B213="",I213="",D213&lt;&gt;"Active"),"",IF(YEAR(DATE(YEAR(AsOf)+IF(DATE(YEAR(AsOf),MONTH(I213),DAY(I213))&lt;AsOf,1,0),MONTH(I213),DAY(I213)))-YEAR(I213)&lt;1,"",DATE(YEAR(AsOf)+IF(DATE(YEAR(AsOf),MONTH(I213),DAY(I213))&lt;AsOf,1,0),MONTH(I213),DAY(I213))-AsOf))</f>
        <v/>
      </c>
      <c r="AU213" s="43" t="str">
        <f aca="false">IF(B213="","",IF(AV213="",0,LEN(AV213)-LEN(SUBSTITUTE(AV213,";",""))))</f>
        <v/>
      </c>
      <c r="AV213" s="9" t="str">
        <f aca="false">IF(B213="","",IF(COUNTIF($B$6:$B$505,B213)&gt;1,"Duplicate Emp Code; ","")&amp;IF(C213="","Name missing; ","")&amp;IF(I213="","DOJ missing; ","")&amp;IF(AND(J213&lt;&gt;"",I213&lt;&gt;"",J213&lt;I213),"Exit before DOJ; ","")&amp;IF(Q213="","DOB missing; ","")&amp;IF(T213="","Aadhaar missing; ",IF(LEN(T213)&lt;&gt;12,"Aadhaar not 12 digits; ",IF(COUNTIF($T$6:$T$505,T213)&gt;1,"Duplicate Aadhaar; ","")))&amp;IF(U213="","PAN missing; ",IF(LEN(U213)&lt;&gt;10,"PAN not 10 chars; ",""))&amp;IF(V213="","Mobile missing; ",IF(LEN(V213)&lt;&gt;10,"Mobile not 10 digits; ",""))&amp;IF(AG213="","Bank A/c missing; ","")&amp;IF(AH213="","IFSC missing; ",IF(LEN(AH213)&lt;&gt;11,"IFSC not 11 chars; ","")))</f>
        <v/>
      </c>
      <c r="AW213" s="46" t="str">
        <f aca="false">IF(AS213="","",AS213+ROW()/100000)</f>
        <v/>
      </c>
      <c r="AX213" s="46" t="str">
        <f aca="false">IF(AT213="","",AT213+ROW()/100000)</f>
        <v/>
      </c>
    </row>
    <row r="214" customFormat="false" ht="15" hidden="false" customHeight="false" outlineLevel="0" collapsed="false">
      <c r="A214" s="9" t="str">
        <f aca="false">IF(B214="","",ROW()-5)</f>
        <v/>
      </c>
      <c r="B214" s="40"/>
      <c r="C214" s="8"/>
      <c r="D214" s="9" t="str">
        <f aca="false">IF(B214="","",IF(J214="","Active","Exited"))</f>
        <v/>
      </c>
      <c r="E214" s="8"/>
      <c r="F214" s="8"/>
      <c r="G214" s="8"/>
      <c r="H214" s="9" t="str">
        <f aca="false">IF(OR(B214="",I214=""),"",IF(IF(J214="",AsOf,J214)-I214&gt;=Settings!$C$13,"Permanent","Probation"))</f>
        <v/>
      </c>
      <c r="I214" s="41"/>
      <c r="J214" s="41"/>
      <c r="K214" s="8"/>
      <c r="L214" s="42" t="str">
        <f aca="false">IF(OR(B214="",I214=""),"",ROUND((IF(J214="",AsOf,J214)-I214)/365.25,1))</f>
        <v/>
      </c>
      <c r="M214" s="8"/>
      <c r="N214" s="8"/>
      <c r="O214" s="8"/>
      <c r="P214" s="8"/>
      <c r="Q214" s="41"/>
      <c r="R214" s="43" t="str">
        <f aca="false">IF(OR(B214="",Q214=""),"",INT((AsOf-Q214)/365.25))</f>
        <v/>
      </c>
      <c r="S214" s="8"/>
      <c r="T214" s="40"/>
      <c r="U214" s="40"/>
      <c r="V214" s="40"/>
      <c r="W214" s="40"/>
      <c r="X214" s="8"/>
      <c r="Y214" s="8"/>
      <c r="Z214" s="8"/>
      <c r="AA214" s="8"/>
      <c r="AB214" s="8"/>
      <c r="AC214" s="8"/>
      <c r="AD214" s="8"/>
      <c r="AE214" s="40"/>
      <c r="AF214" s="8"/>
      <c r="AG214" s="40"/>
      <c r="AH214" s="40"/>
      <c r="AI214" s="8"/>
      <c r="AJ214" s="40"/>
      <c r="AK214" s="40"/>
      <c r="AL214" s="40"/>
      <c r="AM214" s="44"/>
      <c r="AN214" s="44"/>
      <c r="AO214" s="41"/>
      <c r="AP214" s="45" t="str">
        <f aca="false">IF(B214="","",IF(AND(ISNUMBER(AM214),ISNUMBER(AN214),AM214&gt;0,AN214&gt;0),AN214/AM214-1,""))</f>
        <v/>
      </c>
      <c r="AQ214" s="9" t="str">
        <f aca="false">IF(I214="","",(YEAR(I214)-IF(MONTH(I214)&lt;4,1,0))&amp;"-"&amp;RIGHT((YEAR(I214)-IF(MONTH(I214)&lt;4,1,0))+1,2))</f>
        <v/>
      </c>
      <c r="AR214" s="9" t="str">
        <f aca="false">IF(J214="","",(YEAR(J214)-IF(MONTH(J214)&lt;4,1,0))&amp;"-"&amp;RIGHT((YEAR(J214)-IF(MONTH(J214)&lt;4,1,0))+1,2))</f>
        <v/>
      </c>
      <c r="AS214" s="43" t="str">
        <f aca="false">IF(OR(B214="",Q214="",D214&lt;&gt;"Active"),"",DATE(YEAR(AsOf)+IF(DATE(YEAR(AsOf),MONTH(Q214),DAY(Q214))&lt;AsOf,1,0),MONTH(Q214),DAY(Q214))-AsOf)</f>
        <v/>
      </c>
      <c r="AT214" s="43" t="str">
        <f aca="false">IF(OR(B214="",I214="",D214&lt;&gt;"Active"),"",IF(YEAR(DATE(YEAR(AsOf)+IF(DATE(YEAR(AsOf),MONTH(I214),DAY(I214))&lt;AsOf,1,0),MONTH(I214),DAY(I214)))-YEAR(I214)&lt;1,"",DATE(YEAR(AsOf)+IF(DATE(YEAR(AsOf),MONTH(I214),DAY(I214))&lt;AsOf,1,0),MONTH(I214),DAY(I214))-AsOf))</f>
        <v/>
      </c>
      <c r="AU214" s="43" t="str">
        <f aca="false">IF(B214="","",IF(AV214="",0,LEN(AV214)-LEN(SUBSTITUTE(AV214,";",""))))</f>
        <v/>
      </c>
      <c r="AV214" s="9" t="str">
        <f aca="false">IF(B214="","",IF(COUNTIF($B$6:$B$505,B214)&gt;1,"Duplicate Emp Code; ","")&amp;IF(C214="","Name missing; ","")&amp;IF(I214="","DOJ missing; ","")&amp;IF(AND(J214&lt;&gt;"",I214&lt;&gt;"",J214&lt;I214),"Exit before DOJ; ","")&amp;IF(Q214="","DOB missing; ","")&amp;IF(T214="","Aadhaar missing; ",IF(LEN(T214)&lt;&gt;12,"Aadhaar not 12 digits; ",IF(COUNTIF($T$6:$T$505,T214)&gt;1,"Duplicate Aadhaar; ","")))&amp;IF(U214="","PAN missing; ",IF(LEN(U214)&lt;&gt;10,"PAN not 10 chars; ",""))&amp;IF(V214="","Mobile missing; ",IF(LEN(V214)&lt;&gt;10,"Mobile not 10 digits; ",""))&amp;IF(AG214="","Bank A/c missing; ","")&amp;IF(AH214="","IFSC missing; ",IF(LEN(AH214)&lt;&gt;11,"IFSC not 11 chars; ","")))</f>
        <v/>
      </c>
      <c r="AW214" s="46" t="str">
        <f aca="false">IF(AS214="","",AS214+ROW()/100000)</f>
        <v/>
      </c>
      <c r="AX214" s="46" t="str">
        <f aca="false">IF(AT214="","",AT214+ROW()/100000)</f>
        <v/>
      </c>
    </row>
    <row r="215" customFormat="false" ht="15" hidden="false" customHeight="false" outlineLevel="0" collapsed="false">
      <c r="A215" s="9" t="str">
        <f aca="false">IF(B215="","",ROW()-5)</f>
        <v/>
      </c>
      <c r="B215" s="40"/>
      <c r="C215" s="8"/>
      <c r="D215" s="9" t="str">
        <f aca="false">IF(B215="","",IF(J215="","Active","Exited"))</f>
        <v/>
      </c>
      <c r="E215" s="8"/>
      <c r="F215" s="8"/>
      <c r="G215" s="8"/>
      <c r="H215" s="9" t="str">
        <f aca="false">IF(OR(B215="",I215=""),"",IF(IF(J215="",AsOf,J215)-I215&gt;=Settings!$C$13,"Permanent","Probation"))</f>
        <v/>
      </c>
      <c r="I215" s="41"/>
      <c r="J215" s="41"/>
      <c r="K215" s="8"/>
      <c r="L215" s="42" t="str">
        <f aca="false">IF(OR(B215="",I215=""),"",ROUND((IF(J215="",AsOf,J215)-I215)/365.25,1))</f>
        <v/>
      </c>
      <c r="M215" s="8"/>
      <c r="N215" s="8"/>
      <c r="O215" s="8"/>
      <c r="P215" s="8"/>
      <c r="Q215" s="41"/>
      <c r="R215" s="43" t="str">
        <f aca="false">IF(OR(B215="",Q215=""),"",INT((AsOf-Q215)/365.25))</f>
        <v/>
      </c>
      <c r="S215" s="8"/>
      <c r="T215" s="40"/>
      <c r="U215" s="40"/>
      <c r="V215" s="40"/>
      <c r="W215" s="40"/>
      <c r="X215" s="8"/>
      <c r="Y215" s="8"/>
      <c r="Z215" s="8"/>
      <c r="AA215" s="8"/>
      <c r="AB215" s="8"/>
      <c r="AC215" s="8"/>
      <c r="AD215" s="8"/>
      <c r="AE215" s="40"/>
      <c r="AF215" s="8"/>
      <c r="AG215" s="40"/>
      <c r="AH215" s="40"/>
      <c r="AI215" s="8"/>
      <c r="AJ215" s="40"/>
      <c r="AK215" s="40"/>
      <c r="AL215" s="40"/>
      <c r="AM215" s="44"/>
      <c r="AN215" s="44"/>
      <c r="AO215" s="41"/>
      <c r="AP215" s="45" t="str">
        <f aca="false">IF(B215="","",IF(AND(ISNUMBER(AM215),ISNUMBER(AN215),AM215&gt;0,AN215&gt;0),AN215/AM215-1,""))</f>
        <v/>
      </c>
      <c r="AQ215" s="9" t="str">
        <f aca="false">IF(I215="","",(YEAR(I215)-IF(MONTH(I215)&lt;4,1,0))&amp;"-"&amp;RIGHT((YEAR(I215)-IF(MONTH(I215)&lt;4,1,0))+1,2))</f>
        <v/>
      </c>
      <c r="AR215" s="9" t="str">
        <f aca="false">IF(J215="","",(YEAR(J215)-IF(MONTH(J215)&lt;4,1,0))&amp;"-"&amp;RIGHT((YEAR(J215)-IF(MONTH(J215)&lt;4,1,0))+1,2))</f>
        <v/>
      </c>
      <c r="AS215" s="43" t="str">
        <f aca="false">IF(OR(B215="",Q215="",D215&lt;&gt;"Active"),"",DATE(YEAR(AsOf)+IF(DATE(YEAR(AsOf),MONTH(Q215),DAY(Q215))&lt;AsOf,1,0),MONTH(Q215),DAY(Q215))-AsOf)</f>
        <v/>
      </c>
      <c r="AT215" s="43" t="str">
        <f aca="false">IF(OR(B215="",I215="",D215&lt;&gt;"Active"),"",IF(YEAR(DATE(YEAR(AsOf)+IF(DATE(YEAR(AsOf),MONTH(I215),DAY(I215))&lt;AsOf,1,0),MONTH(I215),DAY(I215)))-YEAR(I215)&lt;1,"",DATE(YEAR(AsOf)+IF(DATE(YEAR(AsOf),MONTH(I215),DAY(I215))&lt;AsOf,1,0),MONTH(I215),DAY(I215))-AsOf))</f>
        <v/>
      </c>
      <c r="AU215" s="43" t="str">
        <f aca="false">IF(B215="","",IF(AV215="",0,LEN(AV215)-LEN(SUBSTITUTE(AV215,";",""))))</f>
        <v/>
      </c>
      <c r="AV215" s="9" t="str">
        <f aca="false">IF(B215="","",IF(COUNTIF($B$6:$B$505,B215)&gt;1,"Duplicate Emp Code; ","")&amp;IF(C215="","Name missing; ","")&amp;IF(I215="","DOJ missing; ","")&amp;IF(AND(J215&lt;&gt;"",I215&lt;&gt;"",J215&lt;I215),"Exit before DOJ; ","")&amp;IF(Q215="","DOB missing; ","")&amp;IF(T215="","Aadhaar missing; ",IF(LEN(T215)&lt;&gt;12,"Aadhaar not 12 digits; ",IF(COUNTIF($T$6:$T$505,T215)&gt;1,"Duplicate Aadhaar; ","")))&amp;IF(U215="","PAN missing; ",IF(LEN(U215)&lt;&gt;10,"PAN not 10 chars; ",""))&amp;IF(V215="","Mobile missing; ",IF(LEN(V215)&lt;&gt;10,"Mobile not 10 digits; ",""))&amp;IF(AG215="","Bank A/c missing; ","")&amp;IF(AH215="","IFSC missing; ",IF(LEN(AH215)&lt;&gt;11,"IFSC not 11 chars; ","")))</f>
        <v/>
      </c>
      <c r="AW215" s="46" t="str">
        <f aca="false">IF(AS215="","",AS215+ROW()/100000)</f>
        <v/>
      </c>
      <c r="AX215" s="46" t="str">
        <f aca="false">IF(AT215="","",AT215+ROW()/100000)</f>
        <v/>
      </c>
    </row>
    <row r="216" customFormat="false" ht="15" hidden="false" customHeight="false" outlineLevel="0" collapsed="false">
      <c r="A216" s="9" t="str">
        <f aca="false">IF(B216="","",ROW()-5)</f>
        <v/>
      </c>
      <c r="B216" s="40"/>
      <c r="C216" s="8"/>
      <c r="D216" s="9" t="str">
        <f aca="false">IF(B216="","",IF(J216="","Active","Exited"))</f>
        <v/>
      </c>
      <c r="E216" s="8"/>
      <c r="F216" s="8"/>
      <c r="G216" s="8"/>
      <c r="H216" s="9" t="str">
        <f aca="false">IF(OR(B216="",I216=""),"",IF(IF(J216="",AsOf,J216)-I216&gt;=Settings!$C$13,"Permanent","Probation"))</f>
        <v/>
      </c>
      <c r="I216" s="41"/>
      <c r="J216" s="41"/>
      <c r="K216" s="8"/>
      <c r="L216" s="42" t="str">
        <f aca="false">IF(OR(B216="",I216=""),"",ROUND((IF(J216="",AsOf,J216)-I216)/365.25,1))</f>
        <v/>
      </c>
      <c r="M216" s="8"/>
      <c r="N216" s="8"/>
      <c r="O216" s="8"/>
      <c r="P216" s="8"/>
      <c r="Q216" s="41"/>
      <c r="R216" s="43" t="str">
        <f aca="false">IF(OR(B216="",Q216=""),"",INT((AsOf-Q216)/365.25))</f>
        <v/>
      </c>
      <c r="S216" s="8"/>
      <c r="T216" s="40"/>
      <c r="U216" s="40"/>
      <c r="V216" s="40"/>
      <c r="W216" s="40"/>
      <c r="X216" s="8"/>
      <c r="Y216" s="8"/>
      <c r="Z216" s="8"/>
      <c r="AA216" s="8"/>
      <c r="AB216" s="8"/>
      <c r="AC216" s="8"/>
      <c r="AD216" s="8"/>
      <c r="AE216" s="40"/>
      <c r="AF216" s="8"/>
      <c r="AG216" s="40"/>
      <c r="AH216" s="40"/>
      <c r="AI216" s="8"/>
      <c r="AJ216" s="40"/>
      <c r="AK216" s="40"/>
      <c r="AL216" s="40"/>
      <c r="AM216" s="44"/>
      <c r="AN216" s="44"/>
      <c r="AO216" s="41"/>
      <c r="AP216" s="45" t="str">
        <f aca="false">IF(B216="","",IF(AND(ISNUMBER(AM216),ISNUMBER(AN216),AM216&gt;0,AN216&gt;0),AN216/AM216-1,""))</f>
        <v/>
      </c>
      <c r="AQ216" s="9" t="str">
        <f aca="false">IF(I216="","",(YEAR(I216)-IF(MONTH(I216)&lt;4,1,0))&amp;"-"&amp;RIGHT((YEAR(I216)-IF(MONTH(I216)&lt;4,1,0))+1,2))</f>
        <v/>
      </c>
      <c r="AR216" s="9" t="str">
        <f aca="false">IF(J216="","",(YEAR(J216)-IF(MONTH(J216)&lt;4,1,0))&amp;"-"&amp;RIGHT((YEAR(J216)-IF(MONTH(J216)&lt;4,1,0))+1,2))</f>
        <v/>
      </c>
      <c r="AS216" s="43" t="str">
        <f aca="false">IF(OR(B216="",Q216="",D216&lt;&gt;"Active"),"",DATE(YEAR(AsOf)+IF(DATE(YEAR(AsOf),MONTH(Q216),DAY(Q216))&lt;AsOf,1,0),MONTH(Q216),DAY(Q216))-AsOf)</f>
        <v/>
      </c>
      <c r="AT216" s="43" t="str">
        <f aca="false">IF(OR(B216="",I216="",D216&lt;&gt;"Active"),"",IF(YEAR(DATE(YEAR(AsOf)+IF(DATE(YEAR(AsOf),MONTH(I216),DAY(I216))&lt;AsOf,1,0),MONTH(I216),DAY(I216)))-YEAR(I216)&lt;1,"",DATE(YEAR(AsOf)+IF(DATE(YEAR(AsOf),MONTH(I216),DAY(I216))&lt;AsOf,1,0),MONTH(I216),DAY(I216))-AsOf))</f>
        <v/>
      </c>
      <c r="AU216" s="43" t="str">
        <f aca="false">IF(B216="","",IF(AV216="",0,LEN(AV216)-LEN(SUBSTITUTE(AV216,";",""))))</f>
        <v/>
      </c>
      <c r="AV216" s="9" t="str">
        <f aca="false">IF(B216="","",IF(COUNTIF($B$6:$B$505,B216)&gt;1,"Duplicate Emp Code; ","")&amp;IF(C216="","Name missing; ","")&amp;IF(I216="","DOJ missing; ","")&amp;IF(AND(J216&lt;&gt;"",I216&lt;&gt;"",J216&lt;I216),"Exit before DOJ; ","")&amp;IF(Q216="","DOB missing; ","")&amp;IF(T216="","Aadhaar missing; ",IF(LEN(T216)&lt;&gt;12,"Aadhaar not 12 digits; ",IF(COUNTIF($T$6:$T$505,T216)&gt;1,"Duplicate Aadhaar; ","")))&amp;IF(U216="","PAN missing; ",IF(LEN(U216)&lt;&gt;10,"PAN not 10 chars; ",""))&amp;IF(V216="","Mobile missing; ",IF(LEN(V216)&lt;&gt;10,"Mobile not 10 digits; ",""))&amp;IF(AG216="","Bank A/c missing; ","")&amp;IF(AH216="","IFSC missing; ",IF(LEN(AH216)&lt;&gt;11,"IFSC not 11 chars; ","")))</f>
        <v/>
      </c>
      <c r="AW216" s="46" t="str">
        <f aca="false">IF(AS216="","",AS216+ROW()/100000)</f>
        <v/>
      </c>
      <c r="AX216" s="46" t="str">
        <f aca="false">IF(AT216="","",AT216+ROW()/100000)</f>
        <v/>
      </c>
    </row>
    <row r="217" customFormat="false" ht="15" hidden="false" customHeight="false" outlineLevel="0" collapsed="false">
      <c r="A217" s="9" t="str">
        <f aca="false">IF(B217="","",ROW()-5)</f>
        <v/>
      </c>
      <c r="B217" s="40"/>
      <c r="C217" s="8"/>
      <c r="D217" s="9" t="str">
        <f aca="false">IF(B217="","",IF(J217="","Active","Exited"))</f>
        <v/>
      </c>
      <c r="E217" s="8"/>
      <c r="F217" s="8"/>
      <c r="G217" s="8"/>
      <c r="H217" s="9" t="str">
        <f aca="false">IF(OR(B217="",I217=""),"",IF(IF(J217="",AsOf,J217)-I217&gt;=Settings!$C$13,"Permanent","Probation"))</f>
        <v/>
      </c>
      <c r="I217" s="41"/>
      <c r="J217" s="41"/>
      <c r="K217" s="8"/>
      <c r="L217" s="42" t="str">
        <f aca="false">IF(OR(B217="",I217=""),"",ROUND((IF(J217="",AsOf,J217)-I217)/365.25,1))</f>
        <v/>
      </c>
      <c r="M217" s="8"/>
      <c r="N217" s="8"/>
      <c r="O217" s="8"/>
      <c r="P217" s="8"/>
      <c r="Q217" s="41"/>
      <c r="R217" s="43" t="str">
        <f aca="false">IF(OR(B217="",Q217=""),"",INT((AsOf-Q217)/365.25))</f>
        <v/>
      </c>
      <c r="S217" s="8"/>
      <c r="T217" s="40"/>
      <c r="U217" s="40"/>
      <c r="V217" s="40"/>
      <c r="W217" s="40"/>
      <c r="X217" s="8"/>
      <c r="Y217" s="8"/>
      <c r="Z217" s="8"/>
      <c r="AA217" s="8"/>
      <c r="AB217" s="8"/>
      <c r="AC217" s="8"/>
      <c r="AD217" s="8"/>
      <c r="AE217" s="40"/>
      <c r="AF217" s="8"/>
      <c r="AG217" s="40"/>
      <c r="AH217" s="40"/>
      <c r="AI217" s="8"/>
      <c r="AJ217" s="40"/>
      <c r="AK217" s="40"/>
      <c r="AL217" s="40"/>
      <c r="AM217" s="44"/>
      <c r="AN217" s="44"/>
      <c r="AO217" s="41"/>
      <c r="AP217" s="45" t="str">
        <f aca="false">IF(B217="","",IF(AND(ISNUMBER(AM217),ISNUMBER(AN217),AM217&gt;0,AN217&gt;0),AN217/AM217-1,""))</f>
        <v/>
      </c>
      <c r="AQ217" s="9" t="str">
        <f aca="false">IF(I217="","",(YEAR(I217)-IF(MONTH(I217)&lt;4,1,0))&amp;"-"&amp;RIGHT((YEAR(I217)-IF(MONTH(I217)&lt;4,1,0))+1,2))</f>
        <v/>
      </c>
      <c r="AR217" s="9" t="str">
        <f aca="false">IF(J217="","",(YEAR(J217)-IF(MONTH(J217)&lt;4,1,0))&amp;"-"&amp;RIGHT((YEAR(J217)-IF(MONTH(J217)&lt;4,1,0))+1,2))</f>
        <v/>
      </c>
      <c r="AS217" s="43" t="str">
        <f aca="false">IF(OR(B217="",Q217="",D217&lt;&gt;"Active"),"",DATE(YEAR(AsOf)+IF(DATE(YEAR(AsOf),MONTH(Q217),DAY(Q217))&lt;AsOf,1,0),MONTH(Q217),DAY(Q217))-AsOf)</f>
        <v/>
      </c>
      <c r="AT217" s="43" t="str">
        <f aca="false">IF(OR(B217="",I217="",D217&lt;&gt;"Active"),"",IF(YEAR(DATE(YEAR(AsOf)+IF(DATE(YEAR(AsOf),MONTH(I217),DAY(I217))&lt;AsOf,1,0),MONTH(I217),DAY(I217)))-YEAR(I217)&lt;1,"",DATE(YEAR(AsOf)+IF(DATE(YEAR(AsOf),MONTH(I217),DAY(I217))&lt;AsOf,1,0),MONTH(I217),DAY(I217))-AsOf))</f>
        <v/>
      </c>
      <c r="AU217" s="43" t="str">
        <f aca="false">IF(B217="","",IF(AV217="",0,LEN(AV217)-LEN(SUBSTITUTE(AV217,";",""))))</f>
        <v/>
      </c>
      <c r="AV217" s="9" t="str">
        <f aca="false">IF(B217="","",IF(COUNTIF($B$6:$B$505,B217)&gt;1,"Duplicate Emp Code; ","")&amp;IF(C217="","Name missing; ","")&amp;IF(I217="","DOJ missing; ","")&amp;IF(AND(J217&lt;&gt;"",I217&lt;&gt;"",J217&lt;I217),"Exit before DOJ; ","")&amp;IF(Q217="","DOB missing; ","")&amp;IF(T217="","Aadhaar missing; ",IF(LEN(T217)&lt;&gt;12,"Aadhaar not 12 digits; ",IF(COUNTIF($T$6:$T$505,T217)&gt;1,"Duplicate Aadhaar; ","")))&amp;IF(U217="","PAN missing; ",IF(LEN(U217)&lt;&gt;10,"PAN not 10 chars; ",""))&amp;IF(V217="","Mobile missing; ",IF(LEN(V217)&lt;&gt;10,"Mobile not 10 digits; ",""))&amp;IF(AG217="","Bank A/c missing; ","")&amp;IF(AH217="","IFSC missing; ",IF(LEN(AH217)&lt;&gt;11,"IFSC not 11 chars; ","")))</f>
        <v/>
      </c>
      <c r="AW217" s="46" t="str">
        <f aca="false">IF(AS217="","",AS217+ROW()/100000)</f>
        <v/>
      </c>
      <c r="AX217" s="46" t="str">
        <f aca="false">IF(AT217="","",AT217+ROW()/100000)</f>
        <v/>
      </c>
    </row>
    <row r="218" customFormat="false" ht="15" hidden="false" customHeight="false" outlineLevel="0" collapsed="false">
      <c r="A218" s="9" t="str">
        <f aca="false">IF(B218="","",ROW()-5)</f>
        <v/>
      </c>
      <c r="B218" s="40"/>
      <c r="C218" s="8"/>
      <c r="D218" s="9" t="str">
        <f aca="false">IF(B218="","",IF(J218="","Active","Exited"))</f>
        <v/>
      </c>
      <c r="E218" s="8"/>
      <c r="F218" s="8"/>
      <c r="G218" s="8"/>
      <c r="H218" s="9" t="str">
        <f aca="false">IF(OR(B218="",I218=""),"",IF(IF(J218="",AsOf,J218)-I218&gt;=Settings!$C$13,"Permanent","Probation"))</f>
        <v/>
      </c>
      <c r="I218" s="41"/>
      <c r="J218" s="41"/>
      <c r="K218" s="8"/>
      <c r="L218" s="42" t="str">
        <f aca="false">IF(OR(B218="",I218=""),"",ROUND((IF(J218="",AsOf,J218)-I218)/365.25,1))</f>
        <v/>
      </c>
      <c r="M218" s="8"/>
      <c r="N218" s="8"/>
      <c r="O218" s="8"/>
      <c r="P218" s="8"/>
      <c r="Q218" s="41"/>
      <c r="R218" s="43" t="str">
        <f aca="false">IF(OR(B218="",Q218=""),"",INT((AsOf-Q218)/365.25))</f>
        <v/>
      </c>
      <c r="S218" s="8"/>
      <c r="T218" s="40"/>
      <c r="U218" s="40"/>
      <c r="V218" s="40"/>
      <c r="W218" s="40"/>
      <c r="X218" s="8"/>
      <c r="Y218" s="8"/>
      <c r="Z218" s="8"/>
      <c r="AA218" s="8"/>
      <c r="AB218" s="8"/>
      <c r="AC218" s="8"/>
      <c r="AD218" s="8"/>
      <c r="AE218" s="40"/>
      <c r="AF218" s="8"/>
      <c r="AG218" s="40"/>
      <c r="AH218" s="40"/>
      <c r="AI218" s="8"/>
      <c r="AJ218" s="40"/>
      <c r="AK218" s="40"/>
      <c r="AL218" s="40"/>
      <c r="AM218" s="44"/>
      <c r="AN218" s="44"/>
      <c r="AO218" s="41"/>
      <c r="AP218" s="45" t="str">
        <f aca="false">IF(B218="","",IF(AND(ISNUMBER(AM218),ISNUMBER(AN218),AM218&gt;0,AN218&gt;0),AN218/AM218-1,""))</f>
        <v/>
      </c>
      <c r="AQ218" s="9" t="str">
        <f aca="false">IF(I218="","",(YEAR(I218)-IF(MONTH(I218)&lt;4,1,0))&amp;"-"&amp;RIGHT((YEAR(I218)-IF(MONTH(I218)&lt;4,1,0))+1,2))</f>
        <v/>
      </c>
      <c r="AR218" s="9" t="str">
        <f aca="false">IF(J218="","",(YEAR(J218)-IF(MONTH(J218)&lt;4,1,0))&amp;"-"&amp;RIGHT((YEAR(J218)-IF(MONTH(J218)&lt;4,1,0))+1,2))</f>
        <v/>
      </c>
      <c r="AS218" s="43" t="str">
        <f aca="false">IF(OR(B218="",Q218="",D218&lt;&gt;"Active"),"",DATE(YEAR(AsOf)+IF(DATE(YEAR(AsOf),MONTH(Q218),DAY(Q218))&lt;AsOf,1,0),MONTH(Q218),DAY(Q218))-AsOf)</f>
        <v/>
      </c>
      <c r="AT218" s="43" t="str">
        <f aca="false">IF(OR(B218="",I218="",D218&lt;&gt;"Active"),"",IF(YEAR(DATE(YEAR(AsOf)+IF(DATE(YEAR(AsOf),MONTH(I218),DAY(I218))&lt;AsOf,1,0),MONTH(I218),DAY(I218)))-YEAR(I218)&lt;1,"",DATE(YEAR(AsOf)+IF(DATE(YEAR(AsOf),MONTH(I218),DAY(I218))&lt;AsOf,1,0),MONTH(I218),DAY(I218))-AsOf))</f>
        <v/>
      </c>
      <c r="AU218" s="43" t="str">
        <f aca="false">IF(B218="","",IF(AV218="",0,LEN(AV218)-LEN(SUBSTITUTE(AV218,";",""))))</f>
        <v/>
      </c>
      <c r="AV218" s="9" t="str">
        <f aca="false">IF(B218="","",IF(COUNTIF($B$6:$B$505,B218)&gt;1,"Duplicate Emp Code; ","")&amp;IF(C218="","Name missing; ","")&amp;IF(I218="","DOJ missing; ","")&amp;IF(AND(J218&lt;&gt;"",I218&lt;&gt;"",J218&lt;I218),"Exit before DOJ; ","")&amp;IF(Q218="","DOB missing; ","")&amp;IF(T218="","Aadhaar missing; ",IF(LEN(T218)&lt;&gt;12,"Aadhaar not 12 digits; ",IF(COUNTIF($T$6:$T$505,T218)&gt;1,"Duplicate Aadhaar; ","")))&amp;IF(U218="","PAN missing; ",IF(LEN(U218)&lt;&gt;10,"PAN not 10 chars; ",""))&amp;IF(V218="","Mobile missing; ",IF(LEN(V218)&lt;&gt;10,"Mobile not 10 digits; ",""))&amp;IF(AG218="","Bank A/c missing; ","")&amp;IF(AH218="","IFSC missing; ",IF(LEN(AH218)&lt;&gt;11,"IFSC not 11 chars; ","")))</f>
        <v/>
      </c>
      <c r="AW218" s="46" t="str">
        <f aca="false">IF(AS218="","",AS218+ROW()/100000)</f>
        <v/>
      </c>
      <c r="AX218" s="46" t="str">
        <f aca="false">IF(AT218="","",AT218+ROW()/100000)</f>
        <v/>
      </c>
    </row>
    <row r="219" customFormat="false" ht="15" hidden="false" customHeight="false" outlineLevel="0" collapsed="false">
      <c r="A219" s="9" t="str">
        <f aca="false">IF(B219="","",ROW()-5)</f>
        <v/>
      </c>
      <c r="B219" s="40"/>
      <c r="C219" s="8"/>
      <c r="D219" s="9" t="str">
        <f aca="false">IF(B219="","",IF(J219="","Active","Exited"))</f>
        <v/>
      </c>
      <c r="E219" s="8"/>
      <c r="F219" s="8"/>
      <c r="G219" s="8"/>
      <c r="H219" s="9" t="str">
        <f aca="false">IF(OR(B219="",I219=""),"",IF(IF(J219="",AsOf,J219)-I219&gt;=Settings!$C$13,"Permanent","Probation"))</f>
        <v/>
      </c>
      <c r="I219" s="41"/>
      <c r="J219" s="41"/>
      <c r="K219" s="8"/>
      <c r="L219" s="42" t="str">
        <f aca="false">IF(OR(B219="",I219=""),"",ROUND((IF(J219="",AsOf,J219)-I219)/365.25,1))</f>
        <v/>
      </c>
      <c r="M219" s="8"/>
      <c r="N219" s="8"/>
      <c r="O219" s="8"/>
      <c r="P219" s="8"/>
      <c r="Q219" s="41"/>
      <c r="R219" s="43" t="str">
        <f aca="false">IF(OR(B219="",Q219=""),"",INT((AsOf-Q219)/365.25))</f>
        <v/>
      </c>
      <c r="S219" s="8"/>
      <c r="T219" s="40"/>
      <c r="U219" s="40"/>
      <c r="V219" s="40"/>
      <c r="W219" s="40"/>
      <c r="X219" s="8"/>
      <c r="Y219" s="8"/>
      <c r="Z219" s="8"/>
      <c r="AA219" s="8"/>
      <c r="AB219" s="8"/>
      <c r="AC219" s="8"/>
      <c r="AD219" s="8"/>
      <c r="AE219" s="40"/>
      <c r="AF219" s="8"/>
      <c r="AG219" s="40"/>
      <c r="AH219" s="40"/>
      <c r="AI219" s="8"/>
      <c r="AJ219" s="40"/>
      <c r="AK219" s="40"/>
      <c r="AL219" s="40"/>
      <c r="AM219" s="44"/>
      <c r="AN219" s="44"/>
      <c r="AO219" s="41"/>
      <c r="AP219" s="45" t="str">
        <f aca="false">IF(B219="","",IF(AND(ISNUMBER(AM219),ISNUMBER(AN219),AM219&gt;0,AN219&gt;0),AN219/AM219-1,""))</f>
        <v/>
      </c>
      <c r="AQ219" s="9" t="str">
        <f aca="false">IF(I219="","",(YEAR(I219)-IF(MONTH(I219)&lt;4,1,0))&amp;"-"&amp;RIGHT((YEAR(I219)-IF(MONTH(I219)&lt;4,1,0))+1,2))</f>
        <v/>
      </c>
      <c r="AR219" s="9" t="str">
        <f aca="false">IF(J219="","",(YEAR(J219)-IF(MONTH(J219)&lt;4,1,0))&amp;"-"&amp;RIGHT((YEAR(J219)-IF(MONTH(J219)&lt;4,1,0))+1,2))</f>
        <v/>
      </c>
      <c r="AS219" s="43" t="str">
        <f aca="false">IF(OR(B219="",Q219="",D219&lt;&gt;"Active"),"",DATE(YEAR(AsOf)+IF(DATE(YEAR(AsOf),MONTH(Q219),DAY(Q219))&lt;AsOf,1,0),MONTH(Q219),DAY(Q219))-AsOf)</f>
        <v/>
      </c>
      <c r="AT219" s="43" t="str">
        <f aca="false">IF(OR(B219="",I219="",D219&lt;&gt;"Active"),"",IF(YEAR(DATE(YEAR(AsOf)+IF(DATE(YEAR(AsOf),MONTH(I219),DAY(I219))&lt;AsOf,1,0),MONTH(I219),DAY(I219)))-YEAR(I219)&lt;1,"",DATE(YEAR(AsOf)+IF(DATE(YEAR(AsOf),MONTH(I219),DAY(I219))&lt;AsOf,1,0),MONTH(I219),DAY(I219))-AsOf))</f>
        <v/>
      </c>
      <c r="AU219" s="43" t="str">
        <f aca="false">IF(B219="","",IF(AV219="",0,LEN(AV219)-LEN(SUBSTITUTE(AV219,";",""))))</f>
        <v/>
      </c>
      <c r="AV219" s="9" t="str">
        <f aca="false">IF(B219="","",IF(COUNTIF($B$6:$B$505,B219)&gt;1,"Duplicate Emp Code; ","")&amp;IF(C219="","Name missing; ","")&amp;IF(I219="","DOJ missing; ","")&amp;IF(AND(J219&lt;&gt;"",I219&lt;&gt;"",J219&lt;I219),"Exit before DOJ; ","")&amp;IF(Q219="","DOB missing; ","")&amp;IF(T219="","Aadhaar missing; ",IF(LEN(T219)&lt;&gt;12,"Aadhaar not 12 digits; ",IF(COUNTIF($T$6:$T$505,T219)&gt;1,"Duplicate Aadhaar; ","")))&amp;IF(U219="","PAN missing; ",IF(LEN(U219)&lt;&gt;10,"PAN not 10 chars; ",""))&amp;IF(V219="","Mobile missing; ",IF(LEN(V219)&lt;&gt;10,"Mobile not 10 digits; ",""))&amp;IF(AG219="","Bank A/c missing; ","")&amp;IF(AH219="","IFSC missing; ",IF(LEN(AH219)&lt;&gt;11,"IFSC not 11 chars; ","")))</f>
        <v/>
      </c>
      <c r="AW219" s="46" t="str">
        <f aca="false">IF(AS219="","",AS219+ROW()/100000)</f>
        <v/>
      </c>
      <c r="AX219" s="46" t="str">
        <f aca="false">IF(AT219="","",AT219+ROW()/100000)</f>
        <v/>
      </c>
    </row>
    <row r="220" customFormat="false" ht="15" hidden="false" customHeight="false" outlineLevel="0" collapsed="false">
      <c r="A220" s="9" t="str">
        <f aca="false">IF(B220="","",ROW()-5)</f>
        <v/>
      </c>
      <c r="B220" s="40"/>
      <c r="C220" s="8"/>
      <c r="D220" s="9" t="str">
        <f aca="false">IF(B220="","",IF(J220="","Active","Exited"))</f>
        <v/>
      </c>
      <c r="E220" s="8"/>
      <c r="F220" s="8"/>
      <c r="G220" s="8"/>
      <c r="H220" s="9" t="str">
        <f aca="false">IF(OR(B220="",I220=""),"",IF(IF(J220="",AsOf,J220)-I220&gt;=Settings!$C$13,"Permanent","Probation"))</f>
        <v/>
      </c>
      <c r="I220" s="41"/>
      <c r="J220" s="41"/>
      <c r="K220" s="8"/>
      <c r="L220" s="42" t="str">
        <f aca="false">IF(OR(B220="",I220=""),"",ROUND((IF(J220="",AsOf,J220)-I220)/365.25,1))</f>
        <v/>
      </c>
      <c r="M220" s="8"/>
      <c r="N220" s="8"/>
      <c r="O220" s="8"/>
      <c r="P220" s="8"/>
      <c r="Q220" s="41"/>
      <c r="R220" s="43" t="str">
        <f aca="false">IF(OR(B220="",Q220=""),"",INT((AsOf-Q220)/365.25))</f>
        <v/>
      </c>
      <c r="S220" s="8"/>
      <c r="T220" s="40"/>
      <c r="U220" s="40"/>
      <c r="V220" s="40"/>
      <c r="W220" s="40"/>
      <c r="X220" s="8"/>
      <c r="Y220" s="8"/>
      <c r="Z220" s="8"/>
      <c r="AA220" s="8"/>
      <c r="AB220" s="8"/>
      <c r="AC220" s="8"/>
      <c r="AD220" s="8"/>
      <c r="AE220" s="40"/>
      <c r="AF220" s="8"/>
      <c r="AG220" s="40"/>
      <c r="AH220" s="40"/>
      <c r="AI220" s="8"/>
      <c r="AJ220" s="40"/>
      <c r="AK220" s="40"/>
      <c r="AL220" s="40"/>
      <c r="AM220" s="44"/>
      <c r="AN220" s="44"/>
      <c r="AO220" s="41"/>
      <c r="AP220" s="45" t="str">
        <f aca="false">IF(B220="","",IF(AND(ISNUMBER(AM220),ISNUMBER(AN220),AM220&gt;0,AN220&gt;0),AN220/AM220-1,""))</f>
        <v/>
      </c>
      <c r="AQ220" s="9" t="str">
        <f aca="false">IF(I220="","",(YEAR(I220)-IF(MONTH(I220)&lt;4,1,0))&amp;"-"&amp;RIGHT((YEAR(I220)-IF(MONTH(I220)&lt;4,1,0))+1,2))</f>
        <v/>
      </c>
      <c r="AR220" s="9" t="str">
        <f aca="false">IF(J220="","",(YEAR(J220)-IF(MONTH(J220)&lt;4,1,0))&amp;"-"&amp;RIGHT((YEAR(J220)-IF(MONTH(J220)&lt;4,1,0))+1,2))</f>
        <v/>
      </c>
      <c r="AS220" s="43" t="str">
        <f aca="false">IF(OR(B220="",Q220="",D220&lt;&gt;"Active"),"",DATE(YEAR(AsOf)+IF(DATE(YEAR(AsOf),MONTH(Q220),DAY(Q220))&lt;AsOf,1,0),MONTH(Q220),DAY(Q220))-AsOf)</f>
        <v/>
      </c>
      <c r="AT220" s="43" t="str">
        <f aca="false">IF(OR(B220="",I220="",D220&lt;&gt;"Active"),"",IF(YEAR(DATE(YEAR(AsOf)+IF(DATE(YEAR(AsOf),MONTH(I220),DAY(I220))&lt;AsOf,1,0),MONTH(I220),DAY(I220)))-YEAR(I220)&lt;1,"",DATE(YEAR(AsOf)+IF(DATE(YEAR(AsOf),MONTH(I220),DAY(I220))&lt;AsOf,1,0),MONTH(I220),DAY(I220))-AsOf))</f>
        <v/>
      </c>
      <c r="AU220" s="43" t="str">
        <f aca="false">IF(B220="","",IF(AV220="",0,LEN(AV220)-LEN(SUBSTITUTE(AV220,";",""))))</f>
        <v/>
      </c>
      <c r="AV220" s="9" t="str">
        <f aca="false">IF(B220="","",IF(COUNTIF($B$6:$B$505,B220)&gt;1,"Duplicate Emp Code; ","")&amp;IF(C220="","Name missing; ","")&amp;IF(I220="","DOJ missing; ","")&amp;IF(AND(J220&lt;&gt;"",I220&lt;&gt;"",J220&lt;I220),"Exit before DOJ; ","")&amp;IF(Q220="","DOB missing; ","")&amp;IF(T220="","Aadhaar missing; ",IF(LEN(T220)&lt;&gt;12,"Aadhaar not 12 digits; ",IF(COUNTIF($T$6:$T$505,T220)&gt;1,"Duplicate Aadhaar; ","")))&amp;IF(U220="","PAN missing; ",IF(LEN(U220)&lt;&gt;10,"PAN not 10 chars; ",""))&amp;IF(V220="","Mobile missing; ",IF(LEN(V220)&lt;&gt;10,"Mobile not 10 digits; ",""))&amp;IF(AG220="","Bank A/c missing; ","")&amp;IF(AH220="","IFSC missing; ",IF(LEN(AH220)&lt;&gt;11,"IFSC not 11 chars; ","")))</f>
        <v/>
      </c>
      <c r="AW220" s="46" t="str">
        <f aca="false">IF(AS220="","",AS220+ROW()/100000)</f>
        <v/>
      </c>
      <c r="AX220" s="46" t="str">
        <f aca="false">IF(AT220="","",AT220+ROW()/100000)</f>
        <v/>
      </c>
    </row>
    <row r="221" customFormat="false" ht="15" hidden="false" customHeight="false" outlineLevel="0" collapsed="false">
      <c r="A221" s="9" t="str">
        <f aca="false">IF(B221="","",ROW()-5)</f>
        <v/>
      </c>
      <c r="B221" s="40"/>
      <c r="C221" s="8"/>
      <c r="D221" s="9" t="str">
        <f aca="false">IF(B221="","",IF(J221="","Active","Exited"))</f>
        <v/>
      </c>
      <c r="E221" s="8"/>
      <c r="F221" s="8"/>
      <c r="G221" s="8"/>
      <c r="H221" s="9" t="str">
        <f aca="false">IF(OR(B221="",I221=""),"",IF(IF(J221="",AsOf,J221)-I221&gt;=Settings!$C$13,"Permanent","Probation"))</f>
        <v/>
      </c>
      <c r="I221" s="41"/>
      <c r="J221" s="41"/>
      <c r="K221" s="8"/>
      <c r="L221" s="42" t="str">
        <f aca="false">IF(OR(B221="",I221=""),"",ROUND((IF(J221="",AsOf,J221)-I221)/365.25,1))</f>
        <v/>
      </c>
      <c r="M221" s="8"/>
      <c r="N221" s="8"/>
      <c r="O221" s="8"/>
      <c r="P221" s="8"/>
      <c r="Q221" s="41"/>
      <c r="R221" s="43" t="str">
        <f aca="false">IF(OR(B221="",Q221=""),"",INT((AsOf-Q221)/365.25))</f>
        <v/>
      </c>
      <c r="S221" s="8"/>
      <c r="T221" s="40"/>
      <c r="U221" s="40"/>
      <c r="V221" s="40"/>
      <c r="W221" s="40"/>
      <c r="X221" s="8"/>
      <c r="Y221" s="8"/>
      <c r="Z221" s="8"/>
      <c r="AA221" s="8"/>
      <c r="AB221" s="8"/>
      <c r="AC221" s="8"/>
      <c r="AD221" s="8"/>
      <c r="AE221" s="40"/>
      <c r="AF221" s="8"/>
      <c r="AG221" s="40"/>
      <c r="AH221" s="40"/>
      <c r="AI221" s="8"/>
      <c r="AJ221" s="40"/>
      <c r="AK221" s="40"/>
      <c r="AL221" s="40"/>
      <c r="AM221" s="44"/>
      <c r="AN221" s="44"/>
      <c r="AO221" s="41"/>
      <c r="AP221" s="45" t="str">
        <f aca="false">IF(B221="","",IF(AND(ISNUMBER(AM221),ISNUMBER(AN221),AM221&gt;0,AN221&gt;0),AN221/AM221-1,""))</f>
        <v/>
      </c>
      <c r="AQ221" s="9" t="str">
        <f aca="false">IF(I221="","",(YEAR(I221)-IF(MONTH(I221)&lt;4,1,0))&amp;"-"&amp;RIGHT((YEAR(I221)-IF(MONTH(I221)&lt;4,1,0))+1,2))</f>
        <v/>
      </c>
      <c r="AR221" s="9" t="str">
        <f aca="false">IF(J221="","",(YEAR(J221)-IF(MONTH(J221)&lt;4,1,0))&amp;"-"&amp;RIGHT((YEAR(J221)-IF(MONTH(J221)&lt;4,1,0))+1,2))</f>
        <v/>
      </c>
      <c r="AS221" s="43" t="str">
        <f aca="false">IF(OR(B221="",Q221="",D221&lt;&gt;"Active"),"",DATE(YEAR(AsOf)+IF(DATE(YEAR(AsOf),MONTH(Q221),DAY(Q221))&lt;AsOf,1,0),MONTH(Q221),DAY(Q221))-AsOf)</f>
        <v/>
      </c>
      <c r="AT221" s="43" t="str">
        <f aca="false">IF(OR(B221="",I221="",D221&lt;&gt;"Active"),"",IF(YEAR(DATE(YEAR(AsOf)+IF(DATE(YEAR(AsOf),MONTH(I221),DAY(I221))&lt;AsOf,1,0),MONTH(I221),DAY(I221)))-YEAR(I221)&lt;1,"",DATE(YEAR(AsOf)+IF(DATE(YEAR(AsOf),MONTH(I221),DAY(I221))&lt;AsOf,1,0),MONTH(I221),DAY(I221))-AsOf))</f>
        <v/>
      </c>
      <c r="AU221" s="43" t="str">
        <f aca="false">IF(B221="","",IF(AV221="",0,LEN(AV221)-LEN(SUBSTITUTE(AV221,";",""))))</f>
        <v/>
      </c>
      <c r="AV221" s="9" t="str">
        <f aca="false">IF(B221="","",IF(COUNTIF($B$6:$B$505,B221)&gt;1,"Duplicate Emp Code; ","")&amp;IF(C221="","Name missing; ","")&amp;IF(I221="","DOJ missing; ","")&amp;IF(AND(J221&lt;&gt;"",I221&lt;&gt;"",J221&lt;I221),"Exit before DOJ; ","")&amp;IF(Q221="","DOB missing; ","")&amp;IF(T221="","Aadhaar missing; ",IF(LEN(T221)&lt;&gt;12,"Aadhaar not 12 digits; ",IF(COUNTIF($T$6:$T$505,T221)&gt;1,"Duplicate Aadhaar; ","")))&amp;IF(U221="","PAN missing; ",IF(LEN(U221)&lt;&gt;10,"PAN not 10 chars; ",""))&amp;IF(V221="","Mobile missing; ",IF(LEN(V221)&lt;&gt;10,"Mobile not 10 digits; ",""))&amp;IF(AG221="","Bank A/c missing; ","")&amp;IF(AH221="","IFSC missing; ",IF(LEN(AH221)&lt;&gt;11,"IFSC not 11 chars; ","")))</f>
        <v/>
      </c>
      <c r="AW221" s="46" t="str">
        <f aca="false">IF(AS221="","",AS221+ROW()/100000)</f>
        <v/>
      </c>
      <c r="AX221" s="46" t="str">
        <f aca="false">IF(AT221="","",AT221+ROW()/100000)</f>
        <v/>
      </c>
    </row>
    <row r="222" customFormat="false" ht="15" hidden="false" customHeight="false" outlineLevel="0" collapsed="false">
      <c r="A222" s="9" t="str">
        <f aca="false">IF(B222="","",ROW()-5)</f>
        <v/>
      </c>
      <c r="B222" s="40"/>
      <c r="C222" s="8"/>
      <c r="D222" s="9" t="str">
        <f aca="false">IF(B222="","",IF(J222="","Active","Exited"))</f>
        <v/>
      </c>
      <c r="E222" s="8"/>
      <c r="F222" s="8"/>
      <c r="G222" s="8"/>
      <c r="H222" s="9" t="str">
        <f aca="false">IF(OR(B222="",I222=""),"",IF(IF(J222="",AsOf,J222)-I222&gt;=Settings!$C$13,"Permanent","Probation"))</f>
        <v/>
      </c>
      <c r="I222" s="41"/>
      <c r="J222" s="41"/>
      <c r="K222" s="8"/>
      <c r="L222" s="42" t="str">
        <f aca="false">IF(OR(B222="",I222=""),"",ROUND((IF(J222="",AsOf,J222)-I222)/365.25,1))</f>
        <v/>
      </c>
      <c r="M222" s="8"/>
      <c r="N222" s="8"/>
      <c r="O222" s="8"/>
      <c r="P222" s="8"/>
      <c r="Q222" s="41"/>
      <c r="R222" s="43" t="str">
        <f aca="false">IF(OR(B222="",Q222=""),"",INT((AsOf-Q222)/365.25))</f>
        <v/>
      </c>
      <c r="S222" s="8"/>
      <c r="T222" s="40"/>
      <c r="U222" s="40"/>
      <c r="V222" s="40"/>
      <c r="W222" s="40"/>
      <c r="X222" s="8"/>
      <c r="Y222" s="8"/>
      <c r="Z222" s="8"/>
      <c r="AA222" s="8"/>
      <c r="AB222" s="8"/>
      <c r="AC222" s="8"/>
      <c r="AD222" s="8"/>
      <c r="AE222" s="40"/>
      <c r="AF222" s="8"/>
      <c r="AG222" s="40"/>
      <c r="AH222" s="40"/>
      <c r="AI222" s="8"/>
      <c r="AJ222" s="40"/>
      <c r="AK222" s="40"/>
      <c r="AL222" s="40"/>
      <c r="AM222" s="44"/>
      <c r="AN222" s="44"/>
      <c r="AO222" s="41"/>
      <c r="AP222" s="45" t="str">
        <f aca="false">IF(B222="","",IF(AND(ISNUMBER(AM222),ISNUMBER(AN222),AM222&gt;0,AN222&gt;0),AN222/AM222-1,""))</f>
        <v/>
      </c>
      <c r="AQ222" s="9" t="str">
        <f aca="false">IF(I222="","",(YEAR(I222)-IF(MONTH(I222)&lt;4,1,0))&amp;"-"&amp;RIGHT((YEAR(I222)-IF(MONTH(I222)&lt;4,1,0))+1,2))</f>
        <v/>
      </c>
      <c r="AR222" s="9" t="str">
        <f aca="false">IF(J222="","",(YEAR(J222)-IF(MONTH(J222)&lt;4,1,0))&amp;"-"&amp;RIGHT((YEAR(J222)-IF(MONTH(J222)&lt;4,1,0))+1,2))</f>
        <v/>
      </c>
      <c r="AS222" s="43" t="str">
        <f aca="false">IF(OR(B222="",Q222="",D222&lt;&gt;"Active"),"",DATE(YEAR(AsOf)+IF(DATE(YEAR(AsOf),MONTH(Q222),DAY(Q222))&lt;AsOf,1,0),MONTH(Q222),DAY(Q222))-AsOf)</f>
        <v/>
      </c>
      <c r="AT222" s="43" t="str">
        <f aca="false">IF(OR(B222="",I222="",D222&lt;&gt;"Active"),"",IF(YEAR(DATE(YEAR(AsOf)+IF(DATE(YEAR(AsOf),MONTH(I222),DAY(I222))&lt;AsOf,1,0),MONTH(I222),DAY(I222)))-YEAR(I222)&lt;1,"",DATE(YEAR(AsOf)+IF(DATE(YEAR(AsOf),MONTH(I222),DAY(I222))&lt;AsOf,1,0),MONTH(I222),DAY(I222))-AsOf))</f>
        <v/>
      </c>
      <c r="AU222" s="43" t="str">
        <f aca="false">IF(B222="","",IF(AV222="",0,LEN(AV222)-LEN(SUBSTITUTE(AV222,";",""))))</f>
        <v/>
      </c>
      <c r="AV222" s="9" t="str">
        <f aca="false">IF(B222="","",IF(COUNTIF($B$6:$B$505,B222)&gt;1,"Duplicate Emp Code; ","")&amp;IF(C222="","Name missing; ","")&amp;IF(I222="","DOJ missing; ","")&amp;IF(AND(J222&lt;&gt;"",I222&lt;&gt;"",J222&lt;I222),"Exit before DOJ; ","")&amp;IF(Q222="","DOB missing; ","")&amp;IF(T222="","Aadhaar missing; ",IF(LEN(T222)&lt;&gt;12,"Aadhaar not 12 digits; ",IF(COUNTIF($T$6:$T$505,T222)&gt;1,"Duplicate Aadhaar; ","")))&amp;IF(U222="","PAN missing; ",IF(LEN(U222)&lt;&gt;10,"PAN not 10 chars; ",""))&amp;IF(V222="","Mobile missing; ",IF(LEN(V222)&lt;&gt;10,"Mobile not 10 digits; ",""))&amp;IF(AG222="","Bank A/c missing; ","")&amp;IF(AH222="","IFSC missing; ",IF(LEN(AH222)&lt;&gt;11,"IFSC not 11 chars; ","")))</f>
        <v/>
      </c>
      <c r="AW222" s="46" t="str">
        <f aca="false">IF(AS222="","",AS222+ROW()/100000)</f>
        <v/>
      </c>
      <c r="AX222" s="46" t="str">
        <f aca="false">IF(AT222="","",AT222+ROW()/100000)</f>
        <v/>
      </c>
    </row>
    <row r="223" customFormat="false" ht="15" hidden="false" customHeight="false" outlineLevel="0" collapsed="false">
      <c r="A223" s="9" t="str">
        <f aca="false">IF(B223="","",ROW()-5)</f>
        <v/>
      </c>
      <c r="B223" s="40"/>
      <c r="C223" s="8"/>
      <c r="D223" s="9" t="str">
        <f aca="false">IF(B223="","",IF(J223="","Active","Exited"))</f>
        <v/>
      </c>
      <c r="E223" s="8"/>
      <c r="F223" s="8"/>
      <c r="G223" s="8"/>
      <c r="H223" s="9" t="str">
        <f aca="false">IF(OR(B223="",I223=""),"",IF(IF(J223="",AsOf,J223)-I223&gt;=Settings!$C$13,"Permanent","Probation"))</f>
        <v/>
      </c>
      <c r="I223" s="41"/>
      <c r="J223" s="41"/>
      <c r="K223" s="8"/>
      <c r="L223" s="42" t="str">
        <f aca="false">IF(OR(B223="",I223=""),"",ROUND((IF(J223="",AsOf,J223)-I223)/365.25,1))</f>
        <v/>
      </c>
      <c r="M223" s="8"/>
      <c r="N223" s="8"/>
      <c r="O223" s="8"/>
      <c r="P223" s="8"/>
      <c r="Q223" s="41"/>
      <c r="R223" s="43" t="str">
        <f aca="false">IF(OR(B223="",Q223=""),"",INT((AsOf-Q223)/365.25))</f>
        <v/>
      </c>
      <c r="S223" s="8"/>
      <c r="T223" s="40"/>
      <c r="U223" s="40"/>
      <c r="V223" s="40"/>
      <c r="W223" s="40"/>
      <c r="X223" s="8"/>
      <c r="Y223" s="8"/>
      <c r="Z223" s="8"/>
      <c r="AA223" s="8"/>
      <c r="AB223" s="8"/>
      <c r="AC223" s="8"/>
      <c r="AD223" s="8"/>
      <c r="AE223" s="40"/>
      <c r="AF223" s="8"/>
      <c r="AG223" s="40"/>
      <c r="AH223" s="40"/>
      <c r="AI223" s="8"/>
      <c r="AJ223" s="40"/>
      <c r="AK223" s="40"/>
      <c r="AL223" s="40"/>
      <c r="AM223" s="44"/>
      <c r="AN223" s="44"/>
      <c r="AO223" s="41"/>
      <c r="AP223" s="45" t="str">
        <f aca="false">IF(B223="","",IF(AND(ISNUMBER(AM223),ISNUMBER(AN223),AM223&gt;0,AN223&gt;0),AN223/AM223-1,""))</f>
        <v/>
      </c>
      <c r="AQ223" s="9" t="str">
        <f aca="false">IF(I223="","",(YEAR(I223)-IF(MONTH(I223)&lt;4,1,0))&amp;"-"&amp;RIGHT((YEAR(I223)-IF(MONTH(I223)&lt;4,1,0))+1,2))</f>
        <v/>
      </c>
      <c r="AR223" s="9" t="str">
        <f aca="false">IF(J223="","",(YEAR(J223)-IF(MONTH(J223)&lt;4,1,0))&amp;"-"&amp;RIGHT((YEAR(J223)-IF(MONTH(J223)&lt;4,1,0))+1,2))</f>
        <v/>
      </c>
      <c r="AS223" s="43" t="str">
        <f aca="false">IF(OR(B223="",Q223="",D223&lt;&gt;"Active"),"",DATE(YEAR(AsOf)+IF(DATE(YEAR(AsOf),MONTH(Q223),DAY(Q223))&lt;AsOf,1,0),MONTH(Q223),DAY(Q223))-AsOf)</f>
        <v/>
      </c>
      <c r="AT223" s="43" t="str">
        <f aca="false">IF(OR(B223="",I223="",D223&lt;&gt;"Active"),"",IF(YEAR(DATE(YEAR(AsOf)+IF(DATE(YEAR(AsOf),MONTH(I223),DAY(I223))&lt;AsOf,1,0),MONTH(I223),DAY(I223)))-YEAR(I223)&lt;1,"",DATE(YEAR(AsOf)+IF(DATE(YEAR(AsOf),MONTH(I223),DAY(I223))&lt;AsOf,1,0),MONTH(I223),DAY(I223))-AsOf))</f>
        <v/>
      </c>
      <c r="AU223" s="43" t="str">
        <f aca="false">IF(B223="","",IF(AV223="",0,LEN(AV223)-LEN(SUBSTITUTE(AV223,";",""))))</f>
        <v/>
      </c>
      <c r="AV223" s="9" t="str">
        <f aca="false">IF(B223="","",IF(COUNTIF($B$6:$B$505,B223)&gt;1,"Duplicate Emp Code; ","")&amp;IF(C223="","Name missing; ","")&amp;IF(I223="","DOJ missing; ","")&amp;IF(AND(J223&lt;&gt;"",I223&lt;&gt;"",J223&lt;I223),"Exit before DOJ; ","")&amp;IF(Q223="","DOB missing; ","")&amp;IF(T223="","Aadhaar missing; ",IF(LEN(T223)&lt;&gt;12,"Aadhaar not 12 digits; ",IF(COUNTIF($T$6:$T$505,T223)&gt;1,"Duplicate Aadhaar; ","")))&amp;IF(U223="","PAN missing; ",IF(LEN(U223)&lt;&gt;10,"PAN not 10 chars; ",""))&amp;IF(V223="","Mobile missing; ",IF(LEN(V223)&lt;&gt;10,"Mobile not 10 digits; ",""))&amp;IF(AG223="","Bank A/c missing; ","")&amp;IF(AH223="","IFSC missing; ",IF(LEN(AH223)&lt;&gt;11,"IFSC not 11 chars; ","")))</f>
        <v/>
      </c>
      <c r="AW223" s="46" t="str">
        <f aca="false">IF(AS223="","",AS223+ROW()/100000)</f>
        <v/>
      </c>
      <c r="AX223" s="46" t="str">
        <f aca="false">IF(AT223="","",AT223+ROW()/100000)</f>
        <v/>
      </c>
    </row>
    <row r="224" customFormat="false" ht="15" hidden="false" customHeight="false" outlineLevel="0" collapsed="false">
      <c r="A224" s="9" t="str">
        <f aca="false">IF(B224="","",ROW()-5)</f>
        <v/>
      </c>
      <c r="B224" s="40"/>
      <c r="C224" s="8"/>
      <c r="D224" s="9" t="str">
        <f aca="false">IF(B224="","",IF(J224="","Active","Exited"))</f>
        <v/>
      </c>
      <c r="E224" s="8"/>
      <c r="F224" s="8"/>
      <c r="G224" s="8"/>
      <c r="H224" s="9" t="str">
        <f aca="false">IF(OR(B224="",I224=""),"",IF(IF(J224="",AsOf,J224)-I224&gt;=Settings!$C$13,"Permanent","Probation"))</f>
        <v/>
      </c>
      <c r="I224" s="41"/>
      <c r="J224" s="41"/>
      <c r="K224" s="8"/>
      <c r="L224" s="42" t="str">
        <f aca="false">IF(OR(B224="",I224=""),"",ROUND((IF(J224="",AsOf,J224)-I224)/365.25,1))</f>
        <v/>
      </c>
      <c r="M224" s="8"/>
      <c r="N224" s="8"/>
      <c r="O224" s="8"/>
      <c r="P224" s="8"/>
      <c r="Q224" s="41"/>
      <c r="R224" s="43" t="str">
        <f aca="false">IF(OR(B224="",Q224=""),"",INT((AsOf-Q224)/365.25))</f>
        <v/>
      </c>
      <c r="S224" s="8"/>
      <c r="T224" s="40"/>
      <c r="U224" s="40"/>
      <c r="V224" s="40"/>
      <c r="W224" s="40"/>
      <c r="X224" s="8"/>
      <c r="Y224" s="8"/>
      <c r="Z224" s="8"/>
      <c r="AA224" s="8"/>
      <c r="AB224" s="8"/>
      <c r="AC224" s="8"/>
      <c r="AD224" s="8"/>
      <c r="AE224" s="40"/>
      <c r="AF224" s="8"/>
      <c r="AG224" s="40"/>
      <c r="AH224" s="40"/>
      <c r="AI224" s="8"/>
      <c r="AJ224" s="40"/>
      <c r="AK224" s="40"/>
      <c r="AL224" s="40"/>
      <c r="AM224" s="44"/>
      <c r="AN224" s="44"/>
      <c r="AO224" s="41"/>
      <c r="AP224" s="45" t="str">
        <f aca="false">IF(B224="","",IF(AND(ISNUMBER(AM224),ISNUMBER(AN224),AM224&gt;0,AN224&gt;0),AN224/AM224-1,""))</f>
        <v/>
      </c>
      <c r="AQ224" s="9" t="str">
        <f aca="false">IF(I224="","",(YEAR(I224)-IF(MONTH(I224)&lt;4,1,0))&amp;"-"&amp;RIGHT((YEAR(I224)-IF(MONTH(I224)&lt;4,1,0))+1,2))</f>
        <v/>
      </c>
      <c r="AR224" s="9" t="str">
        <f aca="false">IF(J224="","",(YEAR(J224)-IF(MONTH(J224)&lt;4,1,0))&amp;"-"&amp;RIGHT((YEAR(J224)-IF(MONTH(J224)&lt;4,1,0))+1,2))</f>
        <v/>
      </c>
      <c r="AS224" s="43" t="str">
        <f aca="false">IF(OR(B224="",Q224="",D224&lt;&gt;"Active"),"",DATE(YEAR(AsOf)+IF(DATE(YEAR(AsOf),MONTH(Q224),DAY(Q224))&lt;AsOf,1,0),MONTH(Q224),DAY(Q224))-AsOf)</f>
        <v/>
      </c>
      <c r="AT224" s="43" t="str">
        <f aca="false">IF(OR(B224="",I224="",D224&lt;&gt;"Active"),"",IF(YEAR(DATE(YEAR(AsOf)+IF(DATE(YEAR(AsOf),MONTH(I224),DAY(I224))&lt;AsOf,1,0),MONTH(I224),DAY(I224)))-YEAR(I224)&lt;1,"",DATE(YEAR(AsOf)+IF(DATE(YEAR(AsOf),MONTH(I224),DAY(I224))&lt;AsOf,1,0),MONTH(I224),DAY(I224))-AsOf))</f>
        <v/>
      </c>
      <c r="AU224" s="43" t="str">
        <f aca="false">IF(B224="","",IF(AV224="",0,LEN(AV224)-LEN(SUBSTITUTE(AV224,";",""))))</f>
        <v/>
      </c>
      <c r="AV224" s="9" t="str">
        <f aca="false">IF(B224="","",IF(COUNTIF($B$6:$B$505,B224)&gt;1,"Duplicate Emp Code; ","")&amp;IF(C224="","Name missing; ","")&amp;IF(I224="","DOJ missing; ","")&amp;IF(AND(J224&lt;&gt;"",I224&lt;&gt;"",J224&lt;I224),"Exit before DOJ; ","")&amp;IF(Q224="","DOB missing; ","")&amp;IF(T224="","Aadhaar missing; ",IF(LEN(T224)&lt;&gt;12,"Aadhaar not 12 digits; ",IF(COUNTIF($T$6:$T$505,T224)&gt;1,"Duplicate Aadhaar; ","")))&amp;IF(U224="","PAN missing; ",IF(LEN(U224)&lt;&gt;10,"PAN not 10 chars; ",""))&amp;IF(V224="","Mobile missing; ",IF(LEN(V224)&lt;&gt;10,"Mobile not 10 digits; ",""))&amp;IF(AG224="","Bank A/c missing; ","")&amp;IF(AH224="","IFSC missing; ",IF(LEN(AH224)&lt;&gt;11,"IFSC not 11 chars; ","")))</f>
        <v/>
      </c>
      <c r="AW224" s="46" t="str">
        <f aca="false">IF(AS224="","",AS224+ROW()/100000)</f>
        <v/>
      </c>
      <c r="AX224" s="46" t="str">
        <f aca="false">IF(AT224="","",AT224+ROW()/100000)</f>
        <v/>
      </c>
    </row>
    <row r="225" customFormat="false" ht="15" hidden="false" customHeight="false" outlineLevel="0" collapsed="false">
      <c r="A225" s="9" t="str">
        <f aca="false">IF(B225="","",ROW()-5)</f>
        <v/>
      </c>
      <c r="B225" s="40"/>
      <c r="C225" s="8"/>
      <c r="D225" s="9" t="str">
        <f aca="false">IF(B225="","",IF(J225="","Active","Exited"))</f>
        <v/>
      </c>
      <c r="E225" s="8"/>
      <c r="F225" s="8"/>
      <c r="G225" s="8"/>
      <c r="H225" s="9" t="str">
        <f aca="false">IF(OR(B225="",I225=""),"",IF(IF(J225="",AsOf,J225)-I225&gt;=Settings!$C$13,"Permanent","Probation"))</f>
        <v/>
      </c>
      <c r="I225" s="41"/>
      <c r="J225" s="41"/>
      <c r="K225" s="8"/>
      <c r="L225" s="42" t="str">
        <f aca="false">IF(OR(B225="",I225=""),"",ROUND((IF(J225="",AsOf,J225)-I225)/365.25,1))</f>
        <v/>
      </c>
      <c r="M225" s="8"/>
      <c r="N225" s="8"/>
      <c r="O225" s="8"/>
      <c r="P225" s="8"/>
      <c r="Q225" s="41"/>
      <c r="R225" s="43" t="str">
        <f aca="false">IF(OR(B225="",Q225=""),"",INT((AsOf-Q225)/365.25))</f>
        <v/>
      </c>
      <c r="S225" s="8"/>
      <c r="T225" s="40"/>
      <c r="U225" s="40"/>
      <c r="V225" s="40"/>
      <c r="W225" s="40"/>
      <c r="X225" s="8"/>
      <c r="Y225" s="8"/>
      <c r="Z225" s="8"/>
      <c r="AA225" s="8"/>
      <c r="AB225" s="8"/>
      <c r="AC225" s="8"/>
      <c r="AD225" s="8"/>
      <c r="AE225" s="40"/>
      <c r="AF225" s="8"/>
      <c r="AG225" s="40"/>
      <c r="AH225" s="40"/>
      <c r="AI225" s="8"/>
      <c r="AJ225" s="40"/>
      <c r="AK225" s="40"/>
      <c r="AL225" s="40"/>
      <c r="AM225" s="44"/>
      <c r="AN225" s="44"/>
      <c r="AO225" s="41"/>
      <c r="AP225" s="45" t="str">
        <f aca="false">IF(B225="","",IF(AND(ISNUMBER(AM225),ISNUMBER(AN225),AM225&gt;0,AN225&gt;0),AN225/AM225-1,""))</f>
        <v/>
      </c>
      <c r="AQ225" s="9" t="str">
        <f aca="false">IF(I225="","",(YEAR(I225)-IF(MONTH(I225)&lt;4,1,0))&amp;"-"&amp;RIGHT((YEAR(I225)-IF(MONTH(I225)&lt;4,1,0))+1,2))</f>
        <v/>
      </c>
      <c r="AR225" s="9" t="str">
        <f aca="false">IF(J225="","",(YEAR(J225)-IF(MONTH(J225)&lt;4,1,0))&amp;"-"&amp;RIGHT((YEAR(J225)-IF(MONTH(J225)&lt;4,1,0))+1,2))</f>
        <v/>
      </c>
      <c r="AS225" s="43" t="str">
        <f aca="false">IF(OR(B225="",Q225="",D225&lt;&gt;"Active"),"",DATE(YEAR(AsOf)+IF(DATE(YEAR(AsOf),MONTH(Q225),DAY(Q225))&lt;AsOf,1,0),MONTH(Q225),DAY(Q225))-AsOf)</f>
        <v/>
      </c>
      <c r="AT225" s="43" t="str">
        <f aca="false">IF(OR(B225="",I225="",D225&lt;&gt;"Active"),"",IF(YEAR(DATE(YEAR(AsOf)+IF(DATE(YEAR(AsOf),MONTH(I225),DAY(I225))&lt;AsOf,1,0),MONTH(I225),DAY(I225)))-YEAR(I225)&lt;1,"",DATE(YEAR(AsOf)+IF(DATE(YEAR(AsOf),MONTH(I225),DAY(I225))&lt;AsOf,1,0),MONTH(I225),DAY(I225))-AsOf))</f>
        <v/>
      </c>
      <c r="AU225" s="43" t="str">
        <f aca="false">IF(B225="","",IF(AV225="",0,LEN(AV225)-LEN(SUBSTITUTE(AV225,";",""))))</f>
        <v/>
      </c>
      <c r="AV225" s="9" t="str">
        <f aca="false">IF(B225="","",IF(COUNTIF($B$6:$B$505,B225)&gt;1,"Duplicate Emp Code; ","")&amp;IF(C225="","Name missing; ","")&amp;IF(I225="","DOJ missing; ","")&amp;IF(AND(J225&lt;&gt;"",I225&lt;&gt;"",J225&lt;I225),"Exit before DOJ; ","")&amp;IF(Q225="","DOB missing; ","")&amp;IF(T225="","Aadhaar missing; ",IF(LEN(T225)&lt;&gt;12,"Aadhaar not 12 digits; ",IF(COUNTIF($T$6:$T$505,T225)&gt;1,"Duplicate Aadhaar; ","")))&amp;IF(U225="","PAN missing; ",IF(LEN(U225)&lt;&gt;10,"PAN not 10 chars; ",""))&amp;IF(V225="","Mobile missing; ",IF(LEN(V225)&lt;&gt;10,"Mobile not 10 digits; ",""))&amp;IF(AG225="","Bank A/c missing; ","")&amp;IF(AH225="","IFSC missing; ",IF(LEN(AH225)&lt;&gt;11,"IFSC not 11 chars; ","")))</f>
        <v/>
      </c>
      <c r="AW225" s="46" t="str">
        <f aca="false">IF(AS225="","",AS225+ROW()/100000)</f>
        <v/>
      </c>
      <c r="AX225" s="46" t="str">
        <f aca="false">IF(AT225="","",AT225+ROW()/100000)</f>
        <v/>
      </c>
    </row>
    <row r="226" customFormat="false" ht="15" hidden="false" customHeight="false" outlineLevel="0" collapsed="false">
      <c r="A226" s="9" t="str">
        <f aca="false">IF(B226="","",ROW()-5)</f>
        <v/>
      </c>
      <c r="B226" s="40"/>
      <c r="C226" s="8"/>
      <c r="D226" s="9" t="str">
        <f aca="false">IF(B226="","",IF(J226="","Active","Exited"))</f>
        <v/>
      </c>
      <c r="E226" s="8"/>
      <c r="F226" s="8"/>
      <c r="G226" s="8"/>
      <c r="H226" s="9" t="str">
        <f aca="false">IF(OR(B226="",I226=""),"",IF(IF(J226="",AsOf,J226)-I226&gt;=Settings!$C$13,"Permanent","Probation"))</f>
        <v/>
      </c>
      <c r="I226" s="41"/>
      <c r="J226" s="41"/>
      <c r="K226" s="8"/>
      <c r="L226" s="42" t="str">
        <f aca="false">IF(OR(B226="",I226=""),"",ROUND((IF(J226="",AsOf,J226)-I226)/365.25,1))</f>
        <v/>
      </c>
      <c r="M226" s="8"/>
      <c r="N226" s="8"/>
      <c r="O226" s="8"/>
      <c r="P226" s="8"/>
      <c r="Q226" s="41"/>
      <c r="R226" s="43" t="str">
        <f aca="false">IF(OR(B226="",Q226=""),"",INT((AsOf-Q226)/365.25))</f>
        <v/>
      </c>
      <c r="S226" s="8"/>
      <c r="T226" s="40"/>
      <c r="U226" s="40"/>
      <c r="V226" s="40"/>
      <c r="W226" s="40"/>
      <c r="X226" s="8"/>
      <c r="Y226" s="8"/>
      <c r="Z226" s="8"/>
      <c r="AA226" s="8"/>
      <c r="AB226" s="8"/>
      <c r="AC226" s="8"/>
      <c r="AD226" s="8"/>
      <c r="AE226" s="40"/>
      <c r="AF226" s="8"/>
      <c r="AG226" s="40"/>
      <c r="AH226" s="40"/>
      <c r="AI226" s="8"/>
      <c r="AJ226" s="40"/>
      <c r="AK226" s="40"/>
      <c r="AL226" s="40"/>
      <c r="AM226" s="44"/>
      <c r="AN226" s="44"/>
      <c r="AO226" s="41"/>
      <c r="AP226" s="45" t="str">
        <f aca="false">IF(B226="","",IF(AND(ISNUMBER(AM226),ISNUMBER(AN226),AM226&gt;0,AN226&gt;0),AN226/AM226-1,""))</f>
        <v/>
      </c>
      <c r="AQ226" s="9" t="str">
        <f aca="false">IF(I226="","",(YEAR(I226)-IF(MONTH(I226)&lt;4,1,0))&amp;"-"&amp;RIGHT((YEAR(I226)-IF(MONTH(I226)&lt;4,1,0))+1,2))</f>
        <v/>
      </c>
      <c r="AR226" s="9" t="str">
        <f aca="false">IF(J226="","",(YEAR(J226)-IF(MONTH(J226)&lt;4,1,0))&amp;"-"&amp;RIGHT((YEAR(J226)-IF(MONTH(J226)&lt;4,1,0))+1,2))</f>
        <v/>
      </c>
      <c r="AS226" s="43" t="str">
        <f aca="false">IF(OR(B226="",Q226="",D226&lt;&gt;"Active"),"",DATE(YEAR(AsOf)+IF(DATE(YEAR(AsOf),MONTH(Q226),DAY(Q226))&lt;AsOf,1,0),MONTH(Q226),DAY(Q226))-AsOf)</f>
        <v/>
      </c>
      <c r="AT226" s="43" t="str">
        <f aca="false">IF(OR(B226="",I226="",D226&lt;&gt;"Active"),"",IF(YEAR(DATE(YEAR(AsOf)+IF(DATE(YEAR(AsOf),MONTH(I226),DAY(I226))&lt;AsOf,1,0),MONTH(I226),DAY(I226)))-YEAR(I226)&lt;1,"",DATE(YEAR(AsOf)+IF(DATE(YEAR(AsOf),MONTH(I226),DAY(I226))&lt;AsOf,1,0),MONTH(I226),DAY(I226))-AsOf))</f>
        <v/>
      </c>
      <c r="AU226" s="43" t="str">
        <f aca="false">IF(B226="","",IF(AV226="",0,LEN(AV226)-LEN(SUBSTITUTE(AV226,";",""))))</f>
        <v/>
      </c>
      <c r="AV226" s="9" t="str">
        <f aca="false">IF(B226="","",IF(COUNTIF($B$6:$B$505,B226)&gt;1,"Duplicate Emp Code; ","")&amp;IF(C226="","Name missing; ","")&amp;IF(I226="","DOJ missing; ","")&amp;IF(AND(J226&lt;&gt;"",I226&lt;&gt;"",J226&lt;I226),"Exit before DOJ; ","")&amp;IF(Q226="","DOB missing; ","")&amp;IF(T226="","Aadhaar missing; ",IF(LEN(T226)&lt;&gt;12,"Aadhaar not 12 digits; ",IF(COUNTIF($T$6:$T$505,T226)&gt;1,"Duplicate Aadhaar; ","")))&amp;IF(U226="","PAN missing; ",IF(LEN(U226)&lt;&gt;10,"PAN not 10 chars; ",""))&amp;IF(V226="","Mobile missing; ",IF(LEN(V226)&lt;&gt;10,"Mobile not 10 digits; ",""))&amp;IF(AG226="","Bank A/c missing; ","")&amp;IF(AH226="","IFSC missing; ",IF(LEN(AH226)&lt;&gt;11,"IFSC not 11 chars; ","")))</f>
        <v/>
      </c>
      <c r="AW226" s="46" t="str">
        <f aca="false">IF(AS226="","",AS226+ROW()/100000)</f>
        <v/>
      </c>
      <c r="AX226" s="46" t="str">
        <f aca="false">IF(AT226="","",AT226+ROW()/100000)</f>
        <v/>
      </c>
    </row>
    <row r="227" customFormat="false" ht="15" hidden="false" customHeight="false" outlineLevel="0" collapsed="false">
      <c r="A227" s="9" t="str">
        <f aca="false">IF(B227="","",ROW()-5)</f>
        <v/>
      </c>
      <c r="B227" s="40"/>
      <c r="C227" s="8"/>
      <c r="D227" s="9" t="str">
        <f aca="false">IF(B227="","",IF(J227="","Active","Exited"))</f>
        <v/>
      </c>
      <c r="E227" s="8"/>
      <c r="F227" s="8"/>
      <c r="G227" s="8"/>
      <c r="H227" s="9" t="str">
        <f aca="false">IF(OR(B227="",I227=""),"",IF(IF(J227="",AsOf,J227)-I227&gt;=Settings!$C$13,"Permanent","Probation"))</f>
        <v/>
      </c>
      <c r="I227" s="41"/>
      <c r="J227" s="41"/>
      <c r="K227" s="8"/>
      <c r="L227" s="42" t="str">
        <f aca="false">IF(OR(B227="",I227=""),"",ROUND((IF(J227="",AsOf,J227)-I227)/365.25,1))</f>
        <v/>
      </c>
      <c r="M227" s="8"/>
      <c r="N227" s="8"/>
      <c r="O227" s="8"/>
      <c r="P227" s="8"/>
      <c r="Q227" s="41"/>
      <c r="R227" s="43" t="str">
        <f aca="false">IF(OR(B227="",Q227=""),"",INT((AsOf-Q227)/365.25))</f>
        <v/>
      </c>
      <c r="S227" s="8"/>
      <c r="T227" s="40"/>
      <c r="U227" s="40"/>
      <c r="V227" s="40"/>
      <c r="W227" s="40"/>
      <c r="X227" s="8"/>
      <c r="Y227" s="8"/>
      <c r="Z227" s="8"/>
      <c r="AA227" s="8"/>
      <c r="AB227" s="8"/>
      <c r="AC227" s="8"/>
      <c r="AD227" s="8"/>
      <c r="AE227" s="40"/>
      <c r="AF227" s="8"/>
      <c r="AG227" s="40"/>
      <c r="AH227" s="40"/>
      <c r="AI227" s="8"/>
      <c r="AJ227" s="40"/>
      <c r="AK227" s="40"/>
      <c r="AL227" s="40"/>
      <c r="AM227" s="44"/>
      <c r="AN227" s="44"/>
      <c r="AO227" s="41"/>
      <c r="AP227" s="45" t="str">
        <f aca="false">IF(B227="","",IF(AND(ISNUMBER(AM227),ISNUMBER(AN227),AM227&gt;0,AN227&gt;0),AN227/AM227-1,""))</f>
        <v/>
      </c>
      <c r="AQ227" s="9" t="str">
        <f aca="false">IF(I227="","",(YEAR(I227)-IF(MONTH(I227)&lt;4,1,0))&amp;"-"&amp;RIGHT((YEAR(I227)-IF(MONTH(I227)&lt;4,1,0))+1,2))</f>
        <v/>
      </c>
      <c r="AR227" s="9" t="str">
        <f aca="false">IF(J227="","",(YEAR(J227)-IF(MONTH(J227)&lt;4,1,0))&amp;"-"&amp;RIGHT((YEAR(J227)-IF(MONTH(J227)&lt;4,1,0))+1,2))</f>
        <v/>
      </c>
      <c r="AS227" s="43" t="str">
        <f aca="false">IF(OR(B227="",Q227="",D227&lt;&gt;"Active"),"",DATE(YEAR(AsOf)+IF(DATE(YEAR(AsOf),MONTH(Q227),DAY(Q227))&lt;AsOf,1,0),MONTH(Q227),DAY(Q227))-AsOf)</f>
        <v/>
      </c>
      <c r="AT227" s="43" t="str">
        <f aca="false">IF(OR(B227="",I227="",D227&lt;&gt;"Active"),"",IF(YEAR(DATE(YEAR(AsOf)+IF(DATE(YEAR(AsOf),MONTH(I227),DAY(I227))&lt;AsOf,1,0),MONTH(I227),DAY(I227)))-YEAR(I227)&lt;1,"",DATE(YEAR(AsOf)+IF(DATE(YEAR(AsOf),MONTH(I227),DAY(I227))&lt;AsOf,1,0),MONTH(I227),DAY(I227))-AsOf))</f>
        <v/>
      </c>
      <c r="AU227" s="43" t="str">
        <f aca="false">IF(B227="","",IF(AV227="",0,LEN(AV227)-LEN(SUBSTITUTE(AV227,";",""))))</f>
        <v/>
      </c>
      <c r="AV227" s="9" t="str">
        <f aca="false">IF(B227="","",IF(COUNTIF($B$6:$B$505,B227)&gt;1,"Duplicate Emp Code; ","")&amp;IF(C227="","Name missing; ","")&amp;IF(I227="","DOJ missing; ","")&amp;IF(AND(J227&lt;&gt;"",I227&lt;&gt;"",J227&lt;I227),"Exit before DOJ; ","")&amp;IF(Q227="","DOB missing; ","")&amp;IF(T227="","Aadhaar missing; ",IF(LEN(T227)&lt;&gt;12,"Aadhaar not 12 digits; ",IF(COUNTIF($T$6:$T$505,T227)&gt;1,"Duplicate Aadhaar; ","")))&amp;IF(U227="","PAN missing; ",IF(LEN(U227)&lt;&gt;10,"PAN not 10 chars; ",""))&amp;IF(V227="","Mobile missing; ",IF(LEN(V227)&lt;&gt;10,"Mobile not 10 digits; ",""))&amp;IF(AG227="","Bank A/c missing; ","")&amp;IF(AH227="","IFSC missing; ",IF(LEN(AH227)&lt;&gt;11,"IFSC not 11 chars; ","")))</f>
        <v/>
      </c>
      <c r="AW227" s="46" t="str">
        <f aca="false">IF(AS227="","",AS227+ROW()/100000)</f>
        <v/>
      </c>
      <c r="AX227" s="46" t="str">
        <f aca="false">IF(AT227="","",AT227+ROW()/100000)</f>
        <v/>
      </c>
    </row>
    <row r="228" customFormat="false" ht="15" hidden="false" customHeight="false" outlineLevel="0" collapsed="false">
      <c r="A228" s="9" t="str">
        <f aca="false">IF(B228="","",ROW()-5)</f>
        <v/>
      </c>
      <c r="B228" s="40"/>
      <c r="C228" s="8"/>
      <c r="D228" s="9" t="str">
        <f aca="false">IF(B228="","",IF(J228="","Active","Exited"))</f>
        <v/>
      </c>
      <c r="E228" s="8"/>
      <c r="F228" s="8"/>
      <c r="G228" s="8"/>
      <c r="H228" s="9" t="str">
        <f aca="false">IF(OR(B228="",I228=""),"",IF(IF(J228="",AsOf,J228)-I228&gt;=Settings!$C$13,"Permanent","Probation"))</f>
        <v/>
      </c>
      <c r="I228" s="41"/>
      <c r="J228" s="41"/>
      <c r="K228" s="8"/>
      <c r="L228" s="42" t="str">
        <f aca="false">IF(OR(B228="",I228=""),"",ROUND((IF(J228="",AsOf,J228)-I228)/365.25,1))</f>
        <v/>
      </c>
      <c r="M228" s="8"/>
      <c r="N228" s="8"/>
      <c r="O228" s="8"/>
      <c r="P228" s="8"/>
      <c r="Q228" s="41"/>
      <c r="R228" s="43" t="str">
        <f aca="false">IF(OR(B228="",Q228=""),"",INT((AsOf-Q228)/365.25))</f>
        <v/>
      </c>
      <c r="S228" s="8"/>
      <c r="T228" s="40"/>
      <c r="U228" s="40"/>
      <c r="V228" s="40"/>
      <c r="W228" s="40"/>
      <c r="X228" s="8"/>
      <c r="Y228" s="8"/>
      <c r="Z228" s="8"/>
      <c r="AA228" s="8"/>
      <c r="AB228" s="8"/>
      <c r="AC228" s="8"/>
      <c r="AD228" s="8"/>
      <c r="AE228" s="40"/>
      <c r="AF228" s="8"/>
      <c r="AG228" s="40"/>
      <c r="AH228" s="40"/>
      <c r="AI228" s="8"/>
      <c r="AJ228" s="40"/>
      <c r="AK228" s="40"/>
      <c r="AL228" s="40"/>
      <c r="AM228" s="44"/>
      <c r="AN228" s="44"/>
      <c r="AO228" s="41"/>
      <c r="AP228" s="45" t="str">
        <f aca="false">IF(B228="","",IF(AND(ISNUMBER(AM228),ISNUMBER(AN228),AM228&gt;0,AN228&gt;0),AN228/AM228-1,""))</f>
        <v/>
      </c>
      <c r="AQ228" s="9" t="str">
        <f aca="false">IF(I228="","",(YEAR(I228)-IF(MONTH(I228)&lt;4,1,0))&amp;"-"&amp;RIGHT((YEAR(I228)-IF(MONTH(I228)&lt;4,1,0))+1,2))</f>
        <v/>
      </c>
      <c r="AR228" s="9" t="str">
        <f aca="false">IF(J228="","",(YEAR(J228)-IF(MONTH(J228)&lt;4,1,0))&amp;"-"&amp;RIGHT((YEAR(J228)-IF(MONTH(J228)&lt;4,1,0))+1,2))</f>
        <v/>
      </c>
      <c r="AS228" s="43" t="str">
        <f aca="false">IF(OR(B228="",Q228="",D228&lt;&gt;"Active"),"",DATE(YEAR(AsOf)+IF(DATE(YEAR(AsOf),MONTH(Q228),DAY(Q228))&lt;AsOf,1,0),MONTH(Q228),DAY(Q228))-AsOf)</f>
        <v/>
      </c>
      <c r="AT228" s="43" t="str">
        <f aca="false">IF(OR(B228="",I228="",D228&lt;&gt;"Active"),"",IF(YEAR(DATE(YEAR(AsOf)+IF(DATE(YEAR(AsOf),MONTH(I228),DAY(I228))&lt;AsOf,1,0),MONTH(I228),DAY(I228)))-YEAR(I228)&lt;1,"",DATE(YEAR(AsOf)+IF(DATE(YEAR(AsOf),MONTH(I228),DAY(I228))&lt;AsOf,1,0),MONTH(I228),DAY(I228))-AsOf))</f>
        <v/>
      </c>
      <c r="AU228" s="43" t="str">
        <f aca="false">IF(B228="","",IF(AV228="",0,LEN(AV228)-LEN(SUBSTITUTE(AV228,";",""))))</f>
        <v/>
      </c>
      <c r="AV228" s="9" t="str">
        <f aca="false">IF(B228="","",IF(COUNTIF($B$6:$B$505,B228)&gt;1,"Duplicate Emp Code; ","")&amp;IF(C228="","Name missing; ","")&amp;IF(I228="","DOJ missing; ","")&amp;IF(AND(J228&lt;&gt;"",I228&lt;&gt;"",J228&lt;I228),"Exit before DOJ; ","")&amp;IF(Q228="","DOB missing; ","")&amp;IF(T228="","Aadhaar missing; ",IF(LEN(T228)&lt;&gt;12,"Aadhaar not 12 digits; ",IF(COUNTIF($T$6:$T$505,T228)&gt;1,"Duplicate Aadhaar; ","")))&amp;IF(U228="","PAN missing; ",IF(LEN(U228)&lt;&gt;10,"PAN not 10 chars; ",""))&amp;IF(V228="","Mobile missing; ",IF(LEN(V228)&lt;&gt;10,"Mobile not 10 digits; ",""))&amp;IF(AG228="","Bank A/c missing; ","")&amp;IF(AH228="","IFSC missing; ",IF(LEN(AH228)&lt;&gt;11,"IFSC not 11 chars; ","")))</f>
        <v/>
      </c>
      <c r="AW228" s="46" t="str">
        <f aca="false">IF(AS228="","",AS228+ROW()/100000)</f>
        <v/>
      </c>
      <c r="AX228" s="46" t="str">
        <f aca="false">IF(AT228="","",AT228+ROW()/100000)</f>
        <v/>
      </c>
    </row>
    <row r="229" customFormat="false" ht="15" hidden="false" customHeight="false" outlineLevel="0" collapsed="false">
      <c r="A229" s="9" t="str">
        <f aca="false">IF(B229="","",ROW()-5)</f>
        <v/>
      </c>
      <c r="B229" s="40"/>
      <c r="C229" s="8"/>
      <c r="D229" s="9" t="str">
        <f aca="false">IF(B229="","",IF(J229="","Active","Exited"))</f>
        <v/>
      </c>
      <c r="E229" s="8"/>
      <c r="F229" s="8"/>
      <c r="G229" s="8"/>
      <c r="H229" s="9" t="str">
        <f aca="false">IF(OR(B229="",I229=""),"",IF(IF(J229="",AsOf,J229)-I229&gt;=Settings!$C$13,"Permanent","Probation"))</f>
        <v/>
      </c>
      <c r="I229" s="41"/>
      <c r="J229" s="41"/>
      <c r="K229" s="8"/>
      <c r="L229" s="42" t="str">
        <f aca="false">IF(OR(B229="",I229=""),"",ROUND((IF(J229="",AsOf,J229)-I229)/365.25,1))</f>
        <v/>
      </c>
      <c r="M229" s="8"/>
      <c r="N229" s="8"/>
      <c r="O229" s="8"/>
      <c r="P229" s="8"/>
      <c r="Q229" s="41"/>
      <c r="R229" s="43" t="str">
        <f aca="false">IF(OR(B229="",Q229=""),"",INT((AsOf-Q229)/365.25))</f>
        <v/>
      </c>
      <c r="S229" s="8"/>
      <c r="T229" s="40"/>
      <c r="U229" s="40"/>
      <c r="V229" s="40"/>
      <c r="W229" s="40"/>
      <c r="X229" s="8"/>
      <c r="Y229" s="8"/>
      <c r="Z229" s="8"/>
      <c r="AA229" s="8"/>
      <c r="AB229" s="8"/>
      <c r="AC229" s="8"/>
      <c r="AD229" s="8"/>
      <c r="AE229" s="40"/>
      <c r="AF229" s="8"/>
      <c r="AG229" s="40"/>
      <c r="AH229" s="40"/>
      <c r="AI229" s="8"/>
      <c r="AJ229" s="40"/>
      <c r="AK229" s="40"/>
      <c r="AL229" s="40"/>
      <c r="AM229" s="44"/>
      <c r="AN229" s="44"/>
      <c r="AO229" s="41"/>
      <c r="AP229" s="45" t="str">
        <f aca="false">IF(B229="","",IF(AND(ISNUMBER(AM229),ISNUMBER(AN229),AM229&gt;0,AN229&gt;0),AN229/AM229-1,""))</f>
        <v/>
      </c>
      <c r="AQ229" s="9" t="str">
        <f aca="false">IF(I229="","",(YEAR(I229)-IF(MONTH(I229)&lt;4,1,0))&amp;"-"&amp;RIGHT((YEAR(I229)-IF(MONTH(I229)&lt;4,1,0))+1,2))</f>
        <v/>
      </c>
      <c r="AR229" s="9" t="str">
        <f aca="false">IF(J229="","",(YEAR(J229)-IF(MONTH(J229)&lt;4,1,0))&amp;"-"&amp;RIGHT((YEAR(J229)-IF(MONTH(J229)&lt;4,1,0))+1,2))</f>
        <v/>
      </c>
      <c r="AS229" s="43" t="str">
        <f aca="false">IF(OR(B229="",Q229="",D229&lt;&gt;"Active"),"",DATE(YEAR(AsOf)+IF(DATE(YEAR(AsOf),MONTH(Q229),DAY(Q229))&lt;AsOf,1,0),MONTH(Q229),DAY(Q229))-AsOf)</f>
        <v/>
      </c>
      <c r="AT229" s="43" t="str">
        <f aca="false">IF(OR(B229="",I229="",D229&lt;&gt;"Active"),"",IF(YEAR(DATE(YEAR(AsOf)+IF(DATE(YEAR(AsOf),MONTH(I229),DAY(I229))&lt;AsOf,1,0),MONTH(I229),DAY(I229)))-YEAR(I229)&lt;1,"",DATE(YEAR(AsOf)+IF(DATE(YEAR(AsOf),MONTH(I229),DAY(I229))&lt;AsOf,1,0),MONTH(I229),DAY(I229))-AsOf))</f>
        <v/>
      </c>
      <c r="AU229" s="43" t="str">
        <f aca="false">IF(B229="","",IF(AV229="",0,LEN(AV229)-LEN(SUBSTITUTE(AV229,";",""))))</f>
        <v/>
      </c>
      <c r="AV229" s="9" t="str">
        <f aca="false">IF(B229="","",IF(COUNTIF($B$6:$B$505,B229)&gt;1,"Duplicate Emp Code; ","")&amp;IF(C229="","Name missing; ","")&amp;IF(I229="","DOJ missing; ","")&amp;IF(AND(J229&lt;&gt;"",I229&lt;&gt;"",J229&lt;I229),"Exit before DOJ; ","")&amp;IF(Q229="","DOB missing; ","")&amp;IF(T229="","Aadhaar missing; ",IF(LEN(T229)&lt;&gt;12,"Aadhaar not 12 digits; ",IF(COUNTIF($T$6:$T$505,T229)&gt;1,"Duplicate Aadhaar; ","")))&amp;IF(U229="","PAN missing; ",IF(LEN(U229)&lt;&gt;10,"PAN not 10 chars; ",""))&amp;IF(V229="","Mobile missing; ",IF(LEN(V229)&lt;&gt;10,"Mobile not 10 digits; ",""))&amp;IF(AG229="","Bank A/c missing; ","")&amp;IF(AH229="","IFSC missing; ",IF(LEN(AH229)&lt;&gt;11,"IFSC not 11 chars; ","")))</f>
        <v/>
      </c>
      <c r="AW229" s="46" t="str">
        <f aca="false">IF(AS229="","",AS229+ROW()/100000)</f>
        <v/>
      </c>
      <c r="AX229" s="46" t="str">
        <f aca="false">IF(AT229="","",AT229+ROW()/100000)</f>
        <v/>
      </c>
    </row>
    <row r="230" customFormat="false" ht="15" hidden="false" customHeight="false" outlineLevel="0" collapsed="false">
      <c r="A230" s="9" t="str">
        <f aca="false">IF(B230="","",ROW()-5)</f>
        <v/>
      </c>
      <c r="B230" s="40"/>
      <c r="C230" s="8"/>
      <c r="D230" s="9" t="str">
        <f aca="false">IF(B230="","",IF(J230="","Active","Exited"))</f>
        <v/>
      </c>
      <c r="E230" s="8"/>
      <c r="F230" s="8"/>
      <c r="G230" s="8"/>
      <c r="H230" s="9" t="str">
        <f aca="false">IF(OR(B230="",I230=""),"",IF(IF(J230="",AsOf,J230)-I230&gt;=Settings!$C$13,"Permanent","Probation"))</f>
        <v/>
      </c>
      <c r="I230" s="41"/>
      <c r="J230" s="41"/>
      <c r="K230" s="8"/>
      <c r="L230" s="42" t="str">
        <f aca="false">IF(OR(B230="",I230=""),"",ROUND((IF(J230="",AsOf,J230)-I230)/365.25,1))</f>
        <v/>
      </c>
      <c r="M230" s="8"/>
      <c r="N230" s="8"/>
      <c r="O230" s="8"/>
      <c r="P230" s="8"/>
      <c r="Q230" s="41"/>
      <c r="R230" s="43" t="str">
        <f aca="false">IF(OR(B230="",Q230=""),"",INT((AsOf-Q230)/365.25))</f>
        <v/>
      </c>
      <c r="S230" s="8"/>
      <c r="T230" s="40"/>
      <c r="U230" s="40"/>
      <c r="V230" s="40"/>
      <c r="W230" s="40"/>
      <c r="X230" s="8"/>
      <c r="Y230" s="8"/>
      <c r="Z230" s="8"/>
      <c r="AA230" s="8"/>
      <c r="AB230" s="8"/>
      <c r="AC230" s="8"/>
      <c r="AD230" s="8"/>
      <c r="AE230" s="40"/>
      <c r="AF230" s="8"/>
      <c r="AG230" s="40"/>
      <c r="AH230" s="40"/>
      <c r="AI230" s="8"/>
      <c r="AJ230" s="40"/>
      <c r="AK230" s="40"/>
      <c r="AL230" s="40"/>
      <c r="AM230" s="44"/>
      <c r="AN230" s="44"/>
      <c r="AO230" s="41"/>
      <c r="AP230" s="45" t="str">
        <f aca="false">IF(B230="","",IF(AND(ISNUMBER(AM230),ISNUMBER(AN230),AM230&gt;0,AN230&gt;0),AN230/AM230-1,""))</f>
        <v/>
      </c>
      <c r="AQ230" s="9" t="str">
        <f aca="false">IF(I230="","",(YEAR(I230)-IF(MONTH(I230)&lt;4,1,0))&amp;"-"&amp;RIGHT((YEAR(I230)-IF(MONTH(I230)&lt;4,1,0))+1,2))</f>
        <v/>
      </c>
      <c r="AR230" s="9" t="str">
        <f aca="false">IF(J230="","",(YEAR(J230)-IF(MONTH(J230)&lt;4,1,0))&amp;"-"&amp;RIGHT((YEAR(J230)-IF(MONTH(J230)&lt;4,1,0))+1,2))</f>
        <v/>
      </c>
      <c r="AS230" s="43" t="str">
        <f aca="false">IF(OR(B230="",Q230="",D230&lt;&gt;"Active"),"",DATE(YEAR(AsOf)+IF(DATE(YEAR(AsOf),MONTH(Q230),DAY(Q230))&lt;AsOf,1,0),MONTH(Q230),DAY(Q230))-AsOf)</f>
        <v/>
      </c>
      <c r="AT230" s="43" t="str">
        <f aca="false">IF(OR(B230="",I230="",D230&lt;&gt;"Active"),"",IF(YEAR(DATE(YEAR(AsOf)+IF(DATE(YEAR(AsOf),MONTH(I230),DAY(I230))&lt;AsOf,1,0),MONTH(I230),DAY(I230)))-YEAR(I230)&lt;1,"",DATE(YEAR(AsOf)+IF(DATE(YEAR(AsOf),MONTH(I230),DAY(I230))&lt;AsOf,1,0),MONTH(I230),DAY(I230))-AsOf))</f>
        <v/>
      </c>
      <c r="AU230" s="43" t="str">
        <f aca="false">IF(B230="","",IF(AV230="",0,LEN(AV230)-LEN(SUBSTITUTE(AV230,";",""))))</f>
        <v/>
      </c>
      <c r="AV230" s="9" t="str">
        <f aca="false">IF(B230="","",IF(COUNTIF($B$6:$B$505,B230)&gt;1,"Duplicate Emp Code; ","")&amp;IF(C230="","Name missing; ","")&amp;IF(I230="","DOJ missing; ","")&amp;IF(AND(J230&lt;&gt;"",I230&lt;&gt;"",J230&lt;I230),"Exit before DOJ; ","")&amp;IF(Q230="","DOB missing; ","")&amp;IF(T230="","Aadhaar missing; ",IF(LEN(T230)&lt;&gt;12,"Aadhaar not 12 digits; ",IF(COUNTIF($T$6:$T$505,T230)&gt;1,"Duplicate Aadhaar; ","")))&amp;IF(U230="","PAN missing; ",IF(LEN(U230)&lt;&gt;10,"PAN not 10 chars; ",""))&amp;IF(V230="","Mobile missing; ",IF(LEN(V230)&lt;&gt;10,"Mobile not 10 digits; ",""))&amp;IF(AG230="","Bank A/c missing; ","")&amp;IF(AH230="","IFSC missing; ",IF(LEN(AH230)&lt;&gt;11,"IFSC not 11 chars; ","")))</f>
        <v/>
      </c>
      <c r="AW230" s="46" t="str">
        <f aca="false">IF(AS230="","",AS230+ROW()/100000)</f>
        <v/>
      </c>
      <c r="AX230" s="46" t="str">
        <f aca="false">IF(AT230="","",AT230+ROW()/100000)</f>
        <v/>
      </c>
    </row>
    <row r="231" customFormat="false" ht="15" hidden="false" customHeight="false" outlineLevel="0" collapsed="false">
      <c r="A231" s="9" t="str">
        <f aca="false">IF(B231="","",ROW()-5)</f>
        <v/>
      </c>
      <c r="B231" s="40"/>
      <c r="C231" s="8"/>
      <c r="D231" s="9" t="str">
        <f aca="false">IF(B231="","",IF(J231="","Active","Exited"))</f>
        <v/>
      </c>
      <c r="E231" s="8"/>
      <c r="F231" s="8"/>
      <c r="G231" s="8"/>
      <c r="H231" s="9" t="str">
        <f aca="false">IF(OR(B231="",I231=""),"",IF(IF(J231="",AsOf,J231)-I231&gt;=Settings!$C$13,"Permanent","Probation"))</f>
        <v/>
      </c>
      <c r="I231" s="41"/>
      <c r="J231" s="41"/>
      <c r="K231" s="8"/>
      <c r="L231" s="42" t="str">
        <f aca="false">IF(OR(B231="",I231=""),"",ROUND((IF(J231="",AsOf,J231)-I231)/365.25,1))</f>
        <v/>
      </c>
      <c r="M231" s="8"/>
      <c r="N231" s="8"/>
      <c r="O231" s="8"/>
      <c r="P231" s="8"/>
      <c r="Q231" s="41"/>
      <c r="R231" s="43" t="str">
        <f aca="false">IF(OR(B231="",Q231=""),"",INT((AsOf-Q231)/365.25))</f>
        <v/>
      </c>
      <c r="S231" s="8"/>
      <c r="T231" s="40"/>
      <c r="U231" s="40"/>
      <c r="V231" s="40"/>
      <c r="W231" s="40"/>
      <c r="X231" s="8"/>
      <c r="Y231" s="8"/>
      <c r="Z231" s="8"/>
      <c r="AA231" s="8"/>
      <c r="AB231" s="8"/>
      <c r="AC231" s="8"/>
      <c r="AD231" s="8"/>
      <c r="AE231" s="40"/>
      <c r="AF231" s="8"/>
      <c r="AG231" s="40"/>
      <c r="AH231" s="40"/>
      <c r="AI231" s="8"/>
      <c r="AJ231" s="40"/>
      <c r="AK231" s="40"/>
      <c r="AL231" s="40"/>
      <c r="AM231" s="44"/>
      <c r="AN231" s="44"/>
      <c r="AO231" s="41"/>
      <c r="AP231" s="45" t="str">
        <f aca="false">IF(B231="","",IF(AND(ISNUMBER(AM231),ISNUMBER(AN231),AM231&gt;0,AN231&gt;0),AN231/AM231-1,""))</f>
        <v/>
      </c>
      <c r="AQ231" s="9" t="str">
        <f aca="false">IF(I231="","",(YEAR(I231)-IF(MONTH(I231)&lt;4,1,0))&amp;"-"&amp;RIGHT((YEAR(I231)-IF(MONTH(I231)&lt;4,1,0))+1,2))</f>
        <v/>
      </c>
      <c r="AR231" s="9" t="str">
        <f aca="false">IF(J231="","",(YEAR(J231)-IF(MONTH(J231)&lt;4,1,0))&amp;"-"&amp;RIGHT((YEAR(J231)-IF(MONTH(J231)&lt;4,1,0))+1,2))</f>
        <v/>
      </c>
      <c r="AS231" s="43" t="str">
        <f aca="false">IF(OR(B231="",Q231="",D231&lt;&gt;"Active"),"",DATE(YEAR(AsOf)+IF(DATE(YEAR(AsOf),MONTH(Q231),DAY(Q231))&lt;AsOf,1,0),MONTH(Q231),DAY(Q231))-AsOf)</f>
        <v/>
      </c>
      <c r="AT231" s="43" t="str">
        <f aca="false">IF(OR(B231="",I231="",D231&lt;&gt;"Active"),"",IF(YEAR(DATE(YEAR(AsOf)+IF(DATE(YEAR(AsOf),MONTH(I231),DAY(I231))&lt;AsOf,1,0),MONTH(I231),DAY(I231)))-YEAR(I231)&lt;1,"",DATE(YEAR(AsOf)+IF(DATE(YEAR(AsOf),MONTH(I231),DAY(I231))&lt;AsOf,1,0),MONTH(I231),DAY(I231))-AsOf))</f>
        <v/>
      </c>
      <c r="AU231" s="43" t="str">
        <f aca="false">IF(B231="","",IF(AV231="",0,LEN(AV231)-LEN(SUBSTITUTE(AV231,";",""))))</f>
        <v/>
      </c>
      <c r="AV231" s="9" t="str">
        <f aca="false">IF(B231="","",IF(COUNTIF($B$6:$B$505,B231)&gt;1,"Duplicate Emp Code; ","")&amp;IF(C231="","Name missing; ","")&amp;IF(I231="","DOJ missing; ","")&amp;IF(AND(J231&lt;&gt;"",I231&lt;&gt;"",J231&lt;I231),"Exit before DOJ; ","")&amp;IF(Q231="","DOB missing; ","")&amp;IF(T231="","Aadhaar missing; ",IF(LEN(T231)&lt;&gt;12,"Aadhaar not 12 digits; ",IF(COUNTIF($T$6:$T$505,T231)&gt;1,"Duplicate Aadhaar; ","")))&amp;IF(U231="","PAN missing; ",IF(LEN(U231)&lt;&gt;10,"PAN not 10 chars; ",""))&amp;IF(V231="","Mobile missing; ",IF(LEN(V231)&lt;&gt;10,"Mobile not 10 digits; ",""))&amp;IF(AG231="","Bank A/c missing; ","")&amp;IF(AH231="","IFSC missing; ",IF(LEN(AH231)&lt;&gt;11,"IFSC not 11 chars; ","")))</f>
        <v/>
      </c>
      <c r="AW231" s="46" t="str">
        <f aca="false">IF(AS231="","",AS231+ROW()/100000)</f>
        <v/>
      </c>
      <c r="AX231" s="46" t="str">
        <f aca="false">IF(AT231="","",AT231+ROW()/100000)</f>
        <v/>
      </c>
    </row>
    <row r="232" customFormat="false" ht="15" hidden="false" customHeight="false" outlineLevel="0" collapsed="false">
      <c r="A232" s="9" t="str">
        <f aca="false">IF(B232="","",ROW()-5)</f>
        <v/>
      </c>
      <c r="B232" s="40"/>
      <c r="C232" s="8"/>
      <c r="D232" s="9" t="str">
        <f aca="false">IF(B232="","",IF(J232="","Active","Exited"))</f>
        <v/>
      </c>
      <c r="E232" s="8"/>
      <c r="F232" s="8"/>
      <c r="G232" s="8"/>
      <c r="H232" s="9" t="str">
        <f aca="false">IF(OR(B232="",I232=""),"",IF(IF(J232="",AsOf,J232)-I232&gt;=Settings!$C$13,"Permanent","Probation"))</f>
        <v/>
      </c>
      <c r="I232" s="41"/>
      <c r="J232" s="41"/>
      <c r="K232" s="8"/>
      <c r="L232" s="42" t="str">
        <f aca="false">IF(OR(B232="",I232=""),"",ROUND((IF(J232="",AsOf,J232)-I232)/365.25,1))</f>
        <v/>
      </c>
      <c r="M232" s="8"/>
      <c r="N232" s="8"/>
      <c r="O232" s="8"/>
      <c r="P232" s="8"/>
      <c r="Q232" s="41"/>
      <c r="R232" s="43" t="str">
        <f aca="false">IF(OR(B232="",Q232=""),"",INT((AsOf-Q232)/365.25))</f>
        <v/>
      </c>
      <c r="S232" s="8"/>
      <c r="T232" s="40"/>
      <c r="U232" s="40"/>
      <c r="V232" s="40"/>
      <c r="W232" s="40"/>
      <c r="X232" s="8"/>
      <c r="Y232" s="8"/>
      <c r="Z232" s="8"/>
      <c r="AA232" s="8"/>
      <c r="AB232" s="8"/>
      <c r="AC232" s="8"/>
      <c r="AD232" s="8"/>
      <c r="AE232" s="40"/>
      <c r="AF232" s="8"/>
      <c r="AG232" s="40"/>
      <c r="AH232" s="40"/>
      <c r="AI232" s="8"/>
      <c r="AJ232" s="40"/>
      <c r="AK232" s="40"/>
      <c r="AL232" s="40"/>
      <c r="AM232" s="44"/>
      <c r="AN232" s="44"/>
      <c r="AO232" s="41"/>
      <c r="AP232" s="45" t="str">
        <f aca="false">IF(B232="","",IF(AND(ISNUMBER(AM232),ISNUMBER(AN232),AM232&gt;0,AN232&gt;0),AN232/AM232-1,""))</f>
        <v/>
      </c>
      <c r="AQ232" s="9" t="str">
        <f aca="false">IF(I232="","",(YEAR(I232)-IF(MONTH(I232)&lt;4,1,0))&amp;"-"&amp;RIGHT((YEAR(I232)-IF(MONTH(I232)&lt;4,1,0))+1,2))</f>
        <v/>
      </c>
      <c r="AR232" s="9" t="str">
        <f aca="false">IF(J232="","",(YEAR(J232)-IF(MONTH(J232)&lt;4,1,0))&amp;"-"&amp;RIGHT((YEAR(J232)-IF(MONTH(J232)&lt;4,1,0))+1,2))</f>
        <v/>
      </c>
      <c r="AS232" s="43" t="str">
        <f aca="false">IF(OR(B232="",Q232="",D232&lt;&gt;"Active"),"",DATE(YEAR(AsOf)+IF(DATE(YEAR(AsOf),MONTH(Q232),DAY(Q232))&lt;AsOf,1,0),MONTH(Q232),DAY(Q232))-AsOf)</f>
        <v/>
      </c>
      <c r="AT232" s="43" t="str">
        <f aca="false">IF(OR(B232="",I232="",D232&lt;&gt;"Active"),"",IF(YEAR(DATE(YEAR(AsOf)+IF(DATE(YEAR(AsOf),MONTH(I232),DAY(I232))&lt;AsOf,1,0),MONTH(I232),DAY(I232)))-YEAR(I232)&lt;1,"",DATE(YEAR(AsOf)+IF(DATE(YEAR(AsOf),MONTH(I232),DAY(I232))&lt;AsOf,1,0),MONTH(I232),DAY(I232))-AsOf))</f>
        <v/>
      </c>
      <c r="AU232" s="43" t="str">
        <f aca="false">IF(B232="","",IF(AV232="",0,LEN(AV232)-LEN(SUBSTITUTE(AV232,";",""))))</f>
        <v/>
      </c>
      <c r="AV232" s="9" t="str">
        <f aca="false">IF(B232="","",IF(COUNTIF($B$6:$B$505,B232)&gt;1,"Duplicate Emp Code; ","")&amp;IF(C232="","Name missing; ","")&amp;IF(I232="","DOJ missing; ","")&amp;IF(AND(J232&lt;&gt;"",I232&lt;&gt;"",J232&lt;I232),"Exit before DOJ; ","")&amp;IF(Q232="","DOB missing; ","")&amp;IF(T232="","Aadhaar missing; ",IF(LEN(T232)&lt;&gt;12,"Aadhaar not 12 digits; ",IF(COUNTIF($T$6:$T$505,T232)&gt;1,"Duplicate Aadhaar; ","")))&amp;IF(U232="","PAN missing; ",IF(LEN(U232)&lt;&gt;10,"PAN not 10 chars; ",""))&amp;IF(V232="","Mobile missing; ",IF(LEN(V232)&lt;&gt;10,"Mobile not 10 digits; ",""))&amp;IF(AG232="","Bank A/c missing; ","")&amp;IF(AH232="","IFSC missing; ",IF(LEN(AH232)&lt;&gt;11,"IFSC not 11 chars; ","")))</f>
        <v/>
      </c>
      <c r="AW232" s="46" t="str">
        <f aca="false">IF(AS232="","",AS232+ROW()/100000)</f>
        <v/>
      </c>
      <c r="AX232" s="46" t="str">
        <f aca="false">IF(AT232="","",AT232+ROW()/100000)</f>
        <v/>
      </c>
    </row>
    <row r="233" customFormat="false" ht="15" hidden="false" customHeight="false" outlineLevel="0" collapsed="false">
      <c r="A233" s="9" t="str">
        <f aca="false">IF(B233="","",ROW()-5)</f>
        <v/>
      </c>
      <c r="B233" s="40"/>
      <c r="C233" s="8"/>
      <c r="D233" s="9" t="str">
        <f aca="false">IF(B233="","",IF(J233="","Active","Exited"))</f>
        <v/>
      </c>
      <c r="E233" s="8"/>
      <c r="F233" s="8"/>
      <c r="G233" s="8"/>
      <c r="H233" s="9" t="str">
        <f aca="false">IF(OR(B233="",I233=""),"",IF(IF(J233="",AsOf,J233)-I233&gt;=Settings!$C$13,"Permanent","Probation"))</f>
        <v/>
      </c>
      <c r="I233" s="41"/>
      <c r="J233" s="41"/>
      <c r="K233" s="8"/>
      <c r="L233" s="42" t="str">
        <f aca="false">IF(OR(B233="",I233=""),"",ROUND((IF(J233="",AsOf,J233)-I233)/365.25,1))</f>
        <v/>
      </c>
      <c r="M233" s="8"/>
      <c r="N233" s="8"/>
      <c r="O233" s="8"/>
      <c r="P233" s="8"/>
      <c r="Q233" s="41"/>
      <c r="R233" s="43" t="str">
        <f aca="false">IF(OR(B233="",Q233=""),"",INT((AsOf-Q233)/365.25))</f>
        <v/>
      </c>
      <c r="S233" s="8"/>
      <c r="T233" s="40"/>
      <c r="U233" s="40"/>
      <c r="V233" s="40"/>
      <c r="W233" s="40"/>
      <c r="X233" s="8"/>
      <c r="Y233" s="8"/>
      <c r="Z233" s="8"/>
      <c r="AA233" s="8"/>
      <c r="AB233" s="8"/>
      <c r="AC233" s="8"/>
      <c r="AD233" s="8"/>
      <c r="AE233" s="40"/>
      <c r="AF233" s="8"/>
      <c r="AG233" s="40"/>
      <c r="AH233" s="40"/>
      <c r="AI233" s="8"/>
      <c r="AJ233" s="40"/>
      <c r="AK233" s="40"/>
      <c r="AL233" s="40"/>
      <c r="AM233" s="44"/>
      <c r="AN233" s="44"/>
      <c r="AO233" s="41"/>
      <c r="AP233" s="45" t="str">
        <f aca="false">IF(B233="","",IF(AND(ISNUMBER(AM233),ISNUMBER(AN233),AM233&gt;0,AN233&gt;0),AN233/AM233-1,""))</f>
        <v/>
      </c>
      <c r="AQ233" s="9" t="str">
        <f aca="false">IF(I233="","",(YEAR(I233)-IF(MONTH(I233)&lt;4,1,0))&amp;"-"&amp;RIGHT((YEAR(I233)-IF(MONTH(I233)&lt;4,1,0))+1,2))</f>
        <v/>
      </c>
      <c r="AR233" s="9" t="str">
        <f aca="false">IF(J233="","",(YEAR(J233)-IF(MONTH(J233)&lt;4,1,0))&amp;"-"&amp;RIGHT((YEAR(J233)-IF(MONTH(J233)&lt;4,1,0))+1,2))</f>
        <v/>
      </c>
      <c r="AS233" s="43" t="str">
        <f aca="false">IF(OR(B233="",Q233="",D233&lt;&gt;"Active"),"",DATE(YEAR(AsOf)+IF(DATE(YEAR(AsOf),MONTH(Q233),DAY(Q233))&lt;AsOf,1,0),MONTH(Q233),DAY(Q233))-AsOf)</f>
        <v/>
      </c>
      <c r="AT233" s="43" t="str">
        <f aca="false">IF(OR(B233="",I233="",D233&lt;&gt;"Active"),"",IF(YEAR(DATE(YEAR(AsOf)+IF(DATE(YEAR(AsOf),MONTH(I233),DAY(I233))&lt;AsOf,1,0),MONTH(I233),DAY(I233)))-YEAR(I233)&lt;1,"",DATE(YEAR(AsOf)+IF(DATE(YEAR(AsOf),MONTH(I233),DAY(I233))&lt;AsOf,1,0),MONTH(I233),DAY(I233))-AsOf))</f>
        <v/>
      </c>
      <c r="AU233" s="43" t="str">
        <f aca="false">IF(B233="","",IF(AV233="",0,LEN(AV233)-LEN(SUBSTITUTE(AV233,";",""))))</f>
        <v/>
      </c>
      <c r="AV233" s="9" t="str">
        <f aca="false">IF(B233="","",IF(COUNTIF($B$6:$B$505,B233)&gt;1,"Duplicate Emp Code; ","")&amp;IF(C233="","Name missing; ","")&amp;IF(I233="","DOJ missing; ","")&amp;IF(AND(J233&lt;&gt;"",I233&lt;&gt;"",J233&lt;I233),"Exit before DOJ; ","")&amp;IF(Q233="","DOB missing; ","")&amp;IF(T233="","Aadhaar missing; ",IF(LEN(T233)&lt;&gt;12,"Aadhaar not 12 digits; ",IF(COUNTIF($T$6:$T$505,T233)&gt;1,"Duplicate Aadhaar; ","")))&amp;IF(U233="","PAN missing; ",IF(LEN(U233)&lt;&gt;10,"PAN not 10 chars; ",""))&amp;IF(V233="","Mobile missing; ",IF(LEN(V233)&lt;&gt;10,"Mobile not 10 digits; ",""))&amp;IF(AG233="","Bank A/c missing; ","")&amp;IF(AH233="","IFSC missing; ",IF(LEN(AH233)&lt;&gt;11,"IFSC not 11 chars; ","")))</f>
        <v/>
      </c>
      <c r="AW233" s="46" t="str">
        <f aca="false">IF(AS233="","",AS233+ROW()/100000)</f>
        <v/>
      </c>
      <c r="AX233" s="46" t="str">
        <f aca="false">IF(AT233="","",AT233+ROW()/100000)</f>
        <v/>
      </c>
    </row>
    <row r="234" customFormat="false" ht="15" hidden="false" customHeight="false" outlineLevel="0" collapsed="false">
      <c r="A234" s="9" t="str">
        <f aca="false">IF(B234="","",ROW()-5)</f>
        <v/>
      </c>
      <c r="B234" s="40"/>
      <c r="C234" s="8"/>
      <c r="D234" s="9" t="str">
        <f aca="false">IF(B234="","",IF(J234="","Active","Exited"))</f>
        <v/>
      </c>
      <c r="E234" s="8"/>
      <c r="F234" s="8"/>
      <c r="G234" s="8"/>
      <c r="H234" s="9" t="str">
        <f aca="false">IF(OR(B234="",I234=""),"",IF(IF(J234="",AsOf,J234)-I234&gt;=Settings!$C$13,"Permanent","Probation"))</f>
        <v/>
      </c>
      <c r="I234" s="41"/>
      <c r="J234" s="41"/>
      <c r="K234" s="8"/>
      <c r="L234" s="42" t="str">
        <f aca="false">IF(OR(B234="",I234=""),"",ROUND((IF(J234="",AsOf,J234)-I234)/365.25,1))</f>
        <v/>
      </c>
      <c r="M234" s="8"/>
      <c r="N234" s="8"/>
      <c r="O234" s="8"/>
      <c r="P234" s="8"/>
      <c r="Q234" s="41"/>
      <c r="R234" s="43" t="str">
        <f aca="false">IF(OR(B234="",Q234=""),"",INT((AsOf-Q234)/365.25))</f>
        <v/>
      </c>
      <c r="S234" s="8"/>
      <c r="T234" s="40"/>
      <c r="U234" s="40"/>
      <c r="V234" s="40"/>
      <c r="W234" s="40"/>
      <c r="X234" s="8"/>
      <c r="Y234" s="8"/>
      <c r="Z234" s="8"/>
      <c r="AA234" s="8"/>
      <c r="AB234" s="8"/>
      <c r="AC234" s="8"/>
      <c r="AD234" s="8"/>
      <c r="AE234" s="40"/>
      <c r="AF234" s="8"/>
      <c r="AG234" s="40"/>
      <c r="AH234" s="40"/>
      <c r="AI234" s="8"/>
      <c r="AJ234" s="40"/>
      <c r="AK234" s="40"/>
      <c r="AL234" s="40"/>
      <c r="AM234" s="44"/>
      <c r="AN234" s="44"/>
      <c r="AO234" s="41"/>
      <c r="AP234" s="45" t="str">
        <f aca="false">IF(B234="","",IF(AND(ISNUMBER(AM234),ISNUMBER(AN234),AM234&gt;0,AN234&gt;0),AN234/AM234-1,""))</f>
        <v/>
      </c>
      <c r="AQ234" s="9" t="str">
        <f aca="false">IF(I234="","",(YEAR(I234)-IF(MONTH(I234)&lt;4,1,0))&amp;"-"&amp;RIGHT((YEAR(I234)-IF(MONTH(I234)&lt;4,1,0))+1,2))</f>
        <v/>
      </c>
      <c r="AR234" s="9" t="str">
        <f aca="false">IF(J234="","",(YEAR(J234)-IF(MONTH(J234)&lt;4,1,0))&amp;"-"&amp;RIGHT((YEAR(J234)-IF(MONTH(J234)&lt;4,1,0))+1,2))</f>
        <v/>
      </c>
      <c r="AS234" s="43" t="str">
        <f aca="false">IF(OR(B234="",Q234="",D234&lt;&gt;"Active"),"",DATE(YEAR(AsOf)+IF(DATE(YEAR(AsOf),MONTH(Q234),DAY(Q234))&lt;AsOf,1,0),MONTH(Q234),DAY(Q234))-AsOf)</f>
        <v/>
      </c>
      <c r="AT234" s="43" t="str">
        <f aca="false">IF(OR(B234="",I234="",D234&lt;&gt;"Active"),"",IF(YEAR(DATE(YEAR(AsOf)+IF(DATE(YEAR(AsOf),MONTH(I234),DAY(I234))&lt;AsOf,1,0),MONTH(I234),DAY(I234)))-YEAR(I234)&lt;1,"",DATE(YEAR(AsOf)+IF(DATE(YEAR(AsOf),MONTH(I234),DAY(I234))&lt;AsOf,1,0),MONTH(I234),DAY(I234))-AsOf))</f>
        <v/>
      </c>
      <c r="AU234" s="43" t="str">
        <f aca="false">IF(B234="","",IF(AV234="",0,LEN(AV234)-LEN(SUBSTITUTE(AV234,";",""))))</f>
        <v/>
      </c>
      <c r="AV234" s="9" t="str">
        <f aca="false">IF(B234="","",IF(COUNTIF($B$6:$B$505,B234)&gt;1,"Duplicate Emp Code; ","")&amp;IF(C234="","Name missing; ","")&amp;IF(I234="","DOJ missing; ","")&amp;IF(AND(J234&lt;&gt;"",I234&lt;&gt;"",J234&lt;I234),"Exit before DOJ; ","")&amp;IF(Q234="","DOB missing; ","")&amp;IF(T234="","Aadhaar missing; ",IF(LEN(T234)&lt;&gt;12,"Aadhaar not 12 digits; ",IF(COUNTIF($T$6:$T$505,T234)&gt;1,"Duplicate Aadhaar; ","")))&amp;IF(U234="","PAN missing; ",IF(LEN(U234)&lt;&gt;10,"PAN not 10 chars; ",""))&amp;IF(V234="","Mobile missing; ",IF(LEN(V234)&lt;&gt;10,"Mobile not 10 digits; ",""))&amp;IF(AG234="","Bank A/c missing; ","")&amp;IF(AH234="","IFSC missing; ",IF(LEN(AH234)&lt;&gt;11,"IFSC not 11 chars; ","")))</f>
        <v/>
      </c>
      <c r="AW234" s="46" t="str">
        <f aca="false">IF(AS234="","",AS234+ROW()/100000)</f>
        <v/>
      </c>
      <c r="AX234" s="46" t="str">
        <f aca="false">IF(AT234="","",AT234+ROW()/100000)</f>
        <v/>
      </c>
    </row>
    <row r="235" customFormat="false" ht="15" hidden="false" customHeight="false" outlineLevel="0" collapsed="false">
      <c r="A235" s="9" t="str">
        <f aca="false">IF(B235="","",ROW()-5)</f>
        <v/>
      </c>
      <c r="B235" s="40"/>
      <c r="C235" s="8"/>
      <c r="D235" s="9" t="str">
        <f aca="false">IF(B235="","",IF(J235="","Active","Exited"))</f>
        <v/>
      </c>
      <c r="E235" s="8"/>
      <c r="F235" s="8"/>
      <c r="G235" s="8"/>
      <c r="H235" s="9" t="str">
        <f aca="false">IF(OR(B235="",I235=""),"",IF(IF(J235="",AsOf,J235)-I235&gt;=Settings!$C$13,"Permanent","Probation"))</f>
        <v/>
      </c>
      <c r="I235" s="41"/>
      <c r="J235" s="41"/>
      <c r="K235" s="8"/>
      <c r="L235" s="42" t="str">
        <f aca="false">IF(OR(B235="",I235=""),"",ROUND((IF(J235="",AsOf,J235)-I235)/365.25,1))</f>
        <v/>
      </c>
      <c r="M235" s="8"/>
      <c r="N235" s="8"/>
      <c r="O235" s="8"/>
      <c r="P235" s="8"/>
      <c r="Q235" s="41"/>
      <c r="R235" s="43" t="str">
        <f aca="false">IF(OR(B235="",Q235=""),"",INT((AsOf-Q235)/365.25))</f>
        <v/>
      </c>
      <c r="S235" s="8"/>
      <c r="T235" s="40"/>
      <c r="U235" s="40"/>
      <c r="V235" s="40"/>
      <c r="W235" s="40"/>
      <c r="X235" s="8"/>
      <c r="Y235" s="8"/>
      <c r="Z235" s="8"/>
      <c r="AA235" s="8"/>
      <c r="AB235" s="8"/>
      <c r="AC235" s="8"/>
      <c r="AD235" s="8"/>
      <c r="AE235" s="40"/>
      <c r="AF235" s="8"/>
      <c r="AG235" s="40"/>
      <c r="AH235" s="40"/>
      <c r="AI235" s="8"/>
      <c r="AJ235" s="40"/>
      <c r="AK235" s="40"/>
      <c r="AL235" s="40"/>
      <c r="AM235" s="44"/>
      <c r="AN235" s="44"/>
      <c r="AO235" s="41"/>
      <c r="AP235" s="45" t="str">
        <f aca="false">IF(B235="","",IF(AND(ISNUMBER(AM235),ISNUMBER(AN235),AM235&gt;0,AN235&gt;0),AN235/AM235-1,""))</f>
        <v/>
      </c>
      <c r="AQ235" s="9" t="str">
        <f aca="false">IF(I235="","",(YEAR(I235)-IF(MONTH(I235)&lt;4,1,0))&amp;"-"&amp;RIGHT((YEAR(I235)-IF(MONTH(I235)&lt;4,1,0))+1,2))</f>
        <v/>
      </c>
      <c r="AR235" s="9" t="str">
        <f aca="false">IF(J235="","",(YEAR(J235)-IF(MONTH(J235)&lt;4,1,0))&amp;"-"&amp;RIGHT((YEAR(J235)-IF(MONTH(J235)&lt;4,1,0))+1,2))</f>
        <v/>
      </c>
      <c r="AS235" s="43" t="str">
        <f aca="false">IF(OR(B235="",Q235="",D235&lt;&gt;"Active"),"",DATE(YEAR(AsOf)+IF(DATE(YEAR(AsOf),MONTH(Q235),DAY(Q235))&lt;AsOf,1,0),MONTH(Q235),DAY(Q235))-AsOf)</f>
        <v/>
      </c>
      <c r="AT235" s="43" t="str">
        <f aca="false">IF(OR(B235="",I235="",D235&lt;&gt;"Active"),"",IF(YEAR(DATE(YEAR(AsOf)+IF(DATE(YEAR(AsOf),MONTH(I235),DAY(I235))&lt;AsOf,1,0),MONTH(I235),DAY(I235)))-YEAR(I235)&lt;1,"",DATE(YEAR(AsOf)+IF(DATE(YEAR(AsOf),MONTH(I235),DAY(I235))&lt;AsOf,1,0),MONTH(I235),DAY(I235))-AsOf))</f>
        <v/>
      </c>
      <c r="AU235" s="43" t="str">
        <f aca="false">IF(B235="","",IF(AV235="",0,LEN(AV235)-LEN(SUBSTITUTE(AV235,";",""))))</f>
        <v/>
      </c>
      <c r="AV235" s="9" t="str">
        <f aca="false">IF(B235="","",IF(COUNTIF($B$6:$B$505,B235)&gt;1,"Duplicate Emp Code; ","")&amp;IF(C235="","Name missing; ","")&amp;IF(I235="","DOJ missing; ","")&amp;IF(AND(J235&lt;&gt;"",I235&lt;&gt;"",J235&lt;I235),"Exit before DOJ; ","")&amp;IF(Q235="","DOB missing; ","")&amp;IF(T235="","Aadhaar missing; ",IF(LEN(T235)&lt;&gt;12,"Aadhaar not 12 digits; ",IF(COUNTIF($T$6:$T$505,T235)&gt;1,"Duplicate Aadhaar; ","")))&amp;IF(U235="","PAN missing; ",IF(LEN(U235)&lt;&gt;10,"PAN not 10 chars; ",""))&amp;IF(V235="","Mobile missing; ",IF(LEN(V235)&lt;&gt;10,"Mobile not 10 digits; ",""))&amp;IF(AG235="","Bank A/c missing; ","")&amp;IF(AH235="","IFSC missing; ",IF(LEN(AH235)&lt;&gt;11,"IFSC not 11 chars; ","")))</f>
        <v/>
      </c>
      <c r="AW235" s="46" t="str">
        <f aca="false">IF(AS235="","",AS235+ROW()/100000)</f>
        <v/>
      </c>
      <c r="AX235" s="46" t="str">
        <f aca="false">IF(AT235="","",AT235+ROW()/100000)</f>
        <v/>
      </c>
    </row>
    <row r="236" customFormat="false" ht="15" hidden="false" customHeight="false" outlineLevel="0" collapsed="false">
      <c r="A236" s="9" t="str">
        <f aca="false">IF(B236="","",ROW()-5)</f>
        <v/>
      </c>
      <c r="B236" s="40"/>
      <c r="C236" s="8"/>
      <c r="D236" s="9" t="str">
        <f aca="false">IF(B236="","",IF(J236="","Active","Exited"))</f>
        <v/>
      </c>
      <c r="E236" s="8"/>
      <c r="F236" s="8"/>
      <c r="G236" s="8"/>
      <c r="H236" s="9" t="str">
        <f aca="false">IF(OR(B236="",I236=""),"",IF(IF(J236="",AsOf,J236)-I236&gt;=Settings!$C$13,"Permanent","Probation"))</f>
        <v/>
      </c>
      <c r="I236" s="41"/>
      <c r="J236" s="41"/>
      <c r="K236" s="8"/>
      <c r="L236" s="42" t="str">
        <f aca="false">IF(OR(B236="",I236=""),"",ROUND((IF(J236="",AsOf,J236)-I236)/365.25,1))</f>
        <v/>
      </c>
      <c r="M236" s="8"/>
      <c r="N236" s="8"/>
      <c r="O236" s="8"/>
      <c r="P236" s="8"/>
      <c r="Q236" s="41"/>
      <c r="R236" s="43" t="str">
        <f aca="false">IF(OR(B236="",Q236=""),"",INT((AsOf-Q236)/365.25))</f>
        <v/>
      </c>
      <c r="S236" s="8"/>
      <c r="T236" s="40"/>
      <c r="U236" s="40"/>
      <c r="V236" s="40"/>
      <c r="W236" s="40"/>
      <c r="X236" s="8"/>
      <c r="Y236" s="8"/>
      <c r="Z236" s="8"/>
      <c r="AA236" s="8"/>
      <c r="AB236" s="8"/>
      <c r="AC236" s="8"/>
      <c r="AD236" s="8"/>
      <c r="AE236" s="40"/>
      <c r="AF236" s="8"/>
      <c r="AG236" s="40"/>
      <c r="AH236" s="40"/>
      <c r="AI236" s="8"/>
      <c r="AJ236" s="40"/>
      <c r="AK236" s="40"/>
      <c r="AL236" s="40"/>
      <c r="AM236" s="44"/>
      <c r="AN236" s="44"/>
      <c r="AO236" s="41"/>
      <c r="AP236" s="45" t="str">
        <f aca="false">IF(B236="","",IF(AND(ISNUMBER(AM236),ISNUMBER(AN236),AM236&gt;0,AN236&gt;0),AN236/AM236-1,""))</f>
        <v/>
      </c>
      <c r="AQ236" s="9" t="str">
        <f aca="false">IF(I236="","",(YEAR(I236)-IF(MONTH(I236)&lt;4,1,0))&amp;"-"&amp;RIGHT((YEAR(I236)-IF(MONTH(I236)&lt;4,1,0))+1,2))</f>
        <v/>
      </c>
      <c r="AR236" s="9" t="str">
        <f aca="false">IF(J236="","",(YEAR(J236)-IF(MONTH(J236)&lt;4,1,0))&amp;"-"&amp;RIGHT((YEAR(J236)-IF(MONTH(J236)&lt;4,1,0))+1,2))</f>
        <v/>
      </c>
      <c r="AS236" s="43" t="str">
        <f aca="false">IF(OR(B236="",Q236="",D236&lt;&gt;"Active"),"",DATE(YEAR(AsOf)+IF(DATE(YEAR(AsOf),MONTH(Q236),DAY(Q236))&lt;AsOf,1,0),MONTH(Q236),DAY(Q236))-AsOf)</f>
        <v/>
      </c>
      <c r="AT236" s="43" t="str">
        <f aca="false">IF(OR(B236="",I236="",D236&lt;&gt;"Active"),"",IF(YEAR(DATE(YEAR(AsOf)+IF(DATE(YEAR(AsOf),MONTH(I236),DAY(I236))&lt;AsOf,1,0),MONTH(I236),DAY(I236)))-YEAR(I236)&lt;1,"",DATE(YEAR(AsOf)+IF(DATE(YEAR(AsOf),MONTH(I236),DAY(I236))&lt;AsOf,1,0),MONTH(I236),DAY(I236))-AsOf))</f>
        <v/>
      </c>
      <c r="AU236" s="43" t="str">
        <f aca="false">IF(B236="","",IF(AV236="",0,LEN(AV236)-LEN(SUBSTITUTE(AV236,";",""))))</f>
        <v/>
      </c>
      <c r="AV236" s="9" t="str">
        <f aca="false">IF(B236="","",IF(COUNTIF($B$6:$B$505,B236)&gt;1,"Duplicate Emp Code; ","")&amp;IF(C236="","Name missing; ","")&amp;IF(I236="","DOJ missing; ","")&amp;IF(AND(J236&lt;&gt;"",I236&lt;&gt;"",J236&lt;I236),"Exit before DOJ; ","")&amp;IF(Q236="","DOB missing; ","")&amp;IF(T236="","Aadhaar missing; ",IF(LEN(T236)&lt;&gt;12,"Aadhaar not 12 digits; ",IF(COUNTIF($T$6:$T$505,T236)&gt;1,"Duplicate Aadhaar; ","")))&amp;IF(U236="","PAN missing; ",IF(LEN(U236)&lt;&gt;10,"PAN not 10 chars; ",""))&amp;IF(V236="","Mobile missing; ",IF(LEN(V236)&lt;&gt;10,"Mobile not 10 digits; ",""))&amp;IF(AG236="","Bank A/c missing; ","")&amp;IF(AH236="","IFSC missing; ",IF(LEN(AH236)&lt;&gt;11,"IFSC not 11 chars; ","")))</f>
        <v/>
      </c>
      <c r="AW236" s="46" t="str">
        <f aca="false">IF(AS236="","",AS236+ROW()/100000)</f>
        <v/>
      </c>
      <c r="AX236" s="46" t="str">
        <f aca="false">IF(AT236="","",AT236+ROW()/100000)</f>
        <v/>
      </c>
    </row>
    <row r="237" customFormat="false" ht="15" hidden="false" customHeight="false" outlineLevel="0" collapsed="false">
      <c r="A237" s="9" t="str">
        <f aca="false">IF(B237="","",ROW()-5)</f>
        <v/>
      </c>
      <c r="B237" s="40"/>
      <c r="C237" s="8"/>
      <c r="D237" s="9" t="str">
        <f aca="false">IF(B237="","",IF(J237="","Active","Exited"))</f>
        <v/>
      </c>
      <c r="E237" s="8"/>
      <c r="F237" s="8"/>
      <c r="G237" s="8"/>
      <c r="H237" s="9" t="str">
        <f aca="false">IF(OR(B237="",I237=""),"",IF(IF(J237="",AsOf,J237)-I237&gt;=Settings!$C$13,"Permanent","Probation"))</f>
        <v/>
      </c>
      <c r="I237" s="41"/>
      <c r="J237" s="41"/>
      <c r="K237" s="8"/>
      <c r="L237" s="42" t="str">
        <f aca="false">IF(OR(B237="",I237=""),"",ROUND((IF(J237="",AsOf,J237)-I237)/365.25,1))</f>
        <v/>
      </c>
      <c r="M237" s="8"/>
      <c r="N237" s="8"/>
      <c r="O237" s="8"/>
      <c r="P237" s="8"/>
      <c r="Q237" s="41"/>
      <c r="R237" s="43" t="str">
        <f aca="false">IF(OR(B237="",Q237=""),"",INT((AsOf-Q237)/365.25))</f>
        <v/>
      </c>
      <c r="S237" s="8"/>
      <c r="T237" s="40"/>
      <c r="U237" s="40"/>
      <c r="V237" s="40"/>
      <c r="W237" s="40"/>
      <c r="X237" s="8"/>
      <c r="Y237" s="8"/>
      <c r="Z237" s="8"/>
      <c r="AA237" s="8"/>
      <c r="AB237" s="8"/>
      <c r="AC237" s="8"/>
      <c r="AD237" s="8"/>
      <c r="AE237" s="40"/>
      <c r="AF237" s="8"/>
      <c r="AG237" s="40"/>
      <c r="AH237" s="40"/>
      <c r="AI237" s="8"/>
      <c r="AJ237" s="40"/>
      <c r="AK237" s="40"/>
      <c r="AL237" s="40"/>
      <c r="AM237" s="44"/>
      <c r="AN237" s="44"/>
      <c r="AO237" s="41"/>
      <c r="AP237" s="45" t="str">
        <f aca="false">IF(B237="","",IF(AND(ISNUMBER(AM237),ISNUMBER(AN237),AM237&gt;0,AN237&gt;0),AN237/AM237-1,""))</f>
        <v/>
      </c>
      <c r="AQ237" s="9" t="str">
        <f aca="false">IF(I237="","",(YEAR(I237)-IF(MONTH(I237)&lt;4,1,0))&amp;"-"&amp;RIGHT((YEAR(I237)-IF(MONTH(I237)&lt;4,1,0))+1,2))</f>
        <v/>
      </c>
      <c r="AR237" s="9" t="str">
        <f aca="false">IF(J237="","",(YEAR(J237)-IF(MONTH(J237)&lt;4,1,0))&amp;"-"&amp;RIGHT((YEAR(J237)-IF(MONTH(J237)&lt;4,1,0))+1,2))</f>
        <v/>
      </c>
      <c r="AS237" s="43" t="str">
        <f aca="false">IF(OR(B237="",Q237="",D237&lt;&gt;"Active"),"",DATE(YEAR(AsOf)+IF(DATE(YEAR(AsOf),MONTH(Q237),DAY(Q237))&lt;AsOf,1,0),MONTH(Q237),DAY(Q237))-AsOf)</f>
        <v/>
      </c>
      <c r="AT237" s="43" t="str">
        <f aca="false">IF(OR(B237="",I237="",D237&lt;&gt;"Active"),"",IF(YEAR(DATE(YEAR(AsOf)+IF(DATE(YEAR(AsOf),MONTH(I237),DAY(I237))&lt;AsOf,1,0),MONTH(I237),DAY(I237)))-YEAR(I237)&lt;1,"",DATE(YEAR(AsOf)+IF(DATE(YEAR(AsOf),MONTH(I237),DAY(I237))&lt;AsOf,1,0),MONTH(I237),DAY(I237))-AsOf))</f>
        <v/>
      </c>
      <c r="AU237" s="43" t="str">
        <f aca="false">IF(B237="","",IF(AV237="",0,LEN(AV237)-LEN(SUBSTITUTE(AV237,";",""))))</f>
        <v/>
      </c>
      <c r="AV237" s="9" t="str">
        <f aca="false">IF(B237="","",IF(COUNTIF($B$6:$B$505,B237)&gt;1,"Duplicate Emp Code; ","")&amp;IF(C237="","Name missing; ","")&amp;IF(I237="","DOJ missing; ","")&amp;IF(AND(J237&lt;&gt;"",I237&lt;&gt;"",J237&lt;I237),"Exit before DOJ; ","")&amp;IF(Q237="","DOB missing; ","")&amp;IF(T237="","Aadhaar missing; ",IF(LEN(T237)&lt;&gt;12,"Aadhaar not 12 digits; ",IF(COUNTIF($T$6:$T$505,T237)&gt;1,"Duplicate Aadhaar; ","")))&amp;IF(U237="","PAN missing; ",IF(LEN(U237)&lt;&gt;10,"PAN not 10 chars; ",""))&amp;IF(V237="","Mobile missing; ",IF(LEN(V237)&lt;&gt;10,"Mobile not 10 digits; ",""))&amp;IF(AG237="","Bank A/c missing; ","")&amp;IF(AH237="","IFSC missing; ",IF(LEN(AH237)&lt;&gt;11,"IFSC not 11 chars; ","")))</f>
        <v/>
      </c>
      <c r="AW237" s="46" t="str">
        <f aca="false">IF(AS237="","",AS237+ROW()/100000)</f>
        <v/>
      </c>
      <c r="AX237" s="46" t="str">
        <f aca="false">IF(AT237="","",AT237+ROW()/100000)</f>
        <v/>
      </c>
    </row>
    <row r="238" customFormat="false" ht="15" hidden="false" customHeight="false" outlineLevel="0" collapsed="false">
      <c r="A238" s="9" t="str">
        <f aca="false">IF(B238="","",ROW()-5)</f>
        <v/>
      </c>
      <c r="B238" s="40"/>
      <c r="C238" s="8"/>
      <c r="D238" s="9" t="str">
        <f aca="false">IF(B238="","",IF(J238="","Active","Exited"))</f>
        <v/>
      </c>
      <c r="E238" s="8"/>
      <c r="F238" s="8"/>
      <c r="G238" s="8"/>
      <c r="H238" s="9" t="str">
        <f aca="false">IF(OR(B238="",I238=""),"",IF(IF(J238="",AsOf,J238)-I238&gt;=Settings!$C$13,"Permanent","Probation"))</f>
        <v/>
      </c>
      <c r="I238" s="41"/>
      <c r="J238" s="41"/>
      <c r="K238" s="8"/>
      <c r="L238" s="42" t="str">
        <f aca="false">IF(OR(B238="",I238=""),"",ROUND((IF(J238="",AsOf,J238)-I238)/365.25,1))</f>
        <v/>
      </c>
      <c r="M238" s="8"/>
      <c r="N238" s="8"/>
      <c r="O238" s="8"/>
      <c r="P238" s="8"/>
      <c r="Q238" s="41"/>
      <c r="R238" s="43" t="str">
        <f aca="false">IF(OR(B238="",Q238=""),"",INT((AsOf-Q238)/365.25))</f>
        <v/>
      </c>
      <c r="S238" s="8"/>
      <c r="T238" s="40"/>
      <c r="U238" s="40"/>
      <c r="V238" s="40"/>
      <c r="W238" s="40"/>
      <c r="X238" s="8"/>
      <c r="Y238" s="8"/>
      <c r="Z238" s="8"/>
      <c r="AA238" s="8"/>
      <c r="AB238" s="8"/>
      <c r="AC238" s="8"/>
      <c r="AD238" s="8"/>
      <c r="AE238" s="40"/>
      <c r="AF238" s="8"/>
      <c r="AG238" s="40"/>
      <c r="AH238" s="40"/>
      <c r="AI238" s="8"/>
      <c r="AJ238" s="40"/>
      <c r="AK238" s="40"/>
      <c r="AL238" s="40"/>
      <c r="AM238" s="44"/>
      <c r="AN238" s="44"/>
      <c r="AO238" s="41"/>
      <c r="AP238" s="45" t="str">
        <f aca="false">IF(B238="","",IF(AND(ISNUMBER(AM238),ISNUMBER(AN238),AM238&gt;0,AN238&gt;0),AN238/AM238-1,""))</f>
        <v/>
      </c>
      <c r="AQ238" s="9" t="str">
        <f aca="false">IF(I238="","",(YEAR(I238)-IF(MONTH(I238)&lt;4,1,0))&amp;"-"&amp;RIGHT((YEAR(I238)-IF(MONTH(I238)&lt;4,1,0))+1,2))</f>
        <v/>
      </c>
      <c r="AR238" s="9" t="str">
        <f aca="false">IF(J238="","",(YEAR(J238)-IF(MONTH(J238)&lt;4,1,0))&amp;"-"&amp;RIGHT((YEAR(J238)-IF(MONTH(J238)&lt;4,1,0))+1,2))</f>
        <v/>
      </c>
      <c r="AS238" s="43" t="str">
        <f aca="false">IF(OR(B238="",Q238="",D238&lt;&gt;"Active"),"",DATE(YEAR(AsOf)+IF(DATE(YEAR(AsOf),MONTH(Q238),DAY(Q238))&lt;AsOf,1,0),MONTH(Q238),DAY(Q238))-AsOf)</f>
        <v/>
      </c>
      <c r="AT238" s="43" t="str">
        <f aca="false">IF(OR(B238="",I238="",D238&lt;&gt;"Active"),"",IF(YEAR(DATE(YEAR(AsOf)+IF(DATE(YEAR(AsOf),MONTH(I238),DAY(I238))&lt;AsOf,1,0),MONTH(I238),DAY(I238)))-YEAR(I238)&lt;1,"",DATE(YEAR(AsOf)+IF(DATE(YEAR(AsOf),MONTH(I238),DAY(I238))&lt;AsOf,1,0),MONTH(I238),DAY(I238))-AsOf))</f>
        <v/>
      </c>
      <c r="AU238" s="43" t="str">
        <f aca="false">IF(B238="","",IF(AV238="",0,LEN(AV238)-LEN(SUBSTITUTE(AV238,";",""))))</f>
        <v/>
      </c>
      <c r="AV238" s="9" t="str">
        <f aca="false">IF(B238="","",IF(COUNTIF($B$6:$B$505,B238)&gt;1,"Duplicate Emp Code; ","")&amp;IF(C238="","Name missing; ","")&amp;IF(I238="","DOJ missing; ","")&amp;IF(AND(J238&lt;&gt;"",I238&lt;&gt;"",J238&lt;I238),"Exit before DOJ; ","")&amp;IF(Q238="","DOB missing; ","")&amp;IF(T238="","Aadhaar missing; ",IF(LEN(T238)&lt;&gt;12,"Aadhaar not 12 digits; ",IF(COUNTIF($T$6:$T$505,T238)&gt;1,"Duplicate Aadhaar; ","")))&amp;IF(U238="","PAN missing; ",IF(LEN(U238)&lt;&gt;10,"PAN not 10 chars; ",""))&amp;IF(V238="","Mobile missing; ",IF(LEN(V238)&lt;&gt;10,"Mobile not 10 digits; ",""))&amp;IF(AG238="","Bank A/c missing; ","")&amp;IF(AH238="","IFSC missing; ",IF(LEN(AH238)&lt;&gt;11,"IFSC not 11 chars; ","")))</f>
        <v/>
      </c>
      <c r="AW238" s="46" t="str">
        <f aca="false">IF(AS238="","",AS238+ROW()/100000)</f>
        <v/>
      </c>
      <c r="AX238" s="46" t="str">
        <f aca="false">IF(AT238="","",AT238+ROW()/100000)</f>
        <v/>
      </c>
    </row>
    <row r="239" customFormat="false" ht="15" hidden="false" customHeight="false" outlineLevel="0" collapsed="false">
      <c r="A239" s="9" t="str">
        <f aca="false">IF(B239="","",ROW()-5)</f>
        <v/>
      </c>
      <c r="B239" s="40"/>
      <c r="C239" s="8"/>
      <c r="D239" s="9" t="str">
        <f aca="false">IF(B239="","",IF(J239="","Active","Exited"))</f>
        <v/>
      </c>
      <c r="E239" s="8"/>
      <c r="F239" s="8"/>
      <c r="G239" s="8"/>
      <c r="H239" s="9" t="str">
        <f aca="false">IF(OR(B239="",I239=""),"",IF(IF(J239="",AsOf,J239)-I239&gt;=Settings!$C$13,"Permanent","Probation"))</f>
        <v/>
      </c>
      <c r="I239" s="41"/>
      <c r="J239" s="41"/>
      <c r="K239" s="8"/>
      <c r="L239" s="42" t="str">
        <f aca="false">IF(OR(B239="",I239=""),"",ROUND((IF(J239="",AsOf,J239)-I239)/365.25,1))</f>
        <v/>
      </c>
      <c r="M239" s="8"/>
      <c r="N239" s="8"/>
      <c r="O239" s="8"/>
      <c r="P239" s="8"/>
      <c r="Q239" s="41"/>
      <c r="R239" s="43" t="str">
        <f aca="false">IF(OR(B239="",Q239=""),"",INT((AsOf-Q239)/365.25))</f>
        <v/>
      </c>
      <c r="S239" s="8"/>
      <c r="T239" s="40"/>
      <c r="U239" s="40"/>
      <c r="V239" s="40"/>
      <c r="W239" s="40"/>
      <c r="X239" s="8"/>
      <c r="Y239" s="8"/>
      <c r="Z239" s="8"/>
      <c r="AA239" s="8"/>
      <c r="AB239" s="8"/>
      <c r="AC239" s="8"/>
      <c r="AD239" s="8"/>
      <c r="AE239" s="40"/>
      <c r="AF239" s="8"/>
      <c r="AG239" s="40"/>
      <c r="AH239" s="40"/>
      <c r="AI239" s="8"/>
      <c r="AJ239" s="40"/>
      <c r="AK239" s="40"/>
      <c r="AL239" s="40"/>
      <c r="AM239" s="44"/>
      <c r="AN239" s="44"/>
      <c r="AO239" s="41"/>
      <c r="AP239" s="45" t="str">
        <f aca="false">IF(B239="","",IF(AND(ISNUMBER(AM239),ISNUMBER(AN239),AM239&gt;0,AN239&gt;0),AN239/AM239-1,""))</f>
        <v/>
      </c>
      <c r="AQ239" s="9" t="str">
        <f aca="false">IF(I239="","",(YEAR(I239)-IF(MONTH(I239)&lt;4,1,0))&amp;"-"&amp;RIGHT((YEAR(I239)-IF(MONTH(I239)&lt;4,1,0))+1,2))</f>
        <v/>
      </c>
      <c r="AR239" s="9" t="str">
        <f aca="false">IF(J239="","",(YEAR(J239)-IF(MONTH(J239)&lt;4,1,0))&amp;"-"&amp;RIGHT((YEAR(J239)-IF(MONTH(J239)&lt;4,1,0))+1,2))</f>
        <v/>
      </c>
      <c r="AS239" s="43" t="str">
        <f aca="false">IF(OR(B239="",Q239="",D239&lt;&gt;"Active"),"",DATE(YEAR(AsOf)+IF(DATE(YEAR(AsOf),MONTH(Q239),DAY(Q239))&lt;AsOf,1,0),MONTH(Q239),DAY(Q239))-AsOf)</f>
        <v/>
      </c>
      <c r="AT239" s="43" t="str">
        <f aca="false">IF(OR(B239="",I239="",D239&lt;&gt;"Active"),"",IF(YEAR(DATE(YEAR(AsOf)+IF(DATE(YEAR(AsOf),MONTH(I239),DAY(I239))&lt;AsOf,1,0),MONTH(I239),DAY(I239)))-YEAR(I239)&lt;1,"",DATE(YEAR(AsOf)+IF(DATE(YEAR(AsOf),MONTH(I239),DAY(I239))&lt;AsOf,1,0),MONTH(I239),DAY(I239))-AsOf))</f>
        <v/>
      </c>
      <c r="AU239" s="43" t="str">
        <f aca="false">IF(B239="","",IF(AV239="",0,LEN(AV239)-LEN(SUBSTITUTE(AV239,";",""))))</f>
        <v/>
      </c>
      <c r="AV239" s="9" t="str">
        <f aca="false">IF(B239="","",IF(COUNTIF($B$6:$B$505,B239)&gt;1,"Duplicate Emp Code; ","")&amp;IF(C239="","Name missing; ","")&amp;IF(I239="","DOJ missing; ","")&amp;IF(AND(J239&lt;&gt;"",I239&lt;&gt;"",J239&lt;I239),"Exit before DOJ; ","")&amp;IF(Q239="","DOB missing; ","")&amp;IF(T239="","Aadhaar missing; ",IF(LEN(T239)&lt;&gt;12,"Aadhaar not 12 digits; ",IF(COUNTIF($T$6:$T$505,T239)&gt;1,"Duplicate Aadhaar; ","")))&amp;IF(U239="","PAN missing; ",IF(LEN(U239)&lt;&gt;10,"PAN not 10 chars; ",""))&amp;IF(V239="","Mobile missing; ",IF(LEN(V239)&lt;&gt;10,"Mobile not 10 digits; ",""))&amp;IF(AG239="","Bank A/c missing; ","")&amp;IF(AH239="","IFSC missing; ",IF(LEN(AH239)&lt;&gt;11,"IFSC not 11 chars; ","")))</f>
        <v/>
      </c>
      <c r="AW239" s="46" t="str">
        <f aca="false">IF(AS239="","",AS239+ROW()/100000)</f>
        <v/>
      </c>
      <c r="AX239" s="46" t="str">
        <f aca="false">IF(AT239="","",AT239+ROW()/100000)</f>
        <v/>
      </c>
    </row>
    <row r="240" customFormat="false" ht="15" hidden="false" customHeight="false" outlineLevel="0" collapsed="false">
      <c r="A240" s="9" t="str">
        <f aca="false">IF(B240="","",ROW()-5)</f>
        <v/>
      </c>
      <c r="B240" s="40"/>
      <c r="C240" s="8"/>
      <c r="D240" s="9" t="str">
        <f aca="false">IF(B240="","",IF(J240="","Active","Exited"))</f>
        <v/>
      </c>
      <c r="E240" s="8"/>
      <c r="F240" s="8"/>
      <c r="G240" s="8"/>
      <c r="H240" s="9" t="str">
        <f aca="false">IF(OR(B240="",I240=""),"",IF(IF(J240="",AsOf,J240)-I240&gt;=Settings!$C$13,"Permanent","Probation"))</f>
        <v/>
      </c>
      <c r="I240" s="41"/>
      <c r="J240" s="41"/>
      <c r="K240" s="8"/>
      <c r="L240" s="42" t="str">
        <f aca="false">IF(OR(B240="",I240=""),"",ROUND((IF(J240="",AsOf,J240)-I240)/365.25,1))</f>
        <v/>
      </c>
      <c r="M240" s="8"/>
      <c r="N240" s="8"/>
      <c r="O240" s="8"/>
      <c r="P240" s="8"/>
      <c r="Q240" s="41"/>
      <c r="R240" s="43" t="str">
        <f aca="false">IF(OR(B240="",Q240=""),"",INT((AsOf-Q240)/365.25))</f>
        <v/>
      </c>
      <c r="S240" s="8"/>
      <c r="T240" s="40"/>
      <c r="U240" s="40"/>
      <c r="V240" s="40"/>
      <c r="W240" s="40"/>
      <c r="X240" s="8"/>
      <c r="Y240" s="8"/>
      <c r="Z240" s="8"/>
      <c r="AA240" s="8"/>
      <c r="AB240" s="8"/>
      <c r="AC240" s="8"/>
      <c r="AD240" s="8"/>
      <c r="AE240" s="40"/>
      <c r="AF240" s="8"/>
      <c r="AG240" s="40"/>
      <c r="AH240" s="40"/>
      <c r="AI240" s="8"/>
      <c r="AJ240" s="40"/>
      <c r="AK240" s="40"/>
      <c r="AL240" s="40"/>
      <c r="AM240" s="44"/>
      <c r="AN240" s="44"/>
      <c r="AO240" s="41"/>
      <c r="AP240" s="45" t="str">
        <f aca="false">IF(B240="","",IF(AND(ISNUMBER(AM240),ISNUMBER(AN240),AM240&gt;0,AN240&gt;0),AN240/AM240-1,""))</f>
        <v/>
      </c>
      <c r="AQ240" s="9" t="str">
        <f aca="false">IF(I240="","",(YEAR(I240)-IF(MONTH(I240)&lt;4,1,0))&amp;"-"&amp;RIGHT((YEAR(I240)-IF(MONTH(I240)&lt;4,1,0))+1,2))</f>
        <v/>
      </c>
      <c r="AR240" s="9" t="str">
        <f aca="false">IF(J240="","",(YEAR(J240)-IF(MONTH(J240)&lt;4,1,0))&amp;"-"&amp;RIGHT((YEAR(J240)-IF(MONTH(J240)&lt;4,1,0))+1,2))</f>
        <v/>
      </c>
      <c r="AS240" s="43" t="str">
        <f aca="false">IF(OR(B240="",Q240="",D240&lt;&gt;"Active"),"",DATE(YEAR(AsOf)+IF(DATE(YEAR(AsOf),MONTH(Q240),DAY(Q240))&lt;AsOf,1,0),MONTH(Q240),DAY(Q240))-AsOf)</f>
        <v/>
      </c>
      <c r="AT240" s="43" t="str">
        <f aca="false">IF(OR(B240="",I240="",D240&lt;&gt;"Active"),"",IF(YEAR(DATE(YEAR(AsOf)+IF(DATE(YEAR(AsOf),MONTH(I240),DAY(I240))&lt;AsOf,1,0),MONTH(I240),DAY(I240)))-YEAR(I240)&lt;1,"",DATE(YEAR(AsOf)+IF(DATE(YEAR(AsOf),MONTH(I240),DAY(I240))&lt;AsOf,1,0),MONTH(I240),DAY(I240))-AsOf))</f>
        <v/>
      </c>
      <c r="AU240" s="43" t="str">
        <f aca="false">IF(B240="","",IF(AV240="",0,LEN(AV240)-LEN(SUBSTITUTE(AV240,";",""))))</f>
        <v/>
      </c>
      <c r="AV240" s="9" t="str">
        <f aca="false">IF(B240="","",IF(COUNTIF($B$6:$B$505,B240)&gt;1,"Duplicate Emp Code; ","")&amp;IF(C240="","Name missing; ","")&amp;IF(I240="","DOJ missing; ","")&amp;IF(AND(J240&lt;&gt;"",I240&lt;&gt;"",J240&lt;I240),"Exit before DOJ; ","")&amp;IF(Q240="","DOB missing; ","")&amp;IF(T240="","Aadhaar missing; ",IF(LEN(T240)&lt;&gt;12,"Aadhaar not 12 digits; ",IF(COUNTIF($T$6:$T$505,T240)&gt;1,"Duplicate Aadhaar; ","")))&amp;IF(U240="","PAN missing; ",IF(LEN(U240)&lt;&gt;10,"PAN not 10 chars; ",""))&amp;IF(V240="","Mobile missing; ",IF(LEN(V240)&lt;&gt;10,"Mobile not 10 digits; ",""))&amp;IF(AG240="","Bank A/c missing; ","")&amp;IF(AH240="","IFSC missing; ",IF(LEN(AH240)&lt;&gt;11,"IFSC not 11 chars; ","")))</f>
        <v/>
      </c>
      <c r="AW240" s="46" t="str">
        <f aca="false">IF(AS240="","",AS240+ROW()/100000)</f>
        <v/>
      </c>
      <c r="AX240" s="46" t="str">
        <f aca="false">IF(AT240="","",AT240+ROW()/100000)</f>
        <v/>
      </c>
    </row>
    <row r="241" customFormat="false" ht="15" hidden="false" customHeight="false" outlineLevel="0" collapsed="false">
      <c r="A241" s="9" t="str">
        <f aca="false">IF(B241="","",ROW()-5)</f>
        <v/>
      </c>
      <c r="B241" s="40"/>
      <c r="C241" s="8"/>
      <c r="D241" s="9" t="str">
        <f aca="false">IF(B241="","",IF(J241="","Active","Exited"))</f>
        <v/>
      </c>
      <c r="E241" s="8"/>
      <c r="F241" s="8"/>
      <c r="G241" s="8"/>
      <c r="H241" s="9" t="str">
        <f aca="false">IF(OR(B241="",I241=""),"",IF(IF(J241="",AsOf,J241)-I241&gt;=Settings!$C$13,"Permanent","Probation"))</f>
        <v/>
      </c>
      <c r="I241" s="41"/>
      <c r="J241" s="41"/>
      <c r="K241" s="8"/>
      <c r="L241" s="42" t="str">
        <f aca="false">IF(OR(B241="",I241=""),"",ROUND((IF(J241="",AsOf,J241)-I241)/365.25,1))</f>
        <v/>
      </c>
      <c r="M241" s="8"/>
      <c r="N241" s="8"/>
      <c r="O241" s="8"/>
      <c r="P241" s="8"/>
      <c r="Q241" s="41"/>
      <c r="R241" s="43" t="str">
        <f aca="false">IF(OR(B241="",Q241=""),"",INT((AsOf-Q241)/365.25))</f>
        <v/>
      </c>
      <c r="S241" s="8"/>
      <c r="T241" s="40"/>
      <c r="U241" s="40"/>
      <c r="V241" s="40"/>
      <c r="W241" s="40"/>
      <c r="X241" s="8"/>
      <c r="Y241" s="8"/>
      <c r="Z241" s="8"/>
      <c r="AA241" s="8"/>
      <c r="AB241" s="8"/>
      <c r="AC241" s="8"/>
      <c r="AD241" s="8"/>
      <c r="AE241" s="40"/>
      <c r="AF241" s="8"/>
      <c r="AG241" s="40"/>
      <c r="AH241" s="40"/>
      <c r="AI241" s="8"/>
      <c r="AJ241" s="40"/>
      <c r="AK241" s="40"/>
      <c r="AL241" s="40"/>
      <c r="AM241" s="44"/>
      <c r="AN241" s="44"/>
      <c r="AO241" s="41"/>
      <c r="AP241" s="45" t="str">
        <f aca="false">IF(B241="","",IF(AND(ISNUMBER(AM241),ISNUMBER(AN241),AM241&gt;0,AN241&gt;0),AN241/AM241-1,""))</f>
        <v/>
      </c>
      <c r="AQ241" s="9" t="str">
        <f aca="false">IF(I241="","",(YEAR(I241)-IF(MONTH(I241)&lt;4,1,0))&amp;"-"&amp;RIGHT((YEAR(I241)-IF(MONTH(I241)&lt;4,1,0))+1,2))</f>
        <v/>
      </c>
      <c r="AR241" s="9" t="str">
        <f aca="false">IF(J241="","",(YEAR(J241)-IF(MONTH(J241)&lt;4,1,0))&amp;"-"&amp;RIGHT((YEAR(J241)-IF(MONTH(J241)&lt;4,1,0))+1,2))</f>
        <v/>
      </c>
      <c r="AS241" s="43" t="str">
        <f aca="false">IF(OR(B241="",Q241="",D241&lt;&gt;"Active"),"",DATE(YEAR(AsOf)+IF(DATE(YEAR(AsOf),MONTH(Q241),DAY(Q241))&lt;AsOf,1,0),MONTH(Q241),DAY(Q241))-AsOf)</f>
        <v/>
      </c>
      <c r="AT241" s="43" t="str">
        <f aca="false">IF(OR(B241="",I241="",D241&lt;&gt;"Active"),"",IF(YEAR(DATE(YEAR(AsOf)+IF(DATE(YEAR(AsOf),MONTH(I241),DAY(I241))&lt;AsOf,1,0),MONTH(I241),DAY(I241)))-YEAR(I241)&lt;1,"",DATE(YEAR(AsOf)+IF(DATE(YEAR(AsOf),MONTH(I241),DAY(I241))&lt;AsOf,1,0),MONTH(I241),DAY(I241))-AsOf))</f>
        <v/>
      </c>
      <c r="AU241" s="43" t="str">
        <f aca="false">IF(B241="","",IF(AV241="",0,LEN(AV241)-LEN(SUBSTITUTE(AV241,";",""))))</f>
        <v/>
      </c>
      <c r="AV241" s="9" t="str">
        <f aca="false">IF(B241="","",IF(COUNTIF($B$6:$B$505,B241)&gt;1,"Duplicate Emp Code; ","")&amp;IF(C241="","Name missing; ","")&amp;IF(I241="","DOJ missing; ","")&amp;IF(AND(J241&lt;&gt;"",I241&lt;&gt;"",J241&lt;I241),"Exit before DOJ; ","")&amp;IF(Q241="","DOB missing; ","")&amp;IF(T241="","Aadhaar missing; ",IF(LEN(T241)&lt;&gt;12,"Aadhaar not 12 digits; ",IF(COUNTIF($T$6:$T$505,T241)&gt;1,"Duplicate Aadhaar; ","")))&amp;IF(U241="","PAN missing; ",IF(LEN(U241)&lt;&gt;10,"PAN not 10 chars; ",""))&amp;IF(V241="","Mobile missing; ",IF(LEN(V241)&lt;&gt;10,"Mobile not 10 digits; ",""))&amp;IF(AG241="","Bank A/c missing; ","")&amp;IF(AH241="","IFSC missing; ",IF(LEN(AH241)&lt;&gt;11,"IFSC not 11 chars; ","")))</f>
        <v/>
      </c>
      <c r="AW241" s="46" t="str">
        <f aca="false">IF(AS241="","",AS241+ROW()/100000)</f>
        <v/>
      </c>
      <c r="AX241" s="46" t="str">
        <f aca="false">IF(AT241="","",AT241+ROW()/100000)</f>
        <v/>
      </c>
    </row>
    <row r="242" customFormat="false" ht="15" hidden="false" customHeight="false" outlineLevel="0" collapsed="false">
      <c r="A242" s="9" t="str">
        <f aca="false">IF(B242="","",ROW()-5)</f>
        <v/>
      </c>
      <c r="B242" s="40"/>
      <c r="C242" s="8"/>
      <c r="D242" s="9" t="str">
        <f aca="false">IF(B242="","",IF(J242="","Active","Exited"))</f>
        <v/>
      </c>
      <c r="E242" s="8"/>
      <c r="F242" s="8"/>
      <c r="G242" s="8"/>
      <c r="H242" s="9" t="str">
        <f aca="false">IF(OR(B242="",I242=""),"",IF(IF(J242="",AsOf,J242)-I242&gt;=Settings!$C$13,"Permanent","Probation"))</f>
        <v/>
      </c>
      <c r="I242" s="41"/>
      <c r="J242" s="41"/>
      <c r="K242" s="8"/>
      <c r="L242" s="42" t="str">
        <f aca="false">IF(OR(B242="",I242=""),"",ROUND((IF(J242="",AsOf,J242)-I242)/365.25,1))</f>
        <v/>
      </c>
      <c r="M242" s="8"/>
      <c r="N242" s="8"/>
      <c r="O242" s="8"/>
      <c r="P242" s="8"/>
      <c r="Q242" s="41"/>
      <c r="R242" s="43" t="str">
        <f aca="false">IF(OR(B242="",Q242=""),"",INT((AsOf-Q242)/365.25))</f>
        <v/>
      </c>
      <c r="S242" s="8"/>
      <c r="T242" s="40"/>
      <c r="U242" s="40"/>
      <c r="V242" s="40"/>
      <c r="W242" s="40"/>
      <c r="X242" s="8"/>
      <c r="Y242" s="8"/>
      <c r="Z242" s="8"/>
      <c r="AA242" s="8"/>
      <c r="AB242" s="8"/>
      <c r="AC242" s="8"/>
      <c r="AD242" s="8"/>
      <c r="AE242" s="40"/>
      <c r="AF242" s="8"/>
      <c r="AG242" s="40"/>
      <c r="AH242" s="40"/>
      <c r="AI242" s="8"/>
      <c r="AJ242" s="40"/>
      <c r="AK242" s="40"/>
      <c r="AL242" s="40"/>
      <c r="AM242" s="44"/>
      <c r="AN242" s="44"/>
      <c r="AO242" s="41"/>
      <c r="AP242" s="45" t="str">
        <f aca="false">IF(B242="","",IF(AND(ISNUMBER(AM242),ISNUMBER(AN242),AM242&gt;0,AN242&gt;0),AN242/AM242-1,""))</f>
        <v/>
      </c>
      <c r="AQ242" s="9" t="str">
        <f aca="false">IF(I242="","",(YEAR(I242)-IF(MONTH(I242)&lt;4,1,0))&amp;"-"&amp;RIGHT((YEAR(I242)-IF(MONTH(I242)&lt;4,1,0))+1,2))</f>
        <v/>
      </c>
      <c r="AR242" s="9" t="str">
        <f aca="false">IF(J242="","",(YEAR(J242)-IF(MONTH(J242)&lt;4,1,0))&amp;"-"&amp;RIGHT((YEAR(J242)-IF(MONTH(J242)&lt;4,1,0))+1,2))</f>
        <v/>
      </c>
      <c r="AS242" s="43" t="str">
        <f aca="false">IF(OR(B242="",Q242="",D242&lt;&gt;"Active"),"",DATE(YEAR(AsOf)+IF(DATE(YEAR(AsOf),MONTH(Q242),DAY(Q242))&lt;AsOf,1,0),MONTH(Q242),DAY(Q242))-AsOf)</f>
        <v/>
      </c>
      <c r="AT242" s="43" t="str">
        <f aca="false">IF(OR(B242="",I242="",D242&lt;&gt;"Active"),"",IF(YEAR(DATE(YEAR(AsOf)+IF(DATE(YEAR(AsOf),MONTH(I242),DAY(I242))&lt;AsOf,1,0),MONTH(I242),DAY(I242)))-YEAR(I242)&lt;1,"",DATE(YEAR(AsOf)+IF(DATE(YEAR(AsOf),MONTH(I242),DAY(I242))&lt;AsOf,1,0),MONTH(I242),DAY(I242))-AsOf))</f>
        <v/>
      </c>
      <c r="AU242" s="43" t="str">
        <f aca="false">IF(B242="","",IF(AV242="",0,LEN(AV242)-LEN(SUBSTITUTE(AV242,";",""))))</f>
        <v/>
      </c>
      <c r="AV242" s="9" t="str">
        <f aca="false">IF(B242="","",IF(COUNTIF($B$6:$B$505,B242)&gt;1,"Duplicate Emp Code; ","")&amp;IF(C242="","Name missing; ","")&amp;IF(I242="","DOJ missing; ","")&amp;IF(AND(J242&lt;&gt;"",I242&lt;&gt;"",J242&lt;I242),"Exit before DOJ; ","")&amp;IF(Q242="","DOB missing; ","")&amp;IF(T242="","Aadhaar missing; ",IF(LEN(T242)&lt;&gt;12,"Aadhaar not 12 digits; ",IF(COUNTIF($T$6:$T$505,T242)&gt;1,"Duplicate Aadhaar; ","")))&amp;IF(U242="","PAN missing; ",IF(LEN(U242)&lt;&gt;10,"PAN not 10 chars; ",""))&amp;IF(V242="","Mobile missing; ",IF(LEN(V242)&lt;&gt;10,"Mobile not 10 digits; ",""))&amp;IF(AG242="","Bank A/c missing; ","")&amp;IF(AH242="","IFSC missing; ",IF(LEN(AH242)&lt;&gt;11,"IFSC not 11 chars; ","")))</f>
        <v/>
      </c>
      <c r="AW242" s="46" t="str">
        <f aca="false">IF(AS242="","",AS242+ROW()/100000)</f>
        <v/>
      </c>
      <c r="AX242" s="46" t="str">
        <f aca="false">IF(AT242="","",AT242+ROW()/100000)</f>
        <v/>
      </c>
    </row>
    <row r="243" customFormat="false" ht="15" hidden="false" customHeight="false" outlineLevel="0" collapsed="false">
      <c r="A243" s="9" t="str">
        <f aca="false">IF(B243="","",ROW()-5)</f>
        <v/>
      </c>
      <c r="B243" s="40"/>
      <c r="C243" s="8"/>
      <c r="D243" s="9" t="str">
        <f aca="false">IF(B243="","",IF(J243="","Active","Exited"))</f>
        <v/>
      </c>
      <c r="E243" s="8"/>
      <c r="F243" s="8"/>
      <c r="G243" s="8"/>
      <c r="H243" s="9" t="str">
        <f aca="false">IF(OR(B243="",I243=""),"",IF(IF(J243="",AsOf,J243)-I243&gt;=Settings!$C$13,"Permanent","Probation"))</f>
        <v/>
      </c>
      <c r="I243" s="41"/>
      <c r="J243" s="41"/>
      <c r="K243" s="8"/>
      <c r="L243" s="42" t="str">
        <f aca="false">IF(OR(B243="",I243=""),"",ROUND((IF(J243="",AsOf,J243)-I243)/365.25,1))</f>
        <v/>
      </c>
      <c r="M243" s="8"/>
      <c r="N243" s="8"/>
      <c r="O243" s="8"/>
      <c r="P243" s="8"/>
      <c r="Q243" s="41"/>
      <c r="R243" s="43" t="str">
        <f aca="false">IF(OR(B243="",Q243=""),"",INT((AsOf-Q243)/365.25))</f>
        <v/>
      </c>
      <c r="S243" s="8"/>
      <c r="T243" s="40"/>
      <c r="U243" s="40"/>
      <c r="V243" s="40"/>
      <c r="W243" s="40"/>
      <c r="X243" s="8"/>
      <c r="Y243" s="8"/>
      <c r="Z243" s="8"/>
      <c r="AA243" s="8"/>
      <c r="AB243" s="8"/>
      <c r="AC243" s="8"/>
      <c r="AD243" s="8"/>
      <c r="AE243" s="40"/>
      <c r="AF243" s="8"/>
      <c r="AG243" s="40"/>
      <c r="AH243" s="40"/>
      <c r="AI243" s="8"/>
      <c r="AJ243" s="40"/>
      <c r="AK243" s="40"/>
      <c r="AL243" s="40"/>
      <c r="AM243" s="44"/>
      <c r="AN243" s="44"/>
      <c r="AO243" s="41"/>
      <c r="AP243" s="45" t="str">
        <f aca="false">IF(B243="","",IF(AND(ISNUMBER(AM243),ISNUMBER(AN243),AM243&gt;0,AN243&gt;0),AN243/AM243-1,""))</f>
        <v/>
      </c>
      <c r="AQ243" s="9" t="str">
        <f aca="false">IF(I243="","",(YEAR(I243)-IF(MONTH(I243)&lt;4,1,0))&amp;"-"&amp;RIGHT((YEAR(I243)-IF(MONTH(I243)&lt;4,1,0))+1,2))</f>
        <v/>
      </c>
      <c r="AR243" s="9" t="str">
        <f aca="false">IF(J243="","",(YEAR(J243)-IF(MONTH(J243)&lt;4,1,0))&amp;"-"&amp;RIGHT((YEAR(J243)-IF(MONTH(J243)&lt;4,1,0))+1,2))</f>
        <v/>
      </c>
      <c r="AS243" s="43" t="str">
        <f aca="false">IF(OR(B243="",Q243="",D243&lt;&gt;"Active"),"",DATE(YEAR(AsOf)+IF(DATE(YEAR(AsOf),MONTH(Q243),DAY(Q243))&lt;AsOf,1,0),MONTH(Q243),DAY(Q243))-AsOf)</f>
        <v/>
      </c>
      <c r="AT243" s="43" t="str">
        <f aca="false">IF(OR(B243="",I243="",D243&lt;&gt;"Active"),"",IF(YEAR(DATE(YEAR(AsOf)+IF(DATE(YEAR(AsOf),MONTH(I243),DAY(I243))&lt;AsOf,1,0),MONTH(I243),DAY(I243)))-YEAR(I243)&lt;1,"",DATE(YEAR(AsOf)+IF(DATE(YEAR(AsOf),MONTH(I243),DAY(I243))&lt;AsOf,1,0),MONTH(I243),DAY(I243))-AsOf))</f>
        <v/>
      </c>
      <c r="AU243" s="43" t="str">
        <f aca="false">IF(B243="","",IF(AV243="",0,LEN(AV243)-LEN(SUBSTITUTE(AV243,";",""))))</f>
        <v/>
      </c>
      <c r="AV243" s="9" t="str">
        <f aca="false">IF(B243="","",IF(COUNTIF($B$6:$B$505,B243)&gt;1,"Duplicate Emp Code; ","")&amp;IF(C243="","Name missing; ","")&amp;IF(I243="","DOJ missing; ","")&amp;IF(AND(J243&lt;&gt;"",I243&lt;&gt;"",J243&lt;I243),"Exit before DOJ; ","")&amp;IF(Q243="","DOB missing; ","")&amp;IF(T243="","Aadhaar missing; ",IF(LEN(T243)&lt;&gt;12,"Aadhaar not 12 digits; ",IF(COUNTIF($T$6:$T$505,T243)&gt;1,"Duplicate Aadhaar; ","")))&amp;IF(U243="","PAN missing; ",IF(LEN(U243)&lt;&gt;10,"PAN not 10 chars; ",""))&amp;IF(V243="","Mobile missing; ",IF(LEN(V243)&lt;&gt;10,"Mobile not 10 digits; ",""))&amp;IF(AG243="","Bank A/c missing; ","")&amp;IF(AH243="","IFSC missing; ",IF(LEN(AH243)&lt;&gt;11,"IFSC not 11 chars; ","")))</f>
        <v/>
      </c>
      <c r="AW243" s="46" t="str">
        <f aca="false">IF(AS243="","",AS243+ROW()/100000)</f>
        <v/>
      </c>
      <c r="AX243" s="46" t="str">
        <f aca="false">IF(AT243="","",AT243+ROW()/100000)</f>
        <v/>
      </c>
    </row>
    <row r="244" customFormat="false" ht="15" hidden="false" customHeight="false" outlineLevel="0" collapsed="false">
      <c r="A244" s="9" t="str">
        <f aca="false">IF(B244="","",ROW()-5)</f>
        <v/>
      </c>
      <c r="B244" s="40"/>
      <c r="C244" s="8"/>
      <c r="D244" s="9" t="str">
        <f aca="false">IF(B244="","",IF(J244="","Active","Exited"))</f>
        <v/>
      </c>
      <c r="E244" s="8"/>
      <c r="F244" s="8"/>
      <c r="G244" s="8"/>
      <c r="H244" s="9" t="str">
        <f aca="false">IF(OR(B244="",I244=""),"",IF(IF(J244="",AsOf,J244)-I244&gt;=Settings!$C$13,"Permanent","Probation"))</f>
        <v/>
      </c>
      <c r="I244" s="41"/>
      <c r="J244" s="41"/>
      <c r="K244" s="8"/>
      <c r="L244" s="42" t="str">
        <f aca="false">IF(OR(B244="",I244=""),"",ROUND((IF(J244="",AsOf,J244)-I244)/365.25,1))</f>
        <v/>
      </c>
      <c r="M244" s="8"/>
      <c r="N244" s="8"/>
      <c r="O244" s="8"/>
      <c r="P244" s="8"/>
      <c r="Q244" s="41"/>
      <c r="R244" s="43" t="str">
        <f aca="false">IF(OR(B244="",Q244=""),"",INT((AsOf-Q244)/365.25))</f>
        <v/>
      </c>
      <c r="S244" s="8"/>
      <c r="T244" s="40"/>
      <c r="U244" s="40"/>
      <c r="V244" s="40"/>
      <c r="W244" s="40"/>
      <c r="X244" s="8"/>
      <c r="Y244" s="8"/>
      <c r="Z244" s="8"/>
      <c r="AA244" s="8"/>
      <c r="AB244" s="8"/>
      <c r="AC244" s="8"/>
      <c r="AD244" s="8"/>
      <c r="AE244" s="40"/>
      <c r="AF244" s="8"/>
      <c r="AG244" s="40"/>
      <c r="AH244" s="40"/>
      <c r="AI244" s="8"/>
      <c r="AJ244" s="40"/>
      <c r="AK244" s="40"/>
      <c r="AL244" s="40"/>
      <c r="AM244" s="44"/>
      <c r="AN244" s="44"/>
      <c r="AO244" s="41"/>
      <c r="AP244" s="45" t="str">
        <f aca="false">IF(B244="","",IF(AND(ISNUMBER(AM244),ISNUMBER(AN244),AM244&gt;0,AN244&gt;0),AN244/AM244-1,""))</f>
        <v/>
      </c>
      <c r="AQ244" s="9" t="str">
        <f aca="false">IF(I244="","",(YEAR(I244)-IF(MONTH(I244)&lt;4,1,0))&amp;"-"&amp;RIGHT((YEAR(I244)-IF(MONTH(I244)&lt;4,1,0))+1,2))</f>
        <v/>
      </c>
      <c r="AR244" s="9" t="str">
        <f aca="false">IF(J244="","",(YEAR(J244)-IF(MONTH(J244)&lt;4,1,0))&amp;"-"&amp;RIGHT((YEAR(J244)-IF(MONTH(J244)&lt;4,1,0))+1,2))</f>
        <v/>
      </c>
      <c r="AS244" s="43" t="str">
        <f aca="false">IF(OR(B244="",Q244="",D244&lt;&gt;"Active"),"",DATE(YEAR(AsOf)+IF(DATE(YEAR(AsOf),MONTH(Q244),DAY(Q244))&lt;AsOf,1,0),MONTH(Q244),DAY(Q244))-AsOf)</f>
        <v/>
      </c>
      <c r="AT244" s="43" t="str">
        <f aca="false">IF(OR(B244="",I244="",D244&lt;&gt;"Active"),"",IF(YEAR(DATE(YEAR(AsOf)+IF(DATE(YEAR(AsOf),MONTH(I244),DAY(I244))&lt;AsOf,1,0),MONTH(I244),DAY(I244)))-YEAR(I244)&lt;1,"",DATE(YEAR(AsOf)+IF(DATE(YEAR(AsOf),MONTH(I244),DAY(I244))&lt;AsOf,1,0),MONTH(I244),DAY(I244))-AsOf))</f>
        <v/>
      </c>
      <c r="AU244" s="43" t="str">
        <f aca="false">IF(B244="","",IF(AV244="",0,LEN(AV244)-LEN(SUBSTITUTE(AV244,";",""))))</f>
        <v/>
      </c>
      <c r="AV244" s="9" t="str">
        <f aca="false">IF(B244="","",IF(COUNTIF($B$6:$B$505,B244)&gt;1,"Duplicate Emp Code; ","")&amp;IF(C244="","Name missing; ","")&amp;IF(I244="","DOJ missing; ","")&amp;IF(AND(J244&lt;&gt;"",I244&lt;&gt;"",J244&lt;I244),"Exit before DOJ; ","")&amp;IF(Q244="","DOB missing; ","")&amp;IF(T244="","Aadhaar missing; ",IF(LEN(T244)&lt;&gt;12,"Aadhaar not 12 digits; ",IF(COUNTIF($T$6:$T$505,T244)&gt;1,"Duplicate Aadhaar; ","")))&amp;IF(U244="","PAN missing; ",IF(LEN(U244)&lt;&gt;10,"PAN not 10 chars; ",""))&amp;IF(V244="","Mobile missing; ",IF(LEN(V244)&lt;&gt;10,"Mobile not 10 digits; ",""))&amp;IF(AG244="","Bank A/c missing; ","")&amp;IF(AH244="","IFSC missing; ",IF(LEN(AH244)&lt;&gt;11,"IFSC not 11 chars; ","")))</f>
        <v/>
      </c>
      <c r="AW244" s="46" t="str">
        <f aca="false">IF(AS244="","",AS244+ROW()/100000)</f>
        <v/>
      </c>
      <c r="AX244" s="46" t="str">
        <f aca="false">IF(AT244="","",AT244+ROW()/100000)</f>
        <v/>
      </c>
    </row>
    <row r="245" customFormat="false" ht="15" hidden="false" customHeight="false" outlineLevel="0" collapsed="false">
      <c r="A245" s="9" t="str">
        <f aca="false">IF(B245="","",ROW()-5)</f>
        <v/>
      </c>
      <c r="B245" s="40"/>
      <c r="C245" s="8"/>
      <c r="D245" s="9" t="str">
        <f aca="false">IF(B245="","",IF(J245="","Active","Exited"))</f>
        <v/>
      </c>
      <c r="E245" s="8"/>
      <c r="F245" s="8"/>
      <c r="G245" s="8"/>
      <c r="H245" s="9" t="str">
        <f aca="false">IF(OR(B245="",I245=""),"",IF(IF(J245="",AsOf,J245)-I245&gt;=Settings!$C$13,"Permanent","Probation"))</f>
        <v/>
      </c>
      <c r="I245" s="41"/>
      <c r="J245" s="41"/>
      <c r="K245" s="8"/>
      <c r="L245" s="42" t="str">
        <f aca="false">IF(OR(B245="",I245=""),"",ROUND((IF(J245="",AsOf,J245)-I245)/365.25,1))</f>
        <v/>
      </c>
      <c r="M245" s="8"/>
      <c r="N245" s="8"/>
      <c r="O245" s="8"/>
      <c r="P245" s="8"/>
      <c r="Q245" s="41"/>
      <c r="R245" s="43" t="str">
        <f aca="false">IF(OR(B245="",Q245=""),"",INT((AsOf-Q245)/365.25))</f>
        <v/>
      </c>
      <c r="S245" s="8"/>
      <c r="T245" s="40"/>
      <c r="U245" s="40"/>
      <c r="V245" s="40"/>
      <c r="W245" s="40"/>
      <c r="X245" s="8"/>
      <c r="Y245" s="8"/>
      <c r="Z245" s="8"/>
      <c r="AA245" s="8"/>
      <c r="AB245" s="8"/>
      <c r="AC245" s="8"/>
      <c r="AD245" s="8"/>
      <c r="AE245" s="40"/>
      <c r="AF245" s="8"/>
      <c r="AG245" s="40"/>
      <c r="AH245" s="40"/>
      <c r="AI245" s="8"/>
      <c r="AJ245" s="40"/>
      <c r="AK245" s="40"/>
      <c r="AL245" s="40"/>
      <c r="AM245" s="44"/>
      <c r="AN245" s="44"/>
      <c r="AO245" s="41"/>
      <c r="AP245" s="45" t="str">
        <f aca="false">IF(B245="","",IF(AND(ISNUMBER(AM245),ISNUMBER(AN245),AM245&gt;0,AN245&gt;0),AN245/AM245-1,""))</f>
        <v/>
      </c>
      <c r="AQ245" s="9" t="str">
        <f aca="false">IF(I245="","",(YEAR(I245)-IF(MONTH(I245)&lt;4,1,0))&amp;"-"&amp;RIGHT((YEAR(I245)-IF(MONTH(I245)&lt;4,1,0))+1,2))</f>
        <v/>
      </c>
      <c r="AR245" s="9" t="str">
        <f aca="false">IF(J245="","",(YEAR(J245)-IF(MONTH(J245)&lt;4,1,0))&amp;"-"&amp;RIGHT((YEAR(J245)-IF(MONTH(J245)&lt;4,1,0))+1,2))</f>
        <v/>
      </c>
      <c r="AS245" s="43" t="str">
        <f aca="false">IF(OR(B245="",Q245="",D245&lt;&gt;"Active"),"",DATE(YEAR(AsOf)+IF(DATE(YEAR(AsOf),MONTH(Q245),DAY(Q245))&lt;AsOf,1,0),MONTH(Q245),DAY(Q245))-AsOf)</f>
        <v/>
      </c>
      <c r="AT245" s="43" t="str">
        <f aca="false">IF(OR(B245="",I245="",D245&lt;&gt;"Active"),"",IF(YEAR(DATE(YEAR(AsOf)+IF(DATE(YEAR(AsOf),MONTH(I245),DAY(I245))&lt;AsOf,1,0),MONTH(I245),DAY(I245)))-YEAR(I245)&lt;1,"",DATE(YEAR(AsOf)+IF(DATE(YEAR(AsOf),MONTH(I245),DAY(I245))&lt;AsOf,1,0),MONTH(I245),DAY(I245))-AsOf))</f>
        <v/>
      </c>
      <c r="AU245" s="43" t="str">
        <f aca="false">IF(B245="","",IF(AV245="",0,LEN(AV245)-LEN(SUBSTITUTE(AV245,";",""))))</f>
        <v/>
      </c>
      <c r="AV245" s="9" t="str">
        <f aca="false">IF(B245="","",IF(COUNTIF($B$6:$B$505,B245)&gt;1,"Duplicate Emp Code; ","")&amp;IF(C245="","Name missing; ","")&amp;IF(I245="","DOJ missing; ","")&amp;IF(AND(J245&lt;&gt;"",I245&lt;&gt;"",J245&lt;I245),"Exit before DOJ; ","")&amp;IF(Q245="","DOB missing; ","")&amp;IF(T245="","Aadhaar missing; ",IF(LEN(T245)&lt;&gt;12,"Aadhaar not 12 digits; ",IF(COUNTIF($T$6:$T$505,T245)&gt;1,"Duplicate Aadhaar; ","")))&amp;IF(U245="","PAN missing; ",IF(LEN(U245)&lt;&gt;10,"PAN not 10 chars; ",""))&amp;IF(V245="","Mobile missing; ",IF(LEN(V245)&lt;&gt;10,"Mobile not 10 digits; ",""))&amp;IF(AG245="","Bank A/c missing; ","")&amp;IF(AH245="","IFSC missing; ",IF(LEN(AH245)&lt;&gt;11,"IFSC not 11 chars; ","")))</f>
        <v/>
      </c>
      <c r="AW245" s="46" t="str">
        <f aca="false">IF(AS245="","",AS245+ROW()/100000)</f>
        <v/>
      </c>
      <c r="AX245" s="46" t="str">
        <f aca="false">IF(AT245="","",AT245+ROW()/100000)</f>
        <v/>
      </c>
    </row>
    <row r="246" customFormat="false" ht="15" hidden="false" customHeight="false" outlineLevel="0" collapsed="false">
      <c r="A246" s="9" t="str">
        <f aca="false">IF(B246="","",ROW()-5)</f>
        <v/>
      </c>
      <c r="B246" s="40"/>
      <c r="C246" s="8"/>
      <c r="D246" s="9" t="str">
        <f aca="false">IF(B246="","",IF(J246="","Active","Exited"))</f>
        <v/>
      </c>
      <c r="E246" s="8"/>
      <c r="F246" s="8"/>
      <c r="G246" s="8"/>
      <c r="H246" s="9" t="str">
        <f aca="false">IF(OR(B246="",I246=""),"",IF(IF(J246="",AsOf,J246)-I246&gt;=Settings!$C$13,"Permanent","Probation"))</f>
        <v/>
      </c>
      <c r="I246" s="41"/>
      <c r="J246" s="41"/>
      <c r="K246" s="8"/>
      <c r="L246" s="42" t="str">
        <f aca="false">IF(OR(B246="",I246=""),"",ROUND((IF(J246="",AsOf,J246)-I246)/365.25,1))</f>
        <v/>
      </c>
      <c r="M246" s="8"/>
      <c r="N246" s="8"/>
      <c r="O246" s="8"/>
      <c r="P246" s="8"/>
      <c r="Q246" s="41"/>
      <c r="R246" s="43" t="str">
        <f aca="false">IF(OR(B246="",Q246=""),"",INT((AsOf-Q246)/365.25))</f>
        <v/>
      </c>
      <c r="S246" s="8"/>
      <c r="T246" s="40"/>
      <c r="U246" s="40"/>
      <c r="V246" s="40"/>
      <c r="W246" s="40"/>
      <c r="X246" s="8"/>
      <c r="Y246" s="8"/>
      <c r="Z246" s="8"/>
      <c r="AA246" s="8"/>
      <c r="AB246" s="8"/>
      <c r="AC246" s="8"/>
      <c r="AD246" s="8"/>
      <c r="AE246" s="40"/>
      <c r="AF246" s="8"/>
      <c r="AG246" s="40"/>
      <c r="AH246" s="40"/>
      <c r="AI246" s="8"/>
      <c r="AJ246" s="40"/>
      <c r="AK246" s="40"/>
      <c r="AL246" s="40"/>
      <c r="AM246" s="44"/>
      <c r="AN246" s="44"/>
      <c r="AO246" s="41"/>
      <c r="AP246" s="45" t="str">
        <f aca="false">IF(B246="","",IF(AND(ISNUMBER(AM246),ISNUMBER(AN246),AM246&gt;0,AN246&gt;0),AN246/AM246-1,""))</f>
        <v/>
      </c>
      <c r="AQ246" s="9" t="str">
        <f aca="false">IF(I246="","",(YEAR(I246)-IF(MONTH(I246)&lt;4,1,0))&amp;"-"&amp;RIGHT((YEAR(I246)-IF(MONTH(I246)&lt;4,1,0))+1,2))</f>
        <v/>
      </c>
      <c r="AR246" s="9" t="str">
        <f aca="false">IF(J246="","",(YEAR(J246)-IF(MONTH(J246)&lt;4,1,0))&amp;"-"&amp;RIGHT((YEAR(J246)-IF(MONTH(J246)&lt;4,1,0))+1,2))</f>
        <v/>
      </c>
      <c r="AS246" s="43" t="str">
        <f aca="false">IF(OR(B246="",Q246="",D246&lt;&gt;"Active"),"",DATE(YEAR(AsOf)+IF(DATE(YEAR(AsOf),MONTH(Q246),DAY(Q246))&lt;AsOf,1,0),MONTH(Q246),DAY(Q246))-AsOf)</f>
        <v/>
      </c>
      <c r="AT246" s="43" t="str">
        <f aca="false">IF(OR(B246="",I246="",D246&lt;&gt;"Active"),"",IF(YEAR(DATE(YEAR(AsOf)+IF(DATE(YEAR(AsOf),MONTH(I246),DAY(I246))&lt;AsOf,1,0),MONTH(I246),DAY(I246)))-YEAR(I246)&lt;1,"",DATE(YEAR(AsOf)+IF(DATE(YEAR(AsOf),MONTH(I246),DAY(I246))&lt;AsOf,1,0),MONTH(I246),DAY(I246))-AsOf))</f>
        <v/>
      </c>
      <c r="AU246" s="43" t="str">
        <f aca="false">IF(B246="","",IF(AV246="",0,LEN(AV246)-LEN(SUBSTITUTE(AV246,";",""))))</f>
        <v/>
      </c>
      <c r="AV246" s="9" t="str">
        <f aca="false">IF(B246="","",IF(COUNTIF($B$6:$B$505,B246)&gt;1,"Duplicate Emp Code; ","")&amp;IF(C246="","Name missing; ","")&amp;IF(I246="","DOJ missing; ","")&amp;IF(AND(J246&lt;&gt;"",I246&lt;&gt;"",J246&lt;I246),"Exit before DOJ; ","")&amp;IF(Q246="","DOB missing; ","")&amp;IF(T246="","Aadhaar missing; ",IF(LEN(T246)&lt;&gt;12,"Aadhaar not 12 digits; ",IF(COUNTIF($T$6:$T$505,T246)&gt;1,"Duplicate Aadhaar; ","")))&amp;IF(U246="","PAN missing; ",IF(LEN(U246)&lt;&gt;10,"PAN not 10 chars; ",""))&amp;IF(V246="","Mobile missing; ",IF(LEN(V246)&lt;&gt;10,"Mobile not 10 digits; ",""))&amp;IF(AG246="","Bank A/c missing; ","")&amp;IF(AH246="","IFSC missing; ",IF(LEN(AH246)&lt;&gt;11,"IFSC not 11 chars; ","")))</f>
        <v/>
      </c>
      <c r="AW246" s="46" t="str">
        <f aca="false">IF(AS246="","",AS246+ROW()/100000)</f>
        <v/>
      </c>
      <c r="AX246" s="46" t="str">
        <f aca="false">IF(AT246="","",AT246+ROW()/100000)</f>
        <v/>
      </c>
    </row>
    <row r="247" customFormat="false" ht="15" hidden="false" customHeight="false" outlineLevel="0" collapsed="false">
      <c r="A247" s="9" t="str">
        <f aca="false">IF(B247="","",ROW()-5)</f>
        <v/>
      </c>
      <c r="B247" s="40"/>
      <c r="C247" s="8"/>
      <c r="D247" s="9" t="str">
        <f aca="false">IF(B247="","",IF(J247="","Active","Exited"))</f>
        <v/>
      </c>
      <c r="E247" s="8"/>
      <c r="F247" s="8"/>
      <c r="G247" s="8"/>
      <c r="H247" s="9" t="str">
        <f aca="false">IF(OR(B247="",I247=""),"",IF(IF(J247="",AsOf,J247)-I247&gt;=Settings!$C$13,"Permanent","Probation"))</f>
        <v/>
      </c>
      <c r="I247" s="41"/>
      <c r="J247" s="41"/>
      <c r="K247" s="8"/>
      <c r="L247" s="42" t="str">
        <f aca="false">IF(OR(B247="",I247=""),"",ROUND((IF(J247="",AsOf,J247)-I247)/365.25,1))</f>
        <v/>
      </c>
      <c r="M247" s="8"/>
      <c r="N247" s="8"/>
      <c r="O247" s="8"/>
      <c r="P247" s="8"/>
      <c r="Q247" s="41"/>
      <c r="R247" s="43" t="str">
        <f aca="false">IF(OR(B247="",Q247=""),"",INT((AsOf-Q247)/365.25))</f>
        <v/>
      </c>
      <c r="S247" s="8"/>
      <c r="T247" s="40"/>
      <c r="U247" s="40"/>
      <c r="V247" s="40"/>
      <c r="W247" s="40"/>
      <c r="X247" s="8"/>
      <c r="Y247" s="8"/>
      <c r="Z247" s="8"/>
      <c r="AA247" s="8"/>
      <c r="AB247" s="8"/>
      <c r="AC247" s="8"/>
      <c r="AD247" s="8"/>
      <c r="AE247" s="40"/>
      <c r="AF247" s="8"/>
      <c r="AG247" s="40"/>
      <c r="AH247" s="40"/>
      <c r="AI247" s="8"/>
      <c r="AJ247" s="40"/>
      <c r="AK247" s="40"/>
      <c r="AL247" s="40"/>
      <c r="AM247" s="44"/>
      <c r="AN247" s="44"/>
      <c r="AO247" s="41"/>
      <c r="AP247" s="45" t="str">
        <f aca="false">IF(B247="","",IF(AND(ISNUMBER(AM247),ISNUMBER(AN247),AM247&gt;0,AN247&gt;0),AN247/AM247-1,""))</f>
        <v/>
      </c>
      <c r="AQ247" s="9" t="str">
        <f aca="false">IF(I247="","",(YEAR(I247)-IF(MONTH(I247)&lt;4,1,0))&amp;"-"&amp;RIGHT((YEAR(I247)-IF(MONTH(I247)&lt;4,1,0))+1,2))</f>
        <v/>
      </c>
      <c r="AR247" s="9" t="str">
        <f aca="false">IF(J247="","",(YEAR(J247)-IF(MONTH(J247)&lt;4,1,0))&amp;"-"&amp;RIGHT((YEAR(J247)-IF(MONTH(J247)&lt;4,1,0))+1,2))</f>
        <v/>
      </c>
      <c r="AS247" s="43" t="str">
        <f aca="false">IF(OR(B247="",Q247="",D247&lt;&gt;"Active"),"",DATE(YEAR(AsOf)+IF(DATE(YEAR(AsOf),MONTH(Q247),DAY(Q247))&lt;AsOf,1,0),MONTH(Q247),DAY(Q247))-AsOf)</f>
        <v/>
      </c>
      <c r="AT247" s="43" t="str">
        <f aca="false">IF(OR(B247="",I247="",D247&lt;&gt;"Active"),"",IF(YEAR(DATE(YEAR(AsOf)+IF(DATE(YEAR(AsOf),MONTH(I247),DAY(I247))&lt;AsOf,1,0),MONTH(I247),DAY(I247)))-YEAR(I247)&lt;1,"",DATE(YEAR(AsOf)+IF(DATE(YEAR(AsOf),MONTH(I247),DAY(I247))&lt;AsOf,1,0),MONTH(I247),DAY(I247))-AsOf))</f>
        <v/>
      </c>
      <c r="AU247" s="43" t="str">
        <f aca="false">IF(B247="","",IF(AV247="",0,LEN(AV247)-LEN(SUBSTITUTE(AV247,";",""))))</f>
        <v/>
      </c>
      <c r="AV247" s="9" t="str">
        <f aca="false">IF(B247="","",IF(COUNTIF($B$6:$B$505,B247)&gt;1,"Duplicate Emp Code; ","")&amp;IF(C247="","Name missing; ","")&amp;IF(I247="","DOJ missing; ","")&amp;IF(AND(J247&lt;&gt;"",I247&lt;&gt;"",J247&lt;I247),"Exit before DOJ; ","")&amp;IF(Q247="","DOB missing; ","")&amp;IF(T247="","Aadhaar missing; ",IF(LEN(T247)&lt;&gt;12,"Aadhaar not 12 digits; ",IF(COUNTIF($T$6:$T$505,T247)&gt;1,"Duplicate Aadhaar; ","")))&amp;IF(U247="","PAN missing; ",IF(LEN(U247)&lt;&gt;10,"PAN not 10 chars; ",""))&amp;IF(V247="","Mobile missing; ",IF(LEN(V247)&lt;&gt;10,"Mobile not 10 digits; ",""))&amp;IF(AG247="","Bank A/c missing; ","")&amp;IF(AH247="","IFSC missing; ",IF(LEN(AH247)&lt;&gt;11,"IFSC not 11 chars; ","")))</f>
        <v/>
      </c>
      <c r="AW247" s="46" t="str">
        <f aca="false">IF(AS247="","",AS247+ROW()/100000)</f>
        <v/>
      </c>
      <c r="AX247" s="46" t="str">
        <f aca="false">IF(AT247="","",AT247+ROW()/100000)</f>
        <v/>
      </c>
    </row>
    <row r="248" customFormat="false" ht="15" hidden="false" customHeight="false" outlineLevel="0" collapsed="false">
      <c r="A248" s="9" t="str">
        <f aca="false">IF(B248="","",ROW()-5)</f>
        <v/>
      </c>
      <c r="B248" s="40"/>
      <c r="C248" s="8"/>
      <c r="D248" s="9" t="str">
        <f aca="false">IF(B248="","",IF(J248="","Active","Exited"))</f>
        <v/>
      </c>
      <c r="E248" s="8"/>
      <c r="F248" s="8"/>
      <c r="G248" s="8"/>
      <c r="H248" s="9" t="str">
        <f aca="false">IF(OR(B248="",I248=""),"",IF(IF(J248="",AsOf,J248)-I248&gt;=Settings!$C$13,"Permanent","Probation"))</f>
        <v/>
      </c>
      <c r="I248" s="41"/>
      <c r="J248" s="41"/>
      <c r="K248" s="8"/>
      <c r="L248" s="42" t="str">
        <f aca="false">IF(OR(B248="",I248=""),"",ROUND((IF(J248="",AsOf,J248)-I248)/365.25,1))</f>
        <v/>
      </c>
      <c r="M248" s="8"/>
      <c r="N248" s="8"/>
      <c r="O248" s="8"/>
      <c r="P248" s="8"/>
      <c r="Q248" s="41"/>
      <c r="R248" s="43" t="str">
        <f aca="false">IF(OR(B248="",Q248=""),"",INT((AsOf-Q248)/365.25))</f>
        <v/>
      </c>
      <c r="S248" s="8"/>
      <c r="T248" s="40"/>
      <c r="U248" s="40"/>
      <c r="V248" s="40"/>
      <c r="W248" s="40"/>
      <c r="X248" s="8"/>
      <c r="Y248" s="8"/>
      <c r="Z248" s="8"/>
      <c r="AA248" s="8"/>
      <c r="AB248" s="8"/>
      <c r="AC248" s="8"/>
      <c r="AD248" s="8"/>
      <c r="AE248" s="40"/>
      <c r="AF248" s="8"/>
      <c r="AG248" s="40"/>
      <c r="AH248" s="40"/>
      <c r="AI248" s="8"/>
      <c r="AJ248" s="40"/>
      <c r="AK248" s="40"/>
      <c r="AL248" s="40"/>
      <c r="AM248" s="44"/>
      <c r="AN248" s="44"/>
      <c r="AO248" s="41"/>
      <c r="AP248" s="45" t="str">
        <f aca="false">IF(B248="","",IF(AND(ISNUMBER(AM248),ISNUMBER(AN248),AM248&gt;0,AN248&gt;0),AN248/AM248-1,""))</f>
        <v/>
      </c>
      <c r="AQ248" s="9" t="str">
        <f aca="false">IF(I248="","",(YEAR(I248)-IF(MONTH(I248)&lt;4,1,0))&amp;"-"&amp;RIGHT((YEAR(I248)-IF(MONTH(I248)&lt;4,1,0))+1,2))</f>
        <v/>
      </c>
      <c r="AR248" s="9" t="str">
        <f aca="false">IF(J248="","",(YEAR(J248)-IF(MONTH(J248)&lt;4,1,0))&amp;"-"&amp;RIGHT((YEAR(J248)-IF(MONTH(J248)&lt;4,1,0))+1,2))</f>
        <v/>
      </c>
      <c r="AS248" s="43" t="str">
        <f aca="false">IF(OR(B248="",Q248="",D248&lt;&gt;"Active"),"",DATE(YEAR(AsOf)+IF(DATE(YEAR(AsOf),MONTH(Q248),DAY(Q248))&lt;AsOf,1,0),MONTH(Q248),DAY(Q248))-AsOf)</f>
        <v/>
      </c>
      <c r="AT248" s="43" t="str">
        <f aca="false">IF(OR(B248="",I248="",D248&lt;&gt;"Active"),"",IF(YEAR(DATE(YEAR(AsOf)+IF(DATE(YEAR(AsOf),MONTH(I248),DAY(I248))&lt;AsOf,1,0),MONTH(I248),DAY(I248)))-YEAR(I248)&lt;1,"",DATE(YEAR(AsOf)+IF(DATE(YEAR(AsOf),MONTH(I248),DAY(I248))&lt;AsOf,1,0),MONTH(I248),DAY(I248))-AsOf))</f>
        <v/>
      </c>
      <c r="AU248" s="43" t="str">
        <f aca="false">IF(B248="","",IF(AV248="",0,LEN(AV248)-LEN(SUBSTITUTE(AV248,";",""))))</f>
        <v/>
      </c>
      <c r="AV248" s="9" t="str">
        <f aca="false">IF(B248="","",IF(COUNTIF($B$6:$B$505,B248)&gt;1,"Duplicate Emp Code; ","")&amp;IF(C248="","Name missing; ","")&amp;IF(I248="","DOJ missing; ","")&amp;IF(AND(J248&lt;&gt;"",I248&lt;&gt;"",J248&lt;I248),"Exit before DOJ; ","")&amp;IF(Q248="","DOB missing; ","")&amp;IF(T248="","Aadhaar missing; ",IF(LEN(T248)&lt;&gt;12,"Aadhaar not 12 digits; ",IF(COUNTIF($T$6:$T$505,T248)&gt;1,"Duplicate Aadhaar; ","")))&amp;IF(U248="","PAN missing; ",IF(LEN(U248)&lt;&gt;10,"PAN not 10 chars; ",""))&amp;IF(V248="","Mobile missing; ",IF(LEN(V248)&lt;&gt;10,"Mobile not 10 digits; ",""))&amp;IF(AG248="","Bank A/c missing; ","")&amp;IF(AH248="","IFSC missing; ",IF(LEN(AH248)&lt;&gt;11,"IFSC not 11 chars; ","")))</f>
        <v/>
      </c>
      <c r="AW248" s="46" t="str">
        <f aca="false">IF(AS248="","",AS248+ROW()/100000)</f>
        <v/>
      </c>
      <c r="AX248" s="46" t="str">
        <f aca="false">IF(AT248="","",AT248+ROW()/100000)</f>
        <v/>
      </c>
    </row>
    <row r="249" customFormat="false" ht="15" hidden="false" customHeight="false" outlineLevel="0" collapsed="false">
      <c r="A249" s="9" t="str">
        <f aca="false">IF(B249="","",ROW()-5)</f>
        <v/>
      </c>
      <c r="B249" s="40"/>
      <c r="C249" s="8"/>
      <c r="D249" s="9" t="str">
        <f aca="false">IF(B249="","",IF(J249="","Active","Exited"))</f>
        <v/>
      </c>
      <c r="E249" s="8"/>
      <c r="F249" s="8"/>
      <c r="G249" s="8"/>
      <c r="H249" s="9" t="str">
        <f aca="false">IF(OR(B249="",I249=""),"",IF(IF(J249="",AsOf,J249)-I249&gt;=Settings!$C$13,"Permanent","Probation"))</f>
        <v/>
      </c>
      <c r="I249" s="41"/>
      <c r="J249" s="41"/>
      <c r="K249" s="8"/>
      <c r="L249" s="42" t="str">
        <f aca="false">IF(OR(B249="",I249=""),"",ROUND((IF(J249="",AsOf,J249)-I249)/365.25,1))</f>
        <v/>
      </c>
      <c r="M249" s="8"/>
      <c r="N249" s="8"/>
      <c r="O249" s="8"/>
      <c r="P249" s="8"/>
      <c r="Q249" s="41"/>
      <c r="R249" s="43" t="str">
        <f aca="false">IF(OR(B249="",Q249=""),"",INT((AsOf-Q249)/365.25))</f>
        <v/>
      </c>
      <c r="S249" s="8"/>
      <c r="T249" s="40"/>
      <c r="U249" s="40"/>
      <c r="V249" s="40"/>
      <c r="W249" s="40"/>
      <c r="X249" s="8"/>
      <c r="Y249" s="8"/>
      <c r="Z249" s="8"/>
      <c r="AA249" s="8"/>
      <c r="AB249" s="8"/>
      <c r="AC249" s="8"/>
      <c r="AD249" s="8"/>
      <c r="AE249" s="40"/>
      <c r="AF249" s="8"/>
      <c r="AG249" s="40"/>
      <c r="AH249" s="40"/>
      <c r="AI249" s="8"/>
      <c r="AJ249" s="40"/>
      <c r="AK249" s="40"/>
      <c r="AL249" s="40"/>
      <c r="AM249" s="44"/>
      <c r="AN249" s="44"/>
      <c r="AO249" s="41"/>
      <c r="AP249" s="45" t="str">
        <f aca="false">IF(B249="","",IF(AND(ISNUMBER(AM249),ISNUMBER(AN249),AM249&gt;0,AN249&gt;0),AN249/AM249-1,""))</f>
        <v/>
      </c>
      <c r="AQ249" s="9" t="str">
        <f aca="false">IF(I249="","",(YEAR(I249)-IF(MONTH(I249)&lt;4,1,0))&amp;"-"&amp;RIGHT((YEAR(I249)-IF(MONTH(I249)&lt;4,1,0))+1,2))</f>
        <v/>
      </c>
      <c r="AR249" s="9" t="str">
        <f aca="false">IF(J249="","",(YEAR(J249)-IF(MONTH(J249)&lt;4,1,0))&amp;"-"&amp;RIGHT((YEAR(J249)-IF(MONTH(J249)&lt;4,1,0))+1,2))</f>
        <v/>
      </c>
      <c r="AS249" s="43" t="str">
        <f aca="false">IF(OR(B249="",Q249="",D249&lt;&gt;"Active"),"",DATE(YEAR(AsOf)+IF(DATE(YEAR(AsOf),MONTH(Q249),DAY(Q249))&lt;AsOf,1,0),MONTH(Q249),DAY(Q249))-AsOf)</f>
        <v/>
      </c>
      <c r="AT249" s="43" t="str">
        <f aca="false">IF(OR(B249="",I249="",D249&lt;&gt;"Active"),"",IF(YEAR(DATE(YEAR(AsOf)+IF(DATE(YEAR(AsOf),MONTH(I249),DAY(I249))&lt;AsOf,1,0),MONTH(I249),DAY(I249)))-YEAR(I249)&lt;1,"",DATE(YEAR(AsOf)+IF(DATE(YEAR(AsOf),MONTH(I249),DAY(I249))&lt;AsOf,1,0),MONTH(I249),DAY(I249))-AsOf))</f>
        <v/>
      </c>
      <c r="AU249" s="43" t="str">
        <f aca="false">IF(B249="","",IF(AV249="",0,LEN(AV249)-LEN(SUBSTITUTE(AV249,";",""))))</f>
        <v/>
      </c>
      <c r="AV249" s="9" t="str">
        <f aca="false">IF(B249="","",IF(COUNTIF($B$6:$B$505,B249)&gt;1,"Duplicate Emp Code; ","")&amp;IF(C249="","Name missing; ","")&amp;IF(I249="","DOJ missing; ","")&amp;IF(AND(J249&lt;&gt;"",I249&lt;&gt;"",J249&lt;I249),"Exit before DOJ; ","")&amp;IF(Q249="","DOB missing; ","")&amp;IF(T249="","Aadhaar missing; ",IF(LEN(T249)&lt;&gt;12,"Aadhaar not 12 digits; ",IF(COUNTIF($T$6:$T$505,T249)&gt;1,"Duplicate Aadhaar; ","")))&amp;IF(U249="","PAN missing; ",IF(LEN(U249)&lt;&gt;10,"PAN not 10 chars; ",""))&amp;IF(V249="","Mobile missing; ",IF(LEN(V249)&lt;&gt;10,"Mobile not 10 digits; ",""))&amp;IF(AG249="","Bank A/c missing; ","")&amp;IF(AH249="","IFSC missing; ",IF(LEN(AH249)&lt;&gt;11,"IFSC not 11 chars; ","")))</f>
        <v/>
      </c>
      <c r="AW249" s="46" t="str">
        <f aca="false">IF(AS249="","",AS249+ROW()/100000)</f>
        <v/>
      </c>
      <c r="AX249" s="46" t="str">
        <f aca="false">IF(AT249="","",AT249+ROW()/100000)</f>
        <v/>
      </c>
    </row>
    <row r="250" customFormat="false" ht="15" hidden="false" customHeight="false" outlineLevel="0" collapsed="false">
      <c r="A250" s="9" t="str">
        <f aca="false">IF(B250="","",ROW()-5)</f>
        <v/>
      </c>
      <c r="B250" s="40"/>
      <c r="C250" s="8"/>
      <c r="D250" s="9" t="str">
        <f aca="false">IF(B250="","",IF(J250="","Active","Exited"))</f>
        <v/>
      </c>
      <c r="E250" s="8"/>
      <c r="F250" s="8"/>
      <c r="G250" s="8"/>
      <c r="H250" s="9" t="str">
        <f aca="false">IF(OR(B250="",I250=""),"",IF(IF(J250="",AsOf,J250)-I250&gt;=Settings!$C$13,"Permanent","Probation"))</f>
        <v/>
      </c>
      <c r="I250" s="41"/>
      <c r="J250" s="41"/>
      <c r="K250" s="8"/>
      <c r="L250" s="42" t="str">
        <f aca="false">IF(OR(B250="",I250=""),"",ROUND((IF(J250="",AsOf,J250)-I250)/365.25,1))</f>
        <v/>
      </c>
      <c r="M250" s="8"/>
      <c r="N250" s="8"/>
      <c r="O250" s="8"/>
      <c r="P250" s="8"/>
      <c r="Q250" s="41"/>
      <c r="R250" s="43" t="str">
        <f aca="false">IF(OR(B250="",Q250=""),"",INT((AsOf-Q250)/365.25))</f>
        <v/>
      </c>
      <c r="S250" s="8"/>
      <c r="T250" s="40"/>
      <c r="U250" s="40"/>
      <c r="V250" s="40"/>
      <c r="W250" s="40"/>
      <c r="X250" s="8"/>
      <c r="Y250" s="8"/>
      <c r="Z250" s="8"/>
      <c r="AA250" s="8"/>
      <c r="AB250" s="8"/>
      <c r="AC250" s="8"/>
      <c r="AD250" s="8"/>
      <c r="AE250" s="40"/>
      <c r="AF250" s="8"/>
      <c r="AG250" s="40"/>
      <c r="AH250" s="40"/>
      <c r="AI250" s="8"/>
      <c r="AJ250" s="40"/>
      <c r="AK250" s="40"/>
      <c r="AL250" s="40"/>
      <c r="AM250" s="44"/>
      <c r="AN250" s="44"/>
      <c r="AO250" s="41"/>
      <c r="AP250" s="45" t="str">
        <f aca="false">IF(B250="","",IF(AND(ISNUMBER(AM250),ISNUMBER(AN250),AM250&gt;0,AN250&gt;0),AN250/AM250-1,""))</f>
        <v/>
      </c>
      <c r="AQ250" s="9" t="str">
        <f aca="false">IF(I250="","",(YEAR(I250)-IF(MONTH(I250)&lt;4,1,0))&amp;"-"&amp;RIGHT((YEAR(I250)-IF(MONTH(I250)&lt;4,1,0))+1,2))</f>
        <v/>
      </c>
      <c r="AR250" s="9" t="str">
        <f aca="false">IF(J250="","",(YEAR(J250)-IF(MONTH(J250)&lt;4,1,0))&amp;"-"&amp;RIGHT((YEAR(J250)-IF(MONTH(J250)&lt;4,1,0))+1,2))</f>
        <v/>
      </c>
      <c r="AS250" s="43" t="str">
        <f aca="false">IF(OR(B250="",Q250="",D250&lt;&gt;"Active"),"",DATE(YEAR(AsOf)+IF(DATE(YEAR(AsOf),MONTH(Q250),DAY(Q250))&lt;AsOf,1,0),MONTH(Q250),DAY(Q250))-AsOf)</f>
        <v/>
      </c>
      <c r="AT250" s="43" t="str">
        <f aca="false">IF(OR(B250="",I250="",D250&lt;&gt;"Active"),"",IF(YEAR(DATE(YEAR(AsOf)+IF(DATE(YEAR(AsOf),MONTH(I250),DAY(I250))&lt;AsOf,1,0),MONTH(I250),DAY(I250)))-YEAR(I250)&lt;1,"",DATE(YEAR(AsOf)+IF(DATE(YEAR(AsOf),MONTH(I250),DAY(I250))&lt;AsOf,1,0),MONTH(I250),DAY(I250))-AsOf))</f>
        <v/>
      </c>
      <c r="AU250" s="43" t="str">
        <f aca="false">IF(B250="","",IF(AV250="",0,LEN(AV250)-LEN(SUBSTITUTE(AV250,";",""))))</f>
        <v/>
      </c>
      <c r="AV250" s="9" t="str">
        <f aca="false">IF(B250="","",IF(COUNTIF($B$6:$B$505,B250)&gt;1,"Duplicate Emp Code; ","")&amp;IF(C250="","Name missing; ","")&amp;IF(I250="","DOJ missing; ","")&amp;IF(AND(J250&lt;&gt;"",I250&lt;&gt;"",J250&lt;I250),"Exit before DOJ; ","")&amp;IF(Q250="","DOB missing; ","")&amp;IF(T250="","Aadhaar missing; ",IF(LEN(T250)&lt;&gt;12,"Aadhaar not 12 digits; ",IF(COUNTIF($T$6:$T$505,T250)&gt;1,"Duplicate Aadhaar; ","")))&amp;IF(U250="","PAN missing; ",IF(LEN(U250)&lt;&gt;10,"PAN not 10 chars; ",""))&amp;IF(V250="","Mobile missing; ",IF(LEN(V250)&lt;&gt;10,"Mobile not 10 digits; ",""))&amp;IF(AG250="","Bank A/c missing; ","")&amp;IF(AH250="","IFSC missing; ",IF(LEN(AH250)&lt;&gt;11,"IFSC not 11 chars; ","")))</f>
        <v/>
      </c>
      <c r="AW250" s="46" t="str">
        <f aca="false">IF(AS250="","",AS250+ROW()/100000)</f>
        <v/>
      </c>
      <c r="AX250" s="46" t="str">
        <f aca="false">IF(AT250="","",AT250+ROW()/100000)</f>
        <v/>
      </c>
    </row>
    <row r="251" customFormat="false" ht="15" hidden="false" customHeight="false" outlineLevel="0" collapsed="false">
      <c r="A251" s="9" t="str">
        <f aca="false">IF(B251="","",ROW()-5)</f>
        <v/>
      </c>
      <c r="B251" s="40"/>
      <c r="C251" s="8"/>
      <c r="D251" s="9" t="str">
        <f aca="false">IF(B251="","",IF(J251="","Active","Exited"))</f>
        <v/>
      </c>
      <c r="E251" s="8"/>
      <c r="F251" s="8"/>
      <c r="G251" s="8"/>
      <c r="H251" s="9" t="str">
        <f aca="false">IF(OR(B251="",I251=""),"",IF(IF(J251="",AsOf,J251)-I251&gt;=Settings!$C$13,"Permanent","Probation"))</f>
        <v/>
      </c>
      <c r="I251" s="41"/>
      <c r="J251" s="41"/>
      <c r="K251" s="8"/>
      <c r="L251" s="42" t="str">
        <f aca="false">IF(OR(B251="",I251=""),"",ROUND((IF(J251="",AsOf,J251)-I251)/365.25,1))</f>
        <v/>
      </c>
      <c r="M251" s="8"/>
      <c r="N251" s="8"/>
      <c r="O251" s="8"/>
      <c r="P251" s="8"/>
      <c r="Q251" s="41"/>
      <c r="R251" s="43" t="str">
        <f aca="false">IF(OR(B251="",Q251=""),"",INT((AsOf-Q251)/365.25))</f>
        <v/>
      </c>
      <c r="S251" s="8"/>
      <c r="T251" s="40"/>
      <c r="U251" s="40"/>
      <c r="V251" s="40"/>
      <c r="W251" s="40"/>
      <c r="X251" s="8"/>
      <c r="Y251" s="8"/>
      <c r="Z251" s="8"/>
      <c r="AA251" s="8"/>
      <c r="AB251" s="8"/>
      <c r="AC251" s="8"/>
      <c r="AD251" s="8"/>
      <c r="AE251" s="40"/>
      <c r="AF251" s="8"/>
      <c r="AG251" s="40"/>
      <c r="AH251" s="40"/>
      <c r="AI251" s="8"/>
      <c r="AJ251" s="40"/>
      <c r="AK251" s="40"/>
      <c r="AL251" s="40"/>
      <c r="AM251" s="44"/>
      <c r="AN251" s="44"/>
      <c r="AO251" s="41"/>
      <c r="AP251" s="45" t="str">
        <f aca="false">IF(B251="","",IF(AND(ISNUMBER(AM251),ISNUMBER(AN251),AM251&gt;0,AN251&gt;0),AN251/AM251-1,""))</f>
        <v/>
      </c>
      <c r="AQ251" s="9" t="str">
        <f aca="false">IF(I251="","",(YEAR(I251)-IF(MONTH(I251)&lt;4,1,0))&amp;"-"&amp;RIGHT((YEAR(I251)-IF(MONTH(I251)&lt;4,1,0))+1,2))</f>
        <v/>
      </c>
      <c r="AR251" s="9" t="str">
        <f aca="false">IF(J251="","",(YEAR(J251)-IF(MONTH(J251)&lt;4,1,0))&amp;"-"&amp;RIGHT((YEAR(J251)-IF(MONTH(J251)&lt;4,1,0))+1,2))</f>
        <v/>
      </c>
      <c r="AS251" s="43" t="str">
        <f aca="false">IF(OR(B251="",Q251="",D251&lt;&gt;"Active"),"",DATE(YEAR(AsOf)+IF(DATE(YEAR(AsOf),MONTH(Q251),DAY(Q251))&lt;AsOf,1,0),MONTH(Q251),DAY(Q251))-AsOf)</f>
        <v/>
      </c>
      <c r="AT251" s="43" t="str">
        <f aca="false">IF(OR(B251="",I251="",D251&lt;&gt;"Active"),"",IF(YEAR(DATE(YEAR(AsOf)+IF(DATE(YEAR(AsOf),MONTH(I251),DAY(I251))&lt;AsOf,1,0),MONTH(I251),DAY(I251)))-YEAR(I251)&lt;1,"",DATE(YEAR(AsOf)+IF(DATE(YEAR(AsOf),MONTH(I251),DAY(I251))&lt;AsOf,1,0),MONTH(I251),DAY(I251))-AsOf))</f>
        <v/>
      </c>
      <c r="AU251" s="43" t="str">
        <f aca="false">IF(B251="","",IF(AV251="",0,LEN(AV251)-LEN(SUBSTITUTE(AV251,";",""))))</f>
        <v/>
      </c>
      <c r="AV251" s="9" t="str">
        <f aca="false">IF(B251="","",IF(COUNTIF($B$6:$B$505,B251)&gt;1,"Duplicate Emp Code; ","")&amp;IF(C251="","Name missing; ","")&amp;IF(I251="","DOJ missing; ","")&amp;IF(AND(J251&lt;&gt;"",I251&lt;&gt;"",J251&lt;I251),"Exit before DOJ; ","")&amp;IF(Q251="","DOB missing; ","")&amp;IF(T251="","Aadhaar missing; ",IF(LEN(T251)&lt;&gt;12,"Aadhaar not 12 digits; ",IF(COUNTIF($T$6:$T$505,T251)&gt;1,"Duplicate Aadhaar; ","")))&amp;IF(U251="","PAN missing; ",IF(LEN(U251)&lt;&gt;10,"PAN not 10 chars; ",""))&amp;IF(V251="","Mobile missing; ",IF(LEN(V251)&lt;&gt;10,"Mobile not 10 digits; ",""))&amp;IF(AG251="","Bank A/c missing; ","")&amp;IF(AH251="","IFSC missing; ",IF(LEN(AH251)&lt;&gt;11,"IFSC not 11 chars; ","")))</f>
        <v/>
      </c>
      <c r="AW251" s="46" t="str">
        <f aca="false">IF(AS251="","",AS251+ROW()/100000)</f>
        <v/>
      </c>
      <c r="AX251" s="46" t="str">
        <f aca="false">IF(AT251="","",AT251+ROW()/100000)</f>
        <v/>
      </c>
    </row>
    <row r="252" customFormat="false" ht="15" hidden="false" customHeight="false" outlineLevel="0" collapsed="false">
      <c r="A252" s="9" t="str">
        <f aca="false">IF(B252="","",ROW()-5)</f>
        <v/>
      </c>
      <c r="B252" s="40"/>
      <c r="C252" s="8"/>
      <c r="D252" s="9" t="str">
        <f aca="false">IF(B252="","",IF(J252="","Active","Exited"))</f>
        <v/>
      </c>
      <c r="E252" s="8"/>
      <c r="F252" s="8"/>
      <c r="G252" s="8"/>
      <c r="H252" s="9" t="str">
        <f aca="false">IF(OR(B252="",I252=""),"",IF(IF(J252="",AsOf,J252)-I252&gt;=Settings!$C$13,"Permanent","Probation"))</f>
        <v/>
      </c>
      <c r="I252" s="41"/>
      <c r="J252" s="41"/>
      <c r="K252" s="8"/>
      <c r="L252" s="42" t="str">
        <f aca="false">IF(OR(B252="",I252=""),"",ROUND((IF(J252="",AsOf,J252)-I252)/365.25,1))</f>
        <v/>
      </c>
      <c r="M252" s="8"/>
      <c r="N252" s="8"/>
      <c r="O252" s="8"/>
      <c r="P252" s="8"/>
      <c r="Q252" s="41"/>
      <c r="R252" s="43" t="str">
        <f aca="false">IF(OR(B252="",Q252=""),"",INT((AsOf-Q252)/365.25))</f>
        <v/>
      </c>
      <c r="S252" s="8"/>
      <c r="T252" s="40"/>
      <c r="U252" s="40"/>
      <c r="V252" s="40"/>
      <c r="W252" s="40"/>
      <c r="X252" s="8"/>
      <c r="Y252" s="8"/>
      <c r="Z252" s="8"/>
      <c r="AA252" s="8"/>
      <c r="AB252" s="8"/>
      <c r="AC252" s="8"/>
      <c r="AD252" s="8"/>
      <c r="AE252" s="40"/>
      <c r="AF252" s="8"/>
      <c r="AG252" s="40"/>
      <c r="AH252" s="40"/>
      <c r="AI252" s="8"/>
      <c r="AJ252" s="40"/>
      <c r="AK252" s="40"/>
      <c r="AL252" s="40"/>
      <c r="AM252" s="44"/>
      <c r="AN252" s="44"/>
      <c r="AO252" s="41"/>
      <c r="AP252" s="45" t="str">
        <f aca="false">IF(B252="","",IF(AND(ISNUMBER(AM252),ISNUMBER(AN252),AM252&gt;0,AN252&gt;0),AN252/AM252-1,""))</f>
        <v/>
      </c>
      <c r="AQ252" s="9" t="str">
        <f aca="false">IF(I252="","",(YEAR(I252)-IF(MONTH(I252)&lt;4,1,0))&amp;"-"&amp;RIGHT((YEAR(I252)-IF(MONTH(I252)&lt;4,1,0))+1,2))</f>
        <v/>
      </c>
      <c r="AR252" s="9" t="str">
        <f aca="false">IF(J252="","",(YEAR(J252)-IF(MONTH(J252)&lt;4,1,0))&amp;"-"&amp;RIGHT((YEAR(J252)-IF(MONTH(J252)&lt;4,1,0))+1,2))</f>
        <v/>
      </c>
      <c r="AS252" s="43" t="str">
        <f aca="false">IF(OR(B252="",Q252="",D252&lt;&gt;"Active"),"",DATE(YEAR(AsOf)+IF(DATE(YEAR(AsOf),MONTH(Q252),DAY(Q252))&lt;AsOf,1,0),MONTH(Q252),DAY(Q252))-AsOf)</f>
        <v/>
      </c>
      <c r="AT252" s="43" t="str">
        <f aca="false">IF(OR(B252="",I252="",D252&lt;&gt;"Active"),"",IF(YEAR(DATE(YEAR(AsOf)+IF(DATE(YEAR(AsOf),MONTH(I252),DAY(I252))&lt;AsOf,1,0),MONTH(I252),DAY(I252)))-YEAR(I252)&lt;1,"",DATE(YEAR(AsOf)+IF(DATE(YEAR(AsOf),MONTH(I252),DAY(I252))&lt;AsOf,1,0),MONTH(I252),DAY(I252))-AsOf))</f>
        <v/>
      </c>
      <c r="AU252" s="43" t="str">
        <f aca="false">IF(B252="","",IF(AV252="",0,LEN(AV252)-LEN(SUBSTITUTE(AV252,";",""))))</f>
        <v/>
      </c>
      <c r="AV252" s="9" t="str">
        <f aca="false">IF(B252="","",IF(COUNTIF($B$6:$B$505,B252)&gt;1,"Duplicate Emp Code; ","")&amp;IF(C252="","Name missing; ","")&amp;IF(I252="","DOJ missing; ","")&amp;IF(AND(J252&lt;&gt;"",I252&lt;&gt;"",J252&lt;I252),"Exit before DOJ; ","")&amp;IF(Q252="","DOB missing; ","")&amp;IF(T252="","Aadhaar missing; ",IF(LEN(T252)&lt;&gt;12,"Aadhaar not 12 digits; ",IF(COUNTIF($T$6:$T$505,T252)&gt;1,"Duplicate Aadhaar; ","")))&amp;IF(U252="","PAN missing; ",IF(LEN(U252)&lt;&gt;10,"PAN not 10 chars; ",""))&amp;IF(V252="","Mobile missing; ",IF(LEN(V252)&lt;&gt;10,"Mobile not 10 digits; ",""))&amp;IF(AG252="","Bank A/c missing; ","")&amp;IF(AH252="","IFSC missing; ",IF(LEN(AH252)&lt;&gt;11,"IFSC not 11 chars; ","")))</f>
        <v/>
      </c>
      <c r="AW252" s="46" t="str">
        <f aca="false">IF(AS252="","",AS252+ROW()/100000)</f>
        <v/>
      </c>
      <c r="AX252" s="46" t="str">
        <f aca="false">IF(AT252="","",AT252+ROW()/100000)</f>
        <v/>
      </c>
    </row>
    <row r="253" customFormat="false" ht="15" hidden="false" customHeight="false" outlineLevel="0" collapsed="false">
      <c r="A253" s="9" t="str">
        <f aca="false">IF(B253="","",ROW()-5)</f>
        <v/>
      </c>
      <c r="B253" s="40"/>
      <c r="C253" s="8"/>
      <c r="D253" s="9" t="str">
        <f aca="false">IF(B253="","",IF(J253="","Active","Exited"))</f>
        <v/>
      </c>
      <c r="E253" s="8"/>
      <c r="F253" s="8"/>
      <c r="G253" s="8"/>
      <c r="H253" s="9" t="str">
        <f aca="false">IF(OR(B253="",I253=""),"",IF(IF(J253="",AsOf,J253)-I253&gt;=Settings!$C$13,"Permanent","Probation"))</f>
        <v/>
      </c>
      <c r="I253" s="41"/>
      <c r="J253" s="41"/>
      <c r="K253" s="8"/>
      <c r="L253" s="42" t="str">
        <f aca="false">IF(OR(B253="",I253=""),"",ROUND((IF(J253="",AsOf,J253)-I253)/365.25,1))</f>
        <v/>
      </c>
      <c r="M253" s="8"/>
      <c r="N253" s="8"/>
      <c r="O253" s="8"/>
      <c r="P253" s="8"/>
      <c r="Q253" s="41"/>
      <c r="R253" s="43" t="str">
        <f aca="false">IF(OR(B253="",Q253=""),"",INT((AsOf-Q253)/365.25))</f>
        <v/>
      </c>
      <c r="S253" s="8"/>
      <c r="T253" s="40"/>
      <c r="U253" s="40"/>
      <c r="V253" s="40"/>
      <c r="W253" s="40"/>
      <c r="X253" s="8"/>
      <c r="Y253" s="8"/>
      <c r="Z253" s="8"/>
      <c r="AA253" s="8"/>
      <c r="AB253" s="8"/>
      <c r="AC253" s="8"/>
      <c r="AD253" s="8"/>
      <c r="AE253" s="40"/>
      <c r="AF253" s="8"/>
      <c r="AG253" s="40"/>
      <c r="AH253" s="40"/>
      <c r="AI253" s="8"/>
      <c r="AJ253" s="40"/>
      <c r="AK253" s="40"/>
      <c r="AL253" s="40"/>
      <c r="AM253" s="44"/>
      <c r="AN253" s="44"/>
      <c r="AO253" s="41"/>
      <c r="AP253" s="45" t="str">
        <f aca="false">IF(B253="","",IF(AND(ISNUMBER(AM253),ISNUMBER(AN253),AM253&gt;0,AN253&gt;0),AN253/AM253-1,""))</f>
        <v/>
      </c>
      <c r="AQ253" s="9" t="str">
        <f aca="false">IF(I253="","",(YEAR(I253)-IF(MONTH(I253)&lt;4,1,0))&amp;"-"&amp;RIGHT((YEAR(I253)-IF(MONTH(I253)&lt;4,1,0))+1,2))</f>
        <v/>
      </c>
      <c r="AR253" s="9" t="str">
        <f aca="false">IF(J253="","",(YEAR(J253)-IF(MONTH(J253)&lt;4,1,0))&amp;"-"&amp;RIGHT((YEAR(J253)-IF(MONTH(J253)&lt;4,1,0))+1,2))</f>
        <v/>
      </c>
      <c r="AS253" s="43" t="str">
        <f aca="false">IF(OR(B253="",Q253="",D253&lt;&gt;"Active"),"",DATE(YEAR(AsOf)+IF(DATE(YEAR(AsOf),MONTH(Q253),DAY(Q253))&lt;AsOf,1,0),MONTH(Q253),DAY(Q253))-AsOf)</f>
        <v/>
      </c>
      <c r="AT253" s="43" t="str">
        <f aca="false">IF(OR(B253="",I253="",D253&lt;&gt;"Active"),"",IF(YEAR(DATE(YEAR(AsOf)+IF(DATE(YEAR(AsOf),MONTH(I253),DAY(I253))&lt;AsOf,1,0),MONTH(I253),DAY(I253)))-YEAR(I253)&lt;1,"",DATE(YEAR(AsOf)+IF(DATE(YEAR(AsOf),MONTH(I253),DAY(I253))&lt;AsOf,1,0),MONTH(I253),DAY(I253))-AsOf))</f>
        <v/>
      </c>
      <c r="AU253" s="43" t="str">
        <f aca="false">IF(B253="","",IF(AV253="",0,LEN(AV253)-LEN(SUBSTITUTE(AV253,";",""))))</f>
        <v/>
      </c>
      <c r="AV253" s="9" t="str">
        <f aca="false">IF(B253="","",IF(COUNTIF($B$6:$B$505,B253)&gt;1,"Duplicate Emp Code; ","")&amp;IF(C253="","Name missing; ","")&amp;IF(I253="","DOJ missing; ","")&amp;IF(AND(J253&lt;&gt;"",I253&lt;&gt;"",J253&lt;I253),"Exit before DOJ; ","")&amp;IF(Q253="","DOB missing; ","")&amp;IF(T253="","Aadhaar missing; ",IF(LEN(T253)&lt;&gt;12,"Aadhaar not 12 digits; ",IF(COUNTIF($T$6:$T$505,T253)&gt;1,"Duplicate Aadhaar; ","")))&amp;IF(U253="","PAN missing; ",IF(LEN(U253)&lt;&gt;10,"PAN not 10 chars; ",""))&amp;IF(V253="","Mobile missing; ",IF(LEN(V253)&lt;&gt;10,"Mobile not 10 digits; ",""))&amp;IF(AG253="","Bank A/c missing; ","")&amp;IF(AH253="","IFSC missing; ",IF(LEN(AH253)&lt;&gt;11,"IFSC not 11 chars; ","")))</f>
        <v/>
      </c>
      <c r="AW253" s="46" t="str">
        <f aca="false">IF(AS253="","",AS253+ROW()/100000)</f>
        <v/>
      </c>
      <c r="AX253" s="46" t="str">
        <f aca="false">IF(AT253="","",AT253+ROW()/100000)</f>
        <v/>
      </c>
    </row>
    <row r="254" customFormat="false" ht="15" hidden="false" customHeight="false" outlineLevel="0" collapsed="false">
      <c r="A254" s="9" t="str">
        <f aca="false">IF(B254="","",ROW()-5)</f>
        <v/>
      </c>
      <c r="B254" s="40"/>
      <c r="C254" s="8"/>
      <c r="D254" s="9" t="str">
        <f aca="false">IF(B254="","",IF(J254="","Active","Exited"))</f>
        <v/>
      </c>
      <c r="E254" s="8"/>
      <c r="F254" s="8"/>
      <c r="G254" s="8"/>
      <c r="H254" s="9" t="str">
        <f aca="false">IF(OR(B254="",I254=""),"",IF(IF(J254="",AsOf,J254)-I254&gt;=Settings!$C$13,"Permanent","Probation"))</f>
        <v/>
      </c>
      <c r="I254" s="41"/>
      <c r="J254" s="41"/>
      <c r="K254" s="8"/>
      <c r="L254" s="42" t="str">
        <f aca="false">IF(OR(B254="",I254=""),"",ROUND((IF(J254="",AsOf,J254)-I254)/365.25,1))</f>
        <v/>
      </c>
      <c r="M254" s="8"/>
      <c r="N254" s="8"/>
      <c r="O254" s="8"/>
      <c r="P254" s="8"/>
      <c r="Q254" s="41"/>
      <c r="R254" s="43" t="str">
        <f aca="false">IF(OR(B254="",Q254=""),"",INT((AsOf-Q254)/365.25))</f>
        <v/>
      </c>
      <c r="S254" s="8"/>
      <c r="T254" s="40"/>
      <c r="U254" s="40"/>
      <c r="V254" s="40"/>
      <c r="W254" s="40"/>
      <c r="X254" s="8"/>
      <c r="Y254" s="8"/>
      <c r="Z254" s="8"/>
      <c r="AA254" s="8"/>
      <c r="AB254" s="8"/>
      <c r="AC254" s="8"/>
      <c r="AD254" s="8"/>
      <c r="AE254" s="40"/>
      <c r="AF254" s="8"/>
      <c r="AG254" s="40"/>
      <c r="AH254" s="40"/>
      <c r="AI254" s="8"/>
      <c r="AJ254" s="40"/>
      <c r="AK254" s="40"/>
      <c r="AL254" s="40"/>
      <c r="AM254" s="44"/>
      <c r="AN254" s="44"/>
      <c r="AO254" s="41"/>
      <c r="AP254" s="45" t="str">
        <f aca="false">IF(B254="","",IF(AND(ISNUMBER(AM254),ISNUMBER(AN254),AM254&gt;0,AN254&gt;0),AN254/AM254-1,""))</f>
        <v/>
      </c>
      <c r="AQ254" s="9" t="str">
        <f aca="false">IF(I254="","",(YEAR(I254)-IF(MONTH(I254)&lt;4,1,0))&amp;"-"&amp;RIGHT((YEAR(I254)-IF(MONTH(I254)&lt;4,1,0))+1,2))</f>
        <v/>
      </c>
      <c r="AR254" s="9" t="str">
        <f aca="false">IF(J254="","",(YEAR(J254)-IF(MONTH(J254)&lt;4,1,0))&amp;"-"&amp;RIGHT((YEAR(J254)-IF(MONTH(J254)&lt;4,1,0))+1,2))</f>
        <v/>
      </c>
      <c r="AS254" s="43" t="str">
        <f aca="false">IF(OR(B254="",Q254="",D254&lt;&gt;"Active"),"",DATE(YEAR(AsOf)+IF(DATE(YEAR(AsOf),MONTH(Q254),DAY(Q254))&lt;AsOf,1,0),MONTH(Q254),DAY(Q254))-AsOf)</f>
        <v/>
      </c>
      <c r="AT254" s="43" t="str">
        <f aca="false">IF(OR(B254="",I254="",D254&lt;&gt;"Active"),"",IF(YEAR(DATE(YEAR(AsOf)+IF(DATE(YEAR(AsOf),MONTH(I254),DAY(I254))&lt;AsOf,1,0),MONTH(I254),DAY(I254)))-YEAR(I254)&lt;1,"",DATE(YEAR(AsOf)+IF(DATE(YEAR(AsOf),MONTH(I254),DAY(I254))&lt;AsOf,1,0),MONTH(I254),DAY(I254))-AsOf))</f>
        <v/>
      </c>
      <c r="AU254" s="43" t="str">
        <f aca="false">IF(B254="","",IF(AV254="",0,LEN(AV254)-LEN(SUBSTITUTE(AV254,";",""))))</f>
        <v/>
      </c>
      <c r="AV254" s="9" t="str">
        <f aca="false">IF(B254="","",IF(COUNTIF($B$6:$B$505,B254)&gt;1,"Duplicate Emp Code; ","")&amp;IF(C254="","Name missing; ","")&amp;IF(I254="","DOJ missing; ","")&amp;IF(AND(J254&lt;&gt;"",I254&lt;&gt;"",J254&lt;I254),"Exit before DOJ; ","")&amp;IF(Q254="","DOB missing; ","")&amp;IF(T254="","Aadhaar missing; ",IF(LEN(T254)&lt;&gt;12,"Aadhaar not 12 digits; ",IF(COUNTIF($T$6:$T$505,T254)&gt;1,"Duplicate Aadhaar; ","")))&amp;IF(U254="","PAN missing; ",IF(LEN(U254)&lt;&gt;10,"PAN not 10 chars; ",""))&amp;IF(V254="","Mobile missing; ",IF(LEN(V254)&lt;&gt;10,"Mobile not 10 digits; ",""))&amp;IF(AG254="","Bank A/c missing; ","")&amp;IF(AH254="","IFSC missing; ",IF(LEN(AH254)&lt;&gt;11,"IFSC not 11 chars; ","")))</f>
        <v/>
      </c>
      <c r="AW254" s="46" t="str">
        <f aca="false">IF(AS254="","",AS254+ROW()/100000)</f>
        <v/>
      </c>
      <c r="AX254" s="46" t="str">
        <f aca="false">IF(AT254="","",AT254+ROW()/100000)</f>
        <v/>
      </c>
    </row>
    <row r="255" customFormat="false" ht="15" hidden="false" customHeight="false" outlineLevel="0" collapsed="false">
      <c r="A255" s="9" t="str">
        <f aca="false">IF(B255="","",ROW()-5)</f>
        <v/>
      </c>
      <c r="B255" s="40"/>
      <c r="C255" s="8"/>
      <c r="D255" s="9" t="str">
        <f aca="false">IF(B255="","",IF(J255="","Active","Exited"))</f>
        <v/>
      </c>
      <c r="E255" s="8"/>
      <c r="F255" s="8"/>
      <c r="G255" s="8"/>
      <c r="H255" s="9" t="str">
        <f aca="false">IF(OR(B255="",I255=""),"",IF(IF(J255="",AsOf,J255)-I255&gt;=Settings!$C$13,"Permanent","Probation"))</f>
        <v/>
      </c>
      <c r="I255" s="41"/>
      <c r="J255" s="41"/>
      <c r="K255" s="8"/>
      <c r="L255" s="42" t="str">
        <f aca="false">IF(OR(B255="",I255=""),"",ROUND((IF(J255="",AsOf,J255)-I255)/365.25,1))</f>
        <v/>
      </c>
      <c r="M255" s="8"/>
      <c r="N255" s="8"/>
      <c r="O255" s="8"/>
      <c r="P255" s="8"/>
      <c r="Q255" s="41"/>
      <c r="R255" s="43" t="str">
        <f aca="false">IF(OR(B255="",Q255=""),"",INT((AsOf-Q255)/365.25))</f>
        <v/>
      </c>
      <c r="S255" s="8"/>
      <c r="T255" s="40"/>
      <c r="U255" s="40"/>
      <c r="V255" s="40"/>
      <c r="W255" s="40"/>
      <c r="X255" s="8"/>
      <c r="Y255" s="8"/>
      <c r="Z255" s="8"/>
      <c r="AA255" s="8"/>
      <c r="AB255" s="8"/>
      <c r="AC255" s="8"/>
      <c r="AD255" s="8"/>
      <c r="AE255" s="40"/>
      <c r="AF255" s="8"/>
      <c r="AG255" s="40"/>
      <c r="AH255" s="40"/>
      <c r="AI255" s="8"/>
      <c r="AJ255" s="40"/>
      <c r="AK255" s="40"/>
      <c r="AL255" s="40"/>
      <c r="AM255" s="44"/>
      <c r="AN255" s="44"/>
      <c r="AO255" s="41"/>
      <c r="AP255" s="45" t="str">
        <f aca="false">IF(B255="","",IF(AND(ISNUMBER(AM255),ISNUMBER(AN255),AM255&gt;0,AN255&gt;0),AN255/AM255-1,""))</f>
        <v/>
      </c>
      <c r="AQ255" s="9" t="str">
        <f aca="false">IF(I255="","",(YEAR(I255)-IF(MONTH(I255)&lt;4,1,0))&amp;"-"&amp;RIGHT((YEAR(I255)-IF(MONTH(I255)&lt;4,1,0))+1,2))</f>
        <v/>
      </c>
      <c r="AR255" s="9" t="str">
        <f aca="false">IF(J255="","",(YEAR(J255)-IF(MONTH(J255)&lt;4,1,0))&amp;"-"&amp;RIGHT((YEAR(J255)-IF(MONTH(J255)&lt;4,1,0))+1,2))</f>
        <v/>
      </c>
      <c r="AS255" s="43" t="str">
        <f aca="false">IF(OR(B255="",Q255="",D255&lt;&gt;"Active"),"",DATE(YEAR(AsOf)+IF(DATE(YEAR(AsOf),MONTH(Q255),DAY(Q255))&lt;AsOf,1,0),MONTH(Q255),DAY(Q255))-AsOf)</f>
        <v/>
      </c>
      <c r="AT255" s="43" t="str">
        <f aca="false">IF(OR(B255="",I255="",D255&lt;&gt;"Active"),"",IF(YEAR(DATE(YEAR(AsOf)+IF(DATE(YEAR(AsOf),MONTH(I255),DAY(I255))&lt;AsOf,1,0),MONTH(I255),DAY(I255)))-YEAR(I255)&lt;1,"",DATE(YEAR(AsOf)+IF(DATE(YEAR(AsOf),MONTH(I255),DAY(I255))&lt;AsOf,1,0),MONTH(I255),DAY(I255))-AsOf))</f>
        <v/>
      </c>
      <c r="AU255" s="43" t="str">
        <f aca="false">IF(B255="","",IF(AV255="",0,LEN(AV255)-LEN(SUBSTITUTE(AV255,";",""))))</f>
        <v/>
      </c>
      <c r="AV255" s="9" t="str">
        <f aca="false">IF(B255="","",IF(COUNTIF($B$6:$B$505,B255)&gt;1,"Duplicate Emp Code; ","")&amp;IF(C255="","Name missing; ","")&amp;IF(I255="","DOJ missing; ","")&amp;IF(AND(J255&lt;&gt;"",I255&lt;&gt;"",J255&lt;I255),"Exit before DOJ; ","")&amp;IF(Q255="","DOB missing; ","")&amp;IF(T255="","Aadhaar missing; ",IF(LEN(T255)&lt;&gt;12,"Aadhaar not 12 digits; ",IF(COUNTIF($T$6:$T$505,T255)&gt;1,"Duplicate Aadhaar; ","")))&amp;IF(U255="","PAN missing; ",IF(LEN(U255)&lt;&gt;10,"PAN not 10 chars; ",""))&amp;IF(V255="","Mobile missing; ",IF(LEN(V255)&lt;&gt;10,"Mobile not 10 digits; ",""))&amp;IF(AG255="","Bank A/c missing; ","")&amp;IF(AH255="","IFSC missing; ",IF(LEN(AH255)&lt;&gt;11,"IFSC not 11 chars; ","")))</f>
        <v/>
      </c>
      <c r="AW255" s="46" t="str">
        <f aca="false">IF(AS255="","",AS255+ROW()/100000)</f>
        <v/>
      </c>
      <c r="AX255" s="46" t="str">
        <f aca="false">IF(AT255="","",AT255+ROW()/100000)</f>
        <v/>
      </c>
    </row>
    <row r="256" customFormat="false" ht="15" hidden="false" customHeight="false" outlineLevel="0" collapsed="false">
      <c r="A256" s="9" t="str">
        <f aca="false">IF(B256="","",ROW()-5)</f>
        <v/>
      </c>
      <c r="B256" s="40"/>
      <c r="C256" s="8"/>
      <c r="D256" s="9" t="str">
        <f aca="false">IF(B256="","",IF(J256="","Active","Exited"))</f>
        <v/>
      </c>
      <c r="E256" s="8"/>
      <c r="F256" s="8"/>
      <c r="G256" s="8"/>
      <c r="H256" s="9" t="str">
        <f aca="false">IF(OR(B256="",I256=""),"",IF(IF(J256="",AsOf,J256)-I256&gt;=Settings!$C$13,"Permanent","Probation"))</f>
        <v/>
      </c>
      <c r="I256" s="41"/>
      <c r="J256" s="41"/>
      <c r="K256" s="8"/>
      <c r="L256" s="42" t="str">
        <f aca="false">IF(OR(B256="",I256=""),"",ROUND((IF(J256="",AsOf,J256)-I256)/365.25,1))</f>
        <v/>
      </c>
      <c r="M256" s="8"/>
      <c r="N256" s="8"/>
      <c r="O256" s="8"/>
      <c r="P256" s="8"/>
      <c r="Q256" s="41"/>
      <c r="R256" s="43" t="str">
        <f aca="false">IF(OR(B256="",Q256=""),"",INT((AsOf-Q256)/365.25))</f>
        <v/>
      </c>
      <c r="S256" s="8"/>
      <c r="T256" s="40"/>
      <c r="U256" s="40"/>
      <c r="V256" s="40"/>
      <c r="W256" s="40"/>
      <c r="X256" s="8"/>
      <c r="Y256" s="8"/>
      <c r="Z256" s="8"/>
      <c r="AA256" s="8"/>
      <c r="AB256" s="8"/>
      <c r="AC256" s="8"/>
      <c r="AD256" s="8"/>
      <c r="AE256" s="40"/>
      <c r="AF256" s="8"/>
      <c r="AG256" s="40"/>
      <c r="AH256" s="40"/>
      <c r="AI256" s="8"/>
      <c r="AJ256" s="40"/>
      <c r="AK256" s="40"/>
      <c r="AL256" s="40"/>
      <c r="AM256" s="44"/>
      <c r="AN256" s="44"/>
      <c r="AO256" s="41"/>
      <c r="AP256" s="45" t="str">
        <f aca="false">IF(B256="","",IF(AND(ISNUMBER(AM256),ISNUMBER(AN256),AM256&gt;0,AN256&gt;0),AN256/AM256-1,""))</f>
        <v/>
      </c>
      <c r="AQ256" s="9" t="str">
        <f aca="false">IF(I256="","",(YEAR(I256)-IF(MONTH(I256)&lt;4,1,0))&amp;"-"&amp;RIGHT((YEAR(I256)-IF(MONTH(I256)&lt;4,1,0))+1,2))</f>
        <v/>
      </c>
      <c r="AR256" s="9" t="str">
        <f aca="false">IF(J256="","",(YEAR(J256)-IF(MONTH(J256)&lt;4,1,0))&amp;"-"&amp;RIGHT((YEAR(J256)-IF(MONTH(J256)&lt;4,1,0))+1,2))</f>
        <v/>
      </c>
      <c r="AS256" s="43" t="str">
        <f aca="false">IF(OR(B256="",Q256="",D256&lt;&gt;"Active"),"",DATE(YEAR(AsOf)+IF(DATE(YEAR(AsOf),MONTH(Q256),DAY(Q256))&lt;AsOf,1,0),MONTH(Q256),DAY(Q256))-AsOf)</f>
        <v/>
      </c>
      <c r="AT256" s="43" t="str">
        <f aca="false">IF(OR(B256="",I256="",D256&lt;&gt;"Active"),"",IF(YEAR(DATE(YEAR(AsOf)+IF(DATE(YEAR(AsOf),MONTH(I256),DAY(I256))&lt;AsOf,1,0),MONTH(I256),DAY(I256)))-YEAR(I256)&lt;1,"",DATE(YEAR(AsOf)+IF(DATE(YEAR(AsOf),MONTH(I256),DAY(I256))&lt;AsOf,1,0),MONTH(I256),DAY(I256))-AsOf))</f>
        <v/>
      </c>
      <c r="AU256" s="43" t="str">
        <f aca="false">IF(B256="","",IF(AV256="",0,LEN(AV256)-LEN(SUBSTITUTE(AV256,";",""))))</f>
        <v/>
      </c>
      <c r="AV256" s="9" t="str">
        <f aca="false">IF(B256="","",IF(COUNTIF($B$6:$B$505,B256)&gt;1,"Duplicate Emp Code; ","")&amp;IF(C256="","Name missing; ","")&amp;IF(I256="","DOJ missing; ","")&amp;IF(AND(J256&lt;&gt;"",I256&lt;&gt;"",J256&lt;I256),"Exit before DOJ; ","")&amp;IF(Q256="","DOB missing; ","")&amp;IF(T256="","Aadhaar missing; ",IF(LEN(T256)&lt;&gt;12,"Aadhaar not 12 digits; ",IF(COUNTIF($T$6:$T$505,T256)&gt;1,"Duplicate Aadhaar; ","")))&amp;IF(U256="","PAN missing; ",IF(LEN(U256)&lt;&gt;10,"PAN not 10 chars; ",""))&amp;IF(V256="","Mobile missing; ",IF(LEN(V256)&lt;&gt;10,"Mobile not 10 digits; ",""))&amp;IF(AG256="","Bank A/c missing; ","")&amp;IF(AH256="","IFSC missing; ",IF(LEN(AH256)&lt;&gt;11,"IFSC not 11 chars; ","")))</f>
        <v/>
      </c>
      <c r="AW256" s="46" t="str">
        <f aca="false">IF(AS256="","",AS256+ROW()/100000)</f>
        <v/>
      </c>
      <c r="AX256" s="46" t="str">
        <f aca="false">IF(AT256="","",AT256+ROW()/100000)</f>
        <v/>
      </c>
    </row>
    <row r="257" customFormat="false" ht="15" hidden="false" customHeight="false" outlineLevel="0" collapsed="false">
      <c r="A257" s="9" t="str">
        <f aca="false">IF(B257="","",ROW()-5)</f>
        <v/>
      </c>
      <c r="B257" s="40"/>
      <c r="C257" s="8"/>
      <c r="D257" s="9" t="str">
        <f aca="false">IF(B257="","",IF(J257="","Active","Exited"))</f>
        <v/>
      </c>
      <c r="E257" s="8"/>
      <c r="F257" s="8"/>
      <c r="G257" s="8"/>
      <c r="H257" s="9" t="str">
        <f aca="false">IF(OR(B257="",I257=""),"",IF(IF(J257="",AsOf,J257)-I257&gt;=Settings!$C$13,"Permanent","Probation"))</f>
        <v/>
      </c>
      <c r="I257" s="41"/>
      <c r="J257" s="41"/>
      <c r="K257" s="8"/>
      <c r="L257" s="42" t="str">
        <f aca="false">IF(OR(B257="",I257=""),"",ROUND((IF(J257="",AsOf,J257)-I257)/365.25,1))</f>
        <v/>
      </c>
      <c r="M257" s="8"/>
      <c r="N257" s="8"/>
      <c r="O257" s="8"/>
      <c r="P257" s="8"/>
      <c r="Q257" s="41"/>
      <c r="R257" s="43" t="str">
        <f aca="false">IF(OR(B257="",Q257=""),"",INT((AsOf-Q257)/365.25))</f>
        <v/>
      </c>
      <c r="S257" s="8"/>
      <c r="T257" s="40"/>
      <c r="U257" s="40"/>
      <c r="V257" s="40"/>
      <c r="W257" s="40"/>
      <c r="X257" s="8"/>
      <c r="Y257" s="8"/>
      <c r="Z257" s="8"/>
      <c r="AA257" s="8"/>
      <c r="AB257" s="8"/>
      <c r="AC257" s="8"/>
      <c r="AD257" s="8"/>
      <c r="AE257" s="40"/>
      <c r="AF257" s="8"/>
      <c r="AG257" s="40"/>
      <c r="AH257" s="40"/>
      <c r="AI257" s="8"/>
      <c r="AJ257" s="40"/>
      <c r="AK257" s="40"/>
      <c r="AL257" s="40"/>
      <c r="AM257" s="44"/>
      <c r="AN257" s="44"/>
      <c r="AO257" s="41"/>
      <c r="AP257" s="45" t="str">
        <f aca="false">IF(B257="","",IF(AND(ISNUMBER(AM257),ISNUMBER(AN257),AM257&gt;0,AN257&gt;0),AN257/AM257-1,""))</f>
        <v/>
      </c>
      <c r="AQ257" s="9" t="str">
        <f aca="false">IF(I257="","",(YEAR(I257)-IF(MONTH(I257)&lt;4,1,0))&amp;"-"&amp;RIGHT((YEAR(I257)-IF(MONTH(I257)&lt;4,1,0))+1,2))</f>
        <v/>
      </c>
      <c r="AR257" s="9" t="str">
        <f aca="false">IF(J257="","",(YEAR(J257)-IF(MONTH(J257)&lt;4,1,0))&amp;"-"&amp;RIGHT((YEAR(J257)-IF(MONTH(J257)&lt;4,1,0))+1,2))</f>
        <v/>
      </c>
      <c r="AS257" s="43" t="str">
        <f aca="false">IF(OR(B257="",Q257="",D257&lt;&gt;"Active"),"",DATE(YEAR(AsOf)+IF(DATE(YEAR(AsOf),MONTH(Q257),DAY(Q257))&lt;AsOf,1,0),MONTH(Q257),DAY(Q257))-AsOf)</f>
        <v/>
      </c>
      <c r="AT257" s="43" t="str">
        <f aca="false">IF(OR(B257="",I257="",D257&lt;&gt;"Active"),"",IF(YEAR(DATE(YEAR(AsOf)+IF(DATE(YEAR(AsOf),MONTH(I257),DAY(I257))&lt;AsOf,1,0),MONTH(I257),DAY(I257)))-YEAR(I257)&lt;1,"",DATE(YEAR(AsOf)+IF(DATE(YEAR(AsOf),MONTH(I257),DAY(I257))&lt;AsOf,1,0),MONTH(I257),DAY(I257))-AsOf))</f>
        <v/>
      </c>
      <c r="AU257" s="43" t="str">
        <f aca="false">IF(B257="","",IF(AV257="",0,LEN(AV257)-LEN(SUBSTITUTE(AV257,";",""))))</f>
        <v/>
      </c>
      <c r="AV257" s="9" t="str">
        <f aca="false">IF(B257="","",IF(COUNTIF($B$6:$B$505,B257)&gt;1,"Duplicate Emp Code; ","")&amp;IF(C257="","Name missing; ","")&amp;IF(I257="","DOJ missing; ","")&amp;IF(AND(J257&lt;&gt;"",I257&lt;&gt;"",J257&lt;I257),"Exit before DOJ; ","")&amp;IF(Q257="","DOB missing; ","")&amp;IF(T257="","Aadhaar missing; ",IF(LEN(T257)&lt;&gt;12,"Aadhaar not 12 digits; ",IF(COUNTIF($T$6:$T$505,T257)&gt;1,"Duplicate Aadhaar; ","")))&amp;IF(U257="","PAN missing; ",IF(LEN(U257)&lt;&gt;10,"PAN not 10 chars; ",""))&amp;IF(V257="","Mobile missing; ",IF(LEN(V257)&lt;&gt;10,"Mobile not 10 digits; ",""))&amp;IF(AG257="","Bank A/c missing; ","")&amp;IF(AH257="","IFSC missing; ",IF(LEN(AH257)&lt;&gt;11,"IFSC not 11 chars; ","")))</f>
        <v/>
      </c>
      <c r="AW257" s="46" t="str">
        <f aca="false">IF(AS257="","",AS257+ROW()/100000)</f>
        <v/>
      </c>
      <c r="AX257" s="46" t="str">
        <f aca="false">IF(AT257="","",AT257+ROW()/100000)</f>
        <v/>
      </c>
    </row>
    <row r="258" customFormat="false" ht="15" hidden="false" customHeight="false" outlineLevel="0" collapsed="false">
      <c r="A258" s="9" t="str">
        <f aca="false">IF(B258="","",ROW()-5)</f>
        <v/>
      </c>
      <c r="B258" s="40"/>
      <c r="C258" s="8"/>
      <c r="D258" s="9" t="str">
        <f aca="false">IF(B258="","",IF(J258="","Active","Exited"))</f>
        <v/>
      </c>
      <c r="E258" s="8"/>
      <c r="F258" s="8"/>
      <c r="G258" s="8"/>
      <c r="H258" s="9" t="str">
        <f aca="false">IF(OR(B258="",I258=""),"",IF(IF(J258="",AsOf,J258)-I258&gt;=Settings!$C$13,"Permanent","Probation"))</f>
        <v/>
      </c>
      <c r="I258" s="41"/>
      <c r="J258" s="41"/>
      <c r="K258" s="8"/>
      <c r="L258" s="42" t="str">
        <f aca="false">IF(OR(B258="",I258=""),"",ROUND((IF(J258="",AsOf,J258)-I258)/365.25,1))</f>
        <v/>
      </c>
      <c r="M258" s="8"/>
      <c r="N258" s="8"/>
      <c r="O258" s="8"/>
      <c r="P258" s="8"/>
      <c r="Q258" s="41"/>
      <c r="R258" s="43" t="str">
        <f aca="false">IF(OR(B258="",Q258=""),"",INT((AsOf-Q258)/365.25))</f>
        <v/>
      </c>
      <c r="S258" s="8"/>
      <c r="T258" s="40"/>
      <c r="U258" s="40"/>
      <c r="V258" s="40"/>
      <c r="W258" s="40"/>
      <c r="X258" s="8"/>
      <c r="Y258" s="8"/>
      <c r="Z258" s="8"/>
      <c r="AA258" s="8"/>
      <c r="AB258" s="8"/>
      <c r="AC258" s="8"/>
      <c r="AD258" s="8"/>
      <c r="AE258" s="40"/>
      <c r="AF258" s="8"/>
      <c r="AG258" s="40"/>
      <c r="AH258" s="40"/>
      <c r="AI258" s="8"/>
      <c r="AJ258" s="40"/>
      <c r="AK258" s="40"/>
      <c r="AL258" s="40"/>
      <c r="AM258" s="44"/>
      <c r="AN258" s="44"/>
      <c r="AO258" s="41"/>
      <c r="AP258" s="45" t="str">
        <f aca="false">IF(B258="","",IF(AND(ISNUMBER(AM258),ISNUMBER(AN258),AM258&gt;0,AN258&gt;0),AN258/AM258-1,""))</f>
        <v/>
      </c>
      <c r="AQ258" s="9" t="str">
        <f aca="false">IF(I258="","",(YEAR(I258)-IF(MONTH(I258)&lt;4,1,0))&amp;"-"&amp;RIGHT((YEAR(I258)-IF(MONTH(I258)&lt;4,1,0))+1,2))</f>
        <v/>
      </c>
      <c r="AR258" s="9" t="str">
        <f aca="false">IF(J258="","",(YEAR(J258)-IF(MONTH(J258)&lt;4,1,0))&amp;"-"&amp;RIGHT((YEAR(J258)-IF(MONTH(J258)&lt;4,1,0))+1,2))</f>
        <v/>
      </c>
      <c r="AS258" s="43" t="str">
        <f aca="false">IF(OR(B258="",Q258="",D258&lt;&gt;"Active"),"",DATE(YEAR(AsOf)+IF(DATE(YEAR(AsOf),MONTH(Q258),DAY(Q258))&lt;AsOf,1,0),MONTH(Q258),DAY(Q258))-AsOf)</f>
        <v/>
      </c>
      <c r="AT258" s="43" t="str">
        <f aca="false">IF(OR(B258="",I258="",D258&lt;&gt;"Active"),"",IF(YEAR(DATE(YEAR(AsOf)+IF(DATE(YEAR(AsOf),MONTH(I258),DAY(I258))&lt;AsOf,1,0),MONTH(I258),DAY(I258)))-YEAR(I258)&lt;1,"",DATE(YEAR(AsOf)+IF(DATE(YEAR(AsOf),MONTH(I258),DAY(I258))&lt;AsOf,1,0),MONTH(I258),DAY(I258))-AsOf))</f>
        <v/>
      </c>
      <c r="AU258" s="43" t="str">
        <f aca="false">IF(B258="","",IF(AV258="",0,LEN(AV258)-LEN(SUBSTITUTE(AV258,";",""))))</f>
        <v/>
      </c>
      <c r="AV258" s="9" t="str">
        <f aca="false">IF(B258="","",IF(COUNTIF($B$6:$B$505,B258)&gt;1,"Duplicate Emp Code; ","")&amp;IF(C258="","Name missing; ","")&amp;IF(I258="","DOJ missing; ","")&amp;IF(AND(J258&lt;&gt;"",I258&lt;&gt;"",J258&lt;I258),"Exit before DOJ; ","")&amp;IF(Q258="","DOB missing; ","")&amp;IF(T258="","Aadhaar missing; ",IF(LEN(T258)&lt;&gt;12,"Aadhaar not 12 digits; ",IF(COUNTIF($T$6:$T$505,T258)&gt;1,"Duplicate Aadhaar; ","")))&amp;IF(U258="","PAN missing; ",IF(LEN(U258)&lt;&gt;10,"PAN not 10 chars; ",""))&amp;IF(V258="","Mobile missing; ",IF(LEN(V258)&lt;&gt;10,"Mobile not 10 digits; ",""))&amp;IF(AG258="","Bank A/c missing; ","")&amp;IF(AH258="","IFSC missing; ",IF(LEN(AH258)&lt;&gt;11,"IFSC not 11 chars; ","")))</f>
        <v/>
      </c>
      <c r="AW258" s="46" t="str">
        <f aca="false">IF(AS258="","",AS258+ROW()/100000)</f>
        <v/>
      </c>
      <c r="AX258" s="46" t="str">
        <f aca="false">IF(AT258="","",AT258+ROW()/100000)</f>
        <v/>
      </c>
    </row>
    <row r="259" customFormat="false" ht="15" hidden="false" customHeight="false" outlineLevel="0" collapsed="false">
      <c r="A259" s="9" t="str">
        <f aca="false">IF(B259="","",ROW()-5)</f>
        <v/>
      </c>
      <c r="B259" s="40"/>
      <c r="C259" s="8"/>
      <c r="D259" s="9" t="str">
        <f aca="false">IF(B259="","",IF(J259="","Active","Exited"))</f>
        <v/>
      </c>
      <c r="E259" s="8"/>
      <c r="F259" s="8"/>
      <c r="G259" s="8"/>
      <c r="H259" s="9" t="str">
        <f aca="false">IF(OR(B259="",I259=""),"",IF(IF(J259="",AsOf,J259)-I259&gt;=Settings!$C$13,"Permanent","Probation"))</f>
        <v/>
      </c>
      <c r="I259" s="41"/>
      <c r="J259" s="41"/>
      <c r="K259" s="8"/>
      <c r="L259" s="42" t="str">
        <f aca="false">IF(OR(B259="",I259=""),"",ROUND((IF(J259="",AsOf,J259)-I259)/365.25,1))</f>
        <v/>
      </c>
      <c r="M259" s="8"/>
      <c r="N259" s="8"/>
      <c r="O259" s="8"/>
      <c r="P259" s="8"/>
      <c r="Q259" s="41"/>
      <c r="R259" s="43" t="str">
        <f aca="false">IF(OR(B259="",Q259=""),"",INT((AsOf-Q259)/365.25))</f>
        <v/>
      </c>
      <c r="S259" s="8"/>
      <c r="T259" s="40"/>
      <c r="U259" s="40"/>
      <c r="V259" s="40"/>
      <c r="W259" s="40"/>
      <c r="X259" s="8"/>
      <c r="Y259" s="8"/>
      <c r="Z259" s="8"/>
      <c r="AA259" s="8"/>
      <c r="AB259" s="8"/>
      <c r="AC259" s="8"/>
      <c r="AD259" s="8"/>
      <c r="AE259" s="40"/>
      <c r="AF259" s="8"/>
      <c r="AG259" s="40"/>
      <c r="AH259" s="40"/>
      <c r="AI259" s="8"/>
      <c r="AJ259" s="40"/>
      <c r="AK259" s="40"/>
      <c r="AL259" s="40"/>
      <c r="AM259" s="44"/>
      <c r="AN259" s="44"/>
      <c r="AO259" s="41"/>
      <c r="AP259" s="45" t="str">
        <f aca="false">IF(B259="","",IF(AND(ISNUMBER(AM259),ISNUMBER(AN259),AM259&gt;0,AN259&gt;0),AN259/AM259-1,""))</f>
        <v/>
      </c>
      <c r="AQ259" s="9" t="str">
        <f aca="false">IF(I259="","",(YEAR(I259)-IF(MONTH(I259)&lt;4,1,0))&amp;"-"&amp;RIGHT((YEAR(I259)-IF(MONTH(I259)&lt;4,1,0))+1,2))</f>
        <v/>
      </c>
      <c r="AR259" s="9" t="str">
        <f aca="false">IF(J259="","",(YEAR(J259)-IF(MONTH(J259)&lt;4,1,0))&amp;"-"&amp;RIGHT((YEAR(J259)-IF(MONTH(J259)&lt;4,1,0))+1,2))</f>
        <v/>
      </c>
      <c r="AS259" s="43" t="str">
        <f aca="false">IF(OR(B259="",Q259="",D259&lt;&gt;"Active"),"",DATE(YEAR(AsOf)+IF(DATE(YEAR(AsOf),MONTH(Q259),DAY(Q259))&lt;AsOf,1,0),MONTH(Q259),DAY(Q259))-AsOf)</f>
        <v/>
      </c>
      <c r="AT259" s="43" t="str">
        <f aca="false">IF(OR(B259="",I259="",D259&lt;&gt;"Active"),"",IF(YEAR(DATE(YEAR(AsOf)+IF(DATE(YEAR(AsOf),MONTH(I259),DAY(I259))&lt;AsOf,1,0),MONTH(I259),DAY(I259)))-YEAR(I259)&lt;1,"",DATE(YEAR(AsOf)+IF(DATE(YEAR(AsOf),MONTH(I259),DAY(I259))&lt;AsOf,1,0),MONTH(I259),DAY(I259))-AsOf))</f>
        <v/>
      </c>
      <c r="AU259" s="43" t="str">
        <f aca="false">IF(B259="","",IF(AV259="",0,LEN(AV259)-LEN(SUBSTITUTE(AV259,";",""))))</f>
        <v/>
      </c>
      <c r="AV259" s="9" t="str">
        <f aca="false">IF(B259="","",IF(COUNTIF($B$6:$B$505,B259)&gt;1,"Duplicate Emp Code; ","")&amp;IF(C259="","Name missing; ","")&amp;IF(I259="","DOJ missing; ","")&amp;IF(AND(J259&lt;&gt;"",I259&lt;&gt;"",J259&lt;I259),"Exit before DOJ; ","")&amp;IF(Q259="","DOB missing; ","")&amp;IF(T259="","Aadhaar missing; ",IF(LEN(T259)&lt;&gt;12,"Aadhaar not 12 digits; ",IF(COUNTIF($T$6:$T$505,T259)&gt;1,"Duplicate Aadhaar; ","")))&amp;IF(U259="","PAN missing; ",IF(LEN(U259)&lt;&gt;10,"PAN not 10 chars; ",""))&amp;IF(V259="","Mobile missing; ",IF(LEN(V259)&lt;&gt;10,"Mobile not 10 digits; ",""))&amp;IF(AG259="","Bank A/c missing; ","")&amp;IF(AH259="","IFSC missing; ",IF(LEN(AH259)&lt;&gt;11,"IFSC not 11 chars; ","")))</f>
        <v/>
      </c>
      <c r="AW259" s="46" t="str">
        <f aca="false">IF(AS259="","",AS259+ROW()/100000)</f>
        <v/>
      </c>
      <c r="AX259" s="46" t="str">
        <f aca="false">IF(AT259="","",AT259+ROW()/100000)</f>
        <v/>
      </c>
    </row>
    <row r="260" customFormat="false" ht="15" hidden="false" customHeight="false" outlineLevel="0" collapsed="false">
      <c r="A260" s="9" t="str">
        <f aca="false">IF(B260="","",ROW()-5)</f>
        <v/>
      </c>
      <c r="B260" s="40"/>
      <c r="C260" s="8"/>
      <c r="D260" s="9" t="str">
        <f aca="false">IF(B260="","",IF(J260="","Active","Exited"))</f>
        <v/>
      </c>
      <c r="E260" s="8"/>
      <c r="F260" s="8"/>
      <c r="G260" s="8"/>
      <c r="H260" s="9" t="str">
        <f aca="false">IF(OR(B260="",I260=""),"",IF(IF(J260="",AsOf,J260)-I260&gt;=Settings!$C$13,"Permanent","Probation"))</f>
        <v/>
      </c>
      <c r="I260" s="41"/>
      <c r="J260" s="41"/>
      <c r="K260" s="8"/>
      <c r="L260" s="42" t="str">
        <f aca="false">IF(OR(B260="",I260=""),"",ROUND((IF(J260="",AsOf,J260)-I260)/365.25,1))</f>
        <v/>
      </c>
      <c r="M260" s="8"/>
      <c r="N260" s="8"/>
      <c r="O260" s="8"/>
      <c r="P260" s="8"/>
      <c r="Q260" s="41"/>
      <c r="R260" s="43" t="str">
        <f aca="false">IF(OR(B260="",Q260=""),"",INT((AsOf-Q260)/365.25))</f>
        <v/>
      </c>
      <c r="S260" s="8"/>
      <c r="T260" s="40"/>
      <c r="U260" s="40"/>
      <c r="V260" s="40"/>
      <c r="W260" s="40"/>
      <c r="X260" s="8"/>
      <c r="Y260" s="8"/>
      <c r="Z260" s="8"/>
      <c r="AA260" s="8"/>
      <c r="AB260" s="8"/>
      <c r="AC260" s="8"/>
      <c r="AD260" s="8"/>
      <c r="AE260" s="40"/>
      <c r="AF260" s="8"/>
      <c r="AG260" s="40"/>
      <c r="AH260" s="40"/>
      <c r="AI260" s="8"/>
      <c r="AJ260" s="40"/>
      <c r="AK260" s="40"/>
      <c r="AL260" s="40"/>
      <c r="AM260" s="44"/>
      <c r="AN260" s="44"/>
      <c r="AO260" s="41"/>
      <c r="AP260" s="45" t="str">
        <f aca="false">IF(B260="","",IF(AND(ISNUMBER(AM260),ISNUMBER(AN260),AM260&gt;0,AN260&gt;0),AN260/AM260-1,""))</f>
        <v/>
      </c>
      <c r="AQ260" s="9" t="str">
        <f aca="false">IF(I260="","",(YEAR(I260)-IF(MONTH(I260)&lt;4,1,0))&amp;"-"&amp;RIGHT((YEAR(I260)-IF(MONTH(I260)&lt;4,1,0))+1,2))</f>
        <v/>
      </c>
      <c r="AR260" s="9" t="str">
        <f aca="false">IF(J260="","",(YEAR(J260)-IF(MONTH(J260)&lt;4,1,0))&amp;"-"&amp;RIGHT((YEAR(J260)-IF(MONTH(J260)&lt;4,1,0))+1,2))</f>
        <v/>
      </c>
      <c r="AS260" s="43" t="str">
        <f aca="false">IF(OR(B260="",Q260="",D260&lt;&gt;"Active"),"",DATE(YEAR(AsOf)+IF(DATE(YEAR(AsOf),MONTH(Q260),DAY(Q260))&lt;AsOf,1,0),MONTH(Q260),DAY(Q260))-AsOf)</f>
        <v/>
      </c>
      <c r="AT260" s="43" t="str">
        <f aca="false">IF(OR(B260="",I260="",D260&lt;&gt;"Active"),"",IF(YEAR(DATE(YEAR(AsOf)+IF(DATE(YEAR(AsOf),MONTH(I260),DAY(I260))&lt;AsOf,1,0),MONTH(I260),DAY(I260)))-YEAR(I260)&lt;1,"",DATE(YEAR(AsOf)+IF(DATE(YEAR(AsOf),MONTH(I260),DAY(I260))&lt;AsOf,1,0),MONTH(I260),DAY(I260))-AsOf))</f>
        <v/>
      </c>
      <c r="AU260" s="43" t="str">
        <f aca="false">IF(B260="","",IF(AV260="",0,LEN(AV260)-LEN(SUBSTITUTE(AV260,";",""))))</f>
        <v/>
      </c>
      <c r="AV260" s="9" t="str">
        <f aca="false">IF(B260="","",IF(COUNTIF($B$6:$B$505,B260)&gt;1,"Duplicate Emp Code; ","")&amp;IF(C260="","Name missing; ","")&amp;IF(I260="","DOJ missing; ","")&amp;IF(AND(J260&lt;&gt;"",I260&lt;&gt;"",J260&lt;I260),"Exit before DOJ; ","")&amp;IF(Q260="","DOB missing; ","")&amp;IF(T260="","Aadhaar missing; ",IF(LEN(T260)&lt;&gt;12,"Aadhaar not 12 digits; ",IF(COUNTIF($T$6:$T$505,T260)&gt;1,"Duplicate Aadhaar; ","")))&amp;IF(U260="","PAN missing; ",IF(LEN(U260)&lt;&gt;10,"PAN not 10 chars; ",""))&amp;IF(V260="","Mobile missing; ",IF(LEN(V260)&lt;&gt;10,"Mobile not 10 digits; ",""))&amp;IF(AG260="","Bank A/c missing; ","")&amp;IF(AH260="","IFSC missing; ",IF(LEN(AH260)&lt;&gt;11,"IFSC not 11 chars; ","")))</f>
        <v/>
      </c>
      <c r="AW260" s="46" t="str">
        <f aca="false">IF(AS260="","",AS260+ROW()/100000)</f>
        <v/>
      </c>
      <c r="AX260" s="46" t="str">
        <f aca="false">IF(AT260="","",AT260+ROW()/100000)</f>
        <v/>
      </c>
    </row>
    <row r="261" customFormat="false" ht="15" hidden="false" customHeight="false" outlineLevel="0" collapsed="false">
      <c r="A261" s="9" t="str">
        <f aca="false">IF(B261="","",ROW()-5)</f>
        <v/>
      </c>
      <c r="B261" s="40"/>
      <c r="C261" s="8"/>
      <c r="D261" s="9" t="str">
        <f aca="false">IF(B261="","",IF(J261="","Active","Exited"))</f>
        <v/>
      </c>
      <c r="E261" s="8"/>
      <c r="F261" s="8"/>
      <c r="G261" s="8"/>
      <c r="H261" s="9" t="str">
        <f aca="false">IF(OR(B261="",I261=""),"",IF(IF(J261="",AsOf,J261)-I261&gt;=Settings!$C$13,"Permanent","Probation"))</f>
        <v/>
      </c>
      <c r="I261" s="41"/>
      <c r="J261" s="41"/>
      <c r="K261" s="8"/>
      <c r="L261" s="42" t="str">
        <f aca="false">IF(OR(B261="",I261=""),"",ROUND((IF(J261="",AsOf,J261)-I261)/365.25,1))</f>
        <v/>
      </c>
      <c r="M261" s="8"/>
      <c r="N261" s="8"/>
      <c r="O261" s="8"/>
      <c r="P261" s="8"/>
      <c r="Q261" s="41"/>
      <c r="R261" s="43" t="str">
        <f aca="false">IF(OR(B261="",Q261=""),"",INT((AsOf-Q261)/365.25))</f>
        <v/>
      </c>
      <c r="S261" s="8"/>
      <c r="T261" s="40"/>
      <c r="U261" s="40"/>
      <c r="V261" s="40"/>
      <c r="W261" s="40"/>
      <c r="X261" s="8"/>
      <c r="Y261" s="8"/>
      <c r="Z261" s="8"/>
      <c r="AA261" s="8"/>
      <c r="AB261" s="8"/>
      <c r="AC261" s="8"/>
      <c r="AD261" s="8"/>
      <c r="AE261" s="40"/>
      <c r="AF261" s="8"/>
      <c r="AG261" s="40"/>
      <c r="AH261" s="40"/>
      <c r="AI261" s="8"/>
      <c r="AJ261" s="40"/>
      <c r="AK261" s="40"/>
      <c r="AL261" s="40"/>
      <c r="AM261" s="44"/>
      <c r="AN261" s="44"/>
      <c r="AO261" s="41"/>
      <c r="AP261" s="45" t="str">
        <f aca="false">IF(B261="","",IF(AND(ISNUMBER(AM261),ISNUMBER(AN261),AM261&gt;0,AN261&gt;0),AN261/AM261-1,""))</f>
        <v/>
      </c>
      <c r="AQ261" s="9" t="str">
        <f aca="false">IF(I261="","",(YEAR(I261)-IF(MONTH(I261)&lt;4,1,0))&amp;"-"&amp;RIGHT((YEAR(I261)-IF(MONTH(I261)&lt;4,1,0))+1,2))</f>
        <v/>
      </c>
      <c r="AR261" s="9" t="str">
        <f aca="false">IF(J261="","",(YEAR(J261)-IF(MONTH(J261)&lt;4,1,0))&amp;"-"&amp;RIGHT((YEAR(J261)-IF(MONTH(J261)&lt;4,1,0))+1,2))</f>
        <v/>
      </c>
      <c r="AS261" s="43" t="str">
        <f aca="false">IF(OR(B261="",Q261="",D261&lt;&gt;"Active"),"",DATE(YEAR(AsOf)+IF(DATE(YEAR(AsOf),MONTH(Q261),DAY(Q261))&lt;AsOf,1,0),MONTH(Q261),DAY(Q261))-AsOf)</f>
        <v/>
      </c>
      <c r="AT261" s="43" t="str">
        <f aca="false">IF(OR(B261="",I261="",D261&lt;&gt;"Active"),"",IF(YEAR(DATE(YEAR(AsOf)+IF(DATE(YEAR(AsOf),MONTH(I261),DAY(I261))&lt;AsOf,1,0),MONTH(I261),DAY(I261)))-YEAR(I261)&lt;1,"",DATE(YEAR(AsOf)+IF(DATE(YEAR(AsOf),MONTH(I261),DAY(I261))&lt;AsOf,1,0),MONTH(I261),DAY(I261))-AsOf))</f>
        <v/>
      </c>
      <c r="AU261" s="43" t="str">
        <f aca="false">IF(B261="","",IF(AV261="",0,LEN(AV261)-LEN(SUBSTITUTE(AV261,";",""))))</f>
        <v/>
      </c>
      <c r="AV261" s="9" t="str">
        <f aca="false">IF(B261="","",IF(COUNTIF($B$6:$B$505,B261)&gt;1,"Duplicate Emp Code; ","")&amp;IF(C261="","Name missing; ","")&amp;IF(I261="","DOJ missing; ","")&amp;IF(AND(J261&lt;&gt;"",I261&lt;&gt;"",J261&lt;I261),"Exit before DOJ; ","")&amp;IF(Q261="","DOB missing; ","")&amp;IF(T261="","Aadhaar missing; ",IF(LEN(T261)&lt;&gt;12,"Aadhaar not 12 digits; ",IF(COUNTIF($T$6:$T$505,T261)&gt;1,"Duplicate Aadhaar; ","")))&amp;IF(U261="","PAN missing; ",IF(LEN(U261)&lt;&gt;10,"PAN not 10 chars; ",""))&amp;IF(V261="","Mobile missing; ",IF(LEN(V261)&lt;&gt;10,"Mobile not 10 digits; ",""))&amp;IF(AG261="","Bank A/c missing; ","")&amp;IF(AH261="","IFSC missing; ",IF(LEN(AH261)&lt;&gt;11,"IFSC not 11 chars; ","")))</f>
        <v/>
      </c>
      <c r="AW261" s="46" t="str">
        <f aca="false">IF(AS261="","",AS261+ROW()/100000)</f>
        <v/>
      </c>
      <c r="AX261" s="46" t="str">
        <f aca="false">IF(AT261="","",AT261+ROW()/100000)</f>
        <v/>
      </c>
    </row>
    <row r="262" customFormat="false" ht="15" hidden="false" customHeight="false" outlineLevel="0" collapsed="false">
      <c r="A262" s="9" t="str">
        <f aca="false">IF(B262="","",ROW()-5)</f>
        <v/>
      </c>
      <c r="B262" s="40"/>
      <c r="C262" s="8"/>
      <c r="D262" s="9" t="str">
        <f aca="false">IF(B262="","",IF(J262="","Active","Exited"))</f>
        <v/>
      </c>
      <c r="E262" s="8"/>
      <c r="F262" s="8"/>
      <c r="G262" s="8"/>
      <c r="H262" s="9" t="str">
        <f aca="false">IF(OR(B262="",I262=""),"",IF(IF(J262="",AsOf,J262)-I262&gt;=Settings!$C$13,"Permanent","Probation"))</f>
        <v/>
      </c>
      <c r="I262" s="41"/>
      <c r="J262" s="41"/>
      <c r="K262" s="8"/>
      <c r="L262" s="42" t="str">
        <f aca="false">IF(OR(B262="",I262=""),"",ROUND((IF(J262="",AsOf,J262)-I262)/365.25,1))</f>
        <v/>
      </c>
      <c r="M262" s="8"/>
      <c r="N262" s="8"/>
      <c r="O262" s="8"/>
      <c r="P262" s="8"/>
      <c r="Q262" s="41"/>
      <c r="R262" s="43" t="str">
        <f aca="false">IF(OR(B262="",Q262=""),"",INT((AsOf-Q262)/365.25))</f>
        <v/>
      </c>
      <c r="S262" s="8"/>
      <c r="T262" s="40"/>
      <c r="U262" s="40"/>
      <c r="V262" s="40"/>
      <c r="W262" s="40"/>
      <c r="X262" s="8"/>
      <c r="Y262" s="8"/>
      <c r="Z262" s="8"/>
      <c r="AA262" s="8"/>
      <c r="AB262" s="8"/>
      <c r="AC262" s="8"/>
      <c r="AD262" s="8"/>
      <c r="AE262" s="40"/>
      <c r="AF262" s="8"/>
      <c r="AG262" s="40"/>
      <c r="AH262" s="40"/>
      <c r="AI262" s="8"/>
      <c r="AJ262" s="40"/>
      <c r="AK262" s="40"/>
      <c r="AL262" s="40"/>
      <c r="AM262" s="44"/>
      <c r="AN262" s="44"/>
      <c r="AO262" s="41"/>
      <c r="AP262" s="45" t="str">
        <f aca="false">IF(B262="","",IF(AND(ISNUMBER(AM262),ISNUMBER(AN262),AM262&gt;0,AN262&gt;0),AN262/AM262-1,""))</f>
        <v/>
      </c>
      <c r="AQ262" s="9" t="str">
        <f aca="false">IF(I262="","",(YEAR(I262)-IF(MONTH(I262)&lt;4,1,0))&amp;"-"&amp;RIGHT((YEAR(I262)-IF(MONTH(I262)&lt;4,1,0))+1,2))</f>
        <v/>
      </c>
      <c r="AR262" s="9" t="str">
        <f aca="false">IF(J262="","",(YEAR(J262)-IF(MONTH(J262)&lt;4,1,0))&amp;"-"&amp;RIGHT((YEAR(J262)-IF(MONTH(J262)&lt;4,1,0))+1,2))</f>
        <v/>
      </c>
      <c r="AS262" s="43" t="str">
        <f aca="false">IF(OR(B262="",Q262="",D262&lt;&gt;"Active"),"",DATE(YEAR(AsOf)+IF(DATE(YEAR(AsOf),MONTH(Q262),DAY(Q262))&lt;AsOf,1,0),MONTH(Q262),DAY(Q262))-AsOf)</f>
        <v/>
      </c>
      <c r="AT262" s="43" t="str">
        <f aca="false">IF(OR(B262="",I262="",D262&lt;&gt;"Active"),"",IF(YEAR(DATE(YEAR(AsOf)+IF(DATE(YEAR(AsOf),MONTH(I262),DAY(I262))&lt;AsOf,1,0),MONTH(I262),DAY(I262)))-YEAR(I262)&lt;1,"",DATE(YEAR(AsOf)+IF(DATE(YEAR(AsOf),MONTH(I262),DAY(I262))&lt;AsOf,1,0),MONTH(I262),DAY(I262))-AsOf))</f>
        <v/>
      </c>
      <c r="AU262" s="43" t="str">
        <f aca="false">IF(B262="","",IF(AV262="",0,LEN(AV262)-LEN(SUBSTITUTE(AV262,";",""))))</f>
        <v/>
      </c>
      <c r="AV262" s="9" t="str">
        <f aca="false">IF(B262="","",IF(COUNTIF($B$6:$B$505,B262)&gt;1,"Duplicate Emp Code; ","")&amp;IF(C262="","Name missing; ","")&amp;IF(I262="","DOJ missing; ","")&amp;IF(AND(J262&lt;&gt;"",I262&lt;&gt;"",J262&lt;I262),"Exit before DOJ; ","")&amp;IF(Q262="","DOB missing; ","")&amp;IF(T262="","Aadhaar missing; ",IF(LEN(T262)&lt;&gt;12,"Aadhaar not 12 digits; ",IF(COUNTIF($T$6:$T$505,T262)&gt;1,"Duplicate Aadhaar; ","")))&amp;IF(U262="","PAN missing; ",IF(LEN(U262)&lt;&gt;10,"PAN not 10 chars; ",""))&amp;IF(V262="","Mobile missing; ",IF(LEN(V262)&lt;&gt;10,"Mobile not 10 digits; ",""))&amp;IF(AG262="","Bank A/c missing; ","")&amp;IF(AH262="","IFSC missing; ",IF(LEN(AH262)&lt;&gt;11,"IFSC not 11 chars; ","")))</f>
        <v/>
      </c>
      <c r="AW262" s="46" t="str">
        <f aca="false">IF(AS262="","",AS262+ROW()/100000)</f>
        <v/>
      </c>
      <c r="AX262" s="46" t="str">
        <f aca="false">IF(AT262="","",AT262+ROW()/100000)</f>
        <v/>
      </c>
    </row>
    <row r="263" customFormat="false" ht="15" hidden="false" customHeight="false" outlineLevel="0" collapsed="false">
      <c r="A263" s="9" t="str">
        <f aca="false">IF(B263="","",ROW()-5)</f>
        <v/>
      </c>
      <c r="B263" s="40"/>
      <c r="C263" s="8"/>
      <c r="D263" s="9" t="str">
        <f aca="false">IF(B263="","",IF(J263="","Active","Exited"))</f>
        <v/>
      </c>
      <c r="E263" s="8"/>
      <c r="F263" s="8"/>
      <c r="G263" s="8"/>
      <c r="H263" s="9" t="str">
        <f aca="false">IF(OR(B263="",I263=""),"",IF(IF(J263="",AsOf,J263)-I263&gt;=Settings!$C$13,"Permanent","Probation"))</f>
        <v/>
      </c>
      <c r="I263" s="41"/>
      <c r="J263" s="41"/>
      <c r="K263" s="8"/>
      <c r="L263" s="42" t="str">
        <f aca="false">IF(OR(B263="",I263=""),"",ROUND((IF(J263="",AsOf,J263)-I263)/365.25,1))</f>
        <v/>
      </c>
      <c r="M263" s="8"/>
      <c r="N263" s="8"/>
      <c r="O263" s="8"/>
      <c r="P263" s="8"/>
      <c r="Q263" s="41"/>
      <c r="R263" s="43" t="str">
        <f aca="false">IF(OR(B263="",Q263=""),"",INT((AsOf-Q263)/365.25))</f>
        <v/>
      </c>
      <c r="S263" s="8"/>
      <c r="T263" s="40"/>
      <c r="U263" s="40"/>
      <c r="V263" s="40"/>
      <c r="W263" s="40"/>
      <c r="X263" s="8"/>
      <c r="Y263" s="8"/>
      <c r="Z263" s="8"/>
      <c r="AA263" s="8"/>
      <c r="AB263" s="8"/>
      <c r="AC263" s="8"/>
      <c r="AD263" s="8"/>
      <c r="AE263" s="40"/>
      <c r="AF263" s="8"/>
      <c r="AG263" s="40"/>
      <c r="AH263" s="40"/>
      <c r="AI263" s="8"/>
      <c r="AJ263" s="40"/>
      <c r="AK263" s="40"/>
      <c r="AL263" s="40"/>
      <c r="AM263" s="44"/>
      <c r="AN263" s="44"/>
      <c r="AO263" s="41"/>
      <c r="AP263" s="45" t="str">
        <f aca="false">IF(B263="","",IF(AND(ISNUMBER(AM263),ISNUMBER(AN263),AM263&gt;0,AN263&gt;0),AN263/AM263-1,""))</f>
        <v/>
      </c>
      <c r="AQ263" s="9" t="str">
        <f aca="false">IF(I263="","",(YEAR(I263)-IF(MONTH(I263)&lt;4,1,0))&amp;"-"&amp;RIGHT((YEAR(I263)-IF(MONTH(I263)&lt;4,1,0))+1,2))</f>
        <v/>
      </c>
      <c r="AR263" s="9" t="str">
        <f aca="false">IF(J263="","",(YEAR(J263)-IF(MONTH(J263)&lt;4,1,0))&amp;"-"&amp;RIGHT((YEAR(J263)-IF(MONTH(J263)&lt;4,1,0))+1,2))</f>
        <v/>
      </c>
      <c r="AS263" s="43" t="str">
        <f aca="false">IF(OR(B263="",Q263="",D263&lt;&gt;"Active"),"",DATE(YEAR(AsOf)+IF(DATE(YEAR(AsOf),MONTH(Q263),DAY(Q263))&lt;AsOf,1,0),MONTH(Q263),DAY(Q263))-AsOf)</f>
        <v/>
      </c>
      <c r="AT263" s="43" t="str">
        <f aca="false">IF(OR(B263="",I263="",D263&lt;&gt;"Active"),"",IF(YEAR(DATE(YEAR(AsOf)+IF(DATE(YEAR(AsOf),MONTH(I263),DAY(I263))&lt;AsOf,1,0),MONTH(I263),DAY(I263)))-YEAR(I263)&lt;1,"",DATE(YEAR(AsOf)+IF(DATE(YEAR(AsOf),MONTH(I263),DAY(I263))&lt;AsOf,1,0),MONTH(I263),DAY(I263))-AsOf))</f>
        <v/>
      </c>
      <c r="AU263" s="43" t="str">
        <f aca="false">IF(B263="","",IF(AV263="",0,LEN(AV263)-LEN(SUBSTITUTE(AV263,";",""))))</f>
        <v/>
      </c>
      <c r="AV263" s="9" t="str">
        <f aca="false">IF(B263="","",IF(COUNTIF($B$6:$B$505,B263)&gt;1,"Duplicate Emp Code; ","")&amp;IF(C263="","Name missing; ","")&amp;IF(I263="","DOJ missing; ","")&amp;IF(AND(J263&lt;&gt;"",I263&lt;&gt;"",J263&lt;I263),"Exit before DOJ; ","")&amp;IF(Q263="","DOB missing; ","")&amp;IF(T263="","Aadhaar missing; ",IF(LEN(T263)&lt;&gt;12,"Aadhaar not 12 digits; ",IF(COUNTIF($T$6:$T$505,T263)&gt;1,"Duplicate Aadhaar; ","")))&amp;IF(U263="","PAN missing; ",IF(LEN(U263)&lt;&gt;10,"PAN not 10 chars; ",""))&amp;IF(V263="","Mobile missing; ",IF(LEN(V263)&lt;&gt;10,"Mobile not 10 digits; ",""))&amp;IF(AG263="","Bank A/c missing; ","")&amp;IF(AH263="","IFSC missing; ",IF(LEN(AH263)&lt;&gt;11,"IFSC not 11 chars; ","")))</f>
        <v/>
      </c>
      <c r="AW263" s="46" t="str">
        <f aca="false">IF(AS263="","",AS263+ROW()/100000)</f>
        <v/>
      </c>
      <c r="AX263" s="46" t="str">
        <f aca="false">IF(AT263="","",AT263+ROW()/100000)</f>
        <v/>
      </c>
    </row>
    <row r="264" customFormat="false" ht="15" hidden="false" customHeight="false" outlineLevel="0" collapsed="false">
      <c r="A264" s="9" t="str">
        <f aca="false">IF(B264="","",ROW()-5)</f>
        <v/>
      </c>
      <c r="B264" s="40"/>
      <c r="C264" s="8"/>
      <c r="D264" s="9" t="str">
        <f aca="false">IF(B264="","",IF(J264="","Active","Exited"))</f>
        <v/>
      </c>
      <c r="E264" s="8"/>
      <c r="F264" s="8"/>
      <c r="G264" s="8"/>
      <c r="H264" s="9" t="str">
        <f aca="false">IF(OR(B264="",I264=""),"",IF(IF(J264="",AsOf,J264)-I264&gt;=Settings!$C$13,"Permanent","Probation"))</f>
        <v/>
      </c>
      <c r="I264" s="41"/>
      <c r="J264" s="41"/>
      <c r="K264" s="8"/>
      <c r="L264" s="42" t="str">
        <f aca="false">IF(OR(B264="",I264=""),"",ROUND((IF(J264="",AsOf,J264)-I264)/365.25,1))</f>
        <v/>
      </c>
      <c r="M264" s="8"/>
      <c r="N264" s="8"/>
      <c r="O264" s="8"/>
      <c r="P264" s="8"/>
      <c r="Q264" s="41"/>
      <c r="R264" s="43" t="str">
        <f aca="false">IF(OR(B264="",Q264=""),"",INT((AsOf-Q264)/365.25))</f>
        <v/>
      </c>
      <c r="S264" s="8"/>
      <c r="T264" s="40"/>
      <c r="U264" s="40"/>
      <c r="V264" s="40"/>
      <c r="W264" s="40"/>
      <c r="X264" s="8"/>
      <c r="Y264" s="8"/>
      <c r="Z264" s="8"/>
      <c r="AA264" s="8"/>
      <c r="AB264" s="8"/>
      <c r="AC264" s="8"/>
      <c r="AD264" s="8"/>
      <c r="AE264" s="40"/>
      <c r="AF264" s="8"/>
      <c r="AG264" s="40"/>
      <c r="AH264" s="40"/>
      <c r="AI264" s="8"/>
      <c r="AJ264" s="40"/>
      <c r="AK264" s="40"/>
      <c r="AL264" s="40"/>
      <c r="AM264" s="44"/>
      <c r="AN264" s="44"/>
      <c r="AO264" s="41"/>
      <c r="AP264" s="45" t="str">
        <f aca="false">IF(B264="","",IF(AND(ISNUMBER(AM264),ISNUMBER(AN264),AM264&gt;0,AN264&gt;0),AN264/AM264-1,""))</f>
        <v/>
      </c>
      <c r="AQ264" s="9" t="str">
        <f aca="false">IF(I264="","",(YEAR(I264)-IF(MONTH(I264)&lt;4,1,0))&amp;"-"&amp;RIGHT((YEAR(I264)-IF(MONTH(I264)&lt;4,1,0))+1,2))</f>
        <v/>
      </c>
      <c r="AR264" s="9" t="str">
        <f aca="false">IF(J264="","",(YEAR(J264)-IF(MONTH(J264)&lt;4,1,0))&amp;"-"&amp;RIGHT((YEAR(J264)-IF(MONTH(J264)&lt;4,1,0))+1,2))</f>
        <v/>
      </c>
      <c r="AS264" s="43" t="str">
        <f aca="false">IF(OR(B264="",Q264="",D264&lt;&gt;"Active"),"",DATE(YEAR(AsOf)+IF(DATE(YEAR(AsOf),MONTH(Q264),DAY(Q264))&lt;AsOf,1,0),MONTH(Q264),DAY(Q264))-AsOf)</f>
        <v/>
      </c>
      <c r="AT264" s="43" t="str">
        <f aca="false">IF(OR(B264="",I264="",D264&lt;&gt;"Active"),"",IF(YEAR(DATE(YEAR(AsOf)+IF(DATE(YEAR(AsOf),MONTH(I264),DAY(I264))&lt;AsOf,1,0),MONTH(I264),DAY(I264)))-YEAR(I264)&lt;1,"",DATE(YEAR(AsOf)+IF(DATE(YEAR(AsOf),MONTH(I264),DAY(I264))&lt;AsOf,1,0),MONTH(I264),DAY(I264))-AsOf))</f>
        <v/>
      </c>
      <c r="AU264" s="43" t="str">
        <f aca="false">IF(B264="","",IF(AV264="",0,LEN(AV264)-LEN(SUBSTITUTE(AV264,";",""))))</f>
        <v/>
      </c>
      <c r="AV264" s="9" t="str">
        <f aca="false">IF(B264="","",IF(COUNTIF($B$6:$B$505,B264)&gt;1,"Duplicate Emp Code; ","")&amp;IF(C264="","Name missing; ","")&amp;IF(I264="","DOJ missing; ","")&amp;IF(AND(J264&lt;&gt;"",I264&lt;&gt;"",J264&lt;I264),"Exit before DOJ; ","")&amp;IF(Q264="","DOB missing; ","")&amp;IF(T264="","Aadhaar missing; ",IF(LEN(T264)&lt;&gt;12,"Aadhaar not 12 digits; ",IF(COUNTIF($T$6:$T$505,T264)&gt;1,"Duplicate Aadhaar; ","")))&amp;IF(U264="","PAN missing; ",IF(LEN(U264)&lt;&gt;10,"PAN not 10 chars; ",""))&amp;IF(V264="","Mobile missing; ",IF(LEN(V264)&lt;&gt;10,"Mobile not 10 digits; ",""))&amp;IF(AG264="","Bank A/c missing; ","")&amp;IF(AH264="","IFSC missing; ",IF(LEN(AH264)&lt;&gt;11,"IFSC not 11 chars; ","")))</f>
        <v/>
      </c>
      <c r="AW264" s="46" t="str">
        <f aca="false">IF(AS264="","",AS264+ROW()/100000)</f>
        <v/>
      </c>
      <c r="AX264" s="46" t="str">
        <f aca="false">IF(AT264="","",AT264+ROW()/100000)</f>
        <v/>
      </c>
    </row>
    <row r="265" customFormat="false" ht="15" hidden="false" customHeight="false" outlineLevel="0" collapsed="false">
      <c r="A265" s="9" t="str">
        <f aca="false">IF(B265="","",ROW()-5)</f>
        <v/>
      </c>
      <c r="B265" s="40"/>
      <c r="C265" s="8"/>
      <c r="D265" s="9" t="str">
        <f aca="false">IF(B265="","",IF(J265="","Active","Exited"))</f>
        <v/>
      </c>
      <c r="E265" s="8"/>
      <c r="F265" s="8"/>
      <c r="G265" s="8"/>
      <c r="H265" s="9" t="str">
        <f aca="false">IF(OR(B265="",I265=""),"",IF(IF(J265="",AsOf,J265)-I265&gt;=Settings!$C$13,"Permanent","Probation"))</f>
        <v/>
      </c>
      <c r="I265" s="41"/>
      <c r="J265" s="41"/>
      <c r="K265" s="8"/>
      <c r="L265" s="42" t="str">
        <f aca="false">IF(OR(B265="",I265=""),"",ROUND((IF(J265="",AsOf,J265)-I265)/365.25,1))</f>
        <v/>
      </c>
      <c r="M265" s="8"/>
      <c r="N265" s="8"/>
      <c r="O265" s="8"/>
      <c r="P265" s="8"/>
      <c r="Q265" s="41"/>
      <c r="R265" s="43" t="str">
        <f aca="false">IF(OR(B265="",Q265=""),"",INT((AsOf-Q265)/365.25))</f>
        <v/>
      </c>
      <c r="S265" s="8"/>
      <c r="T265" s="40"/>
      <c r="U265" s="40"/>
      <c r="V265" s="40"/>
      <c r="W265" s="40"/>
      <c r="X265" s="8"/>
      <c r="Y265" s="8"/>
      <c r="Z265" s="8"/>
      <c r="AA265" s="8"/>
      <c r="AB265" s="8"/>
      <c r="AC265" s="8"/>
      <c r="AD265" s="8"/>
      <c r="AE265" s="40"/>
      <c r="AF265" s="8"/>
      <c r="AG265" s="40"/>
      <c r="AH265" s="40"/>
      <c r="AI265" s="8"/>
      <c r="AJ265" s="40"/>
      <c r="AK265" s="40"/>
      <c r="AL265" s="40"/>
      <c r="AM265" s="44"/>
      <c r="AN265" s="44"/>
      <c r="AO265" s="41"/>
      <c r="AP265" s="45" t="str">
        <f aca="false">IF(B265="","",IF(AND(ISNUMBER(AM265),ISNUMBER(AN265),AM265&gt;0,AN265&gt;0),AN265/AM265-1,""))</f>
        <v/>
      </c>
      <c r="AQ265" s="9" t="str">
        <f aca="false">IF(I265="","",(YEAR(I265)-IF(MONTH(I265)&lt;4,1,0))&amp;"-"&amp;RIGHT((YEAR(I265)-IF(MONTH(I265)&lt;4,1,0))+1,2))</f>
        <v/>
      </c>
      <c r="AR265" s="9" t="str">
        <f aca="false">IF(J265="","",(YEAR(J265)-IF(MONTH(J265)&lt;4,1,0))&amp;"-"&amp;RIGHT((YEAR(J265)-IF(MONTH(J265)&lt;4,1,0))+1,2))</f>
        <v/>
      </c>
      <c r="AS265" s="43" t="str">
        <f aca="false">IF(OR(B265="",Q265="",D265&lt;&gt;"Active"),"",DATE(YEAR(AsOf)+IF(DATE(YEAR(AsOf),MONTH(Q265),DAY(Q265))&lt;AsOf,1,0),MONTH(Q265),DAY(Q265))-AsOf)</f>
        <v/>
      </c>
      <c r="AT265" s="43" t="str">
        <f aca="false">IF(OR(B265="",I265="",D265&lt;&gt;"Active"),"",IF(YEAR(DATE(YEAR(AsOf)+IF(DATE(YEAR(AsOf),MONTH(I265),DAY(I265))&lt;AsOf,1,0),MONTH(I265),DAY(I265)))-YEAR(I265)&lt;1,"",DATE(YEAR(AsOf)+IF(DATE(YEAR(AsOf),MONTH(I265),DAY(I265))&lt;AsOf,1,0),MONTH(I265),DAY(I265))-AsOf))</f>
        <v/>
      </c>
      <c r="AU265" s="43" t="str">
        <f aca="false">IF(B265="","",IF(AV265="",0,LEN(AV265)-LEN(SUBSTITUTE(AV265,";",""))))</f>
        <v/>
      </c>
      <c r="AV265" s="9" t="str">
        <f aca="false">IF(B265="","",IF(COUNTIF($B$6:$B$505,B265)&gt;1,"Duplicate Emp Code; ","")&amp;IF(C265="","Name missing; ","")&amp;IF(I265="","DOJ missing; ","")&amp;IF(AND(J265&lt;&gt;"",I265&lt;&gt;"",J265&lt;I265),"Exit before DOJ; ","")&amp;IF(Q265="","DOB missing; ","")&amp;IF(T265="","Aadhaar missing; ",IF(LEN(T265)&lt;&gt;12,"Aadhaar not 12 digits; ",IF(COUNTIF($T$6:$T$505,T265)&gt;1,"Duplicate Aadhaar; ","")))&amp;IF(U265="","PAN missing; ",IF(LEN(U265)&lt;&gt;10,"PAN not 10 chars; ",""))&amp;IF(V265="","Mobile missing; ",IF(LEN(V265)&lt;&gt;10,"Mobile not 10 digits; ",""))&amp;IF(AG265="","Bank A/c missing; ","")&amp;IF(AH265="","IFSC missing; ",IF(LEN(AH265)&lt;&gt;11,"IFSC not 11 chars; ","")))</f>
        <v/>
      </c>
      <c r="AW265" s="46" t="str">
        <f aca="false">IF(AS265="","",AS265+ROW()/100000)</f>
        <v/>
      </c>
      <c r="AX265" s="46" t="str">
        <f aca="false">IF(AT265="","",AT265+ROW()/100000)</f>
        <v/>
      </c>
    </row>
    <row r="266" customFormat="false" ht="15" hidden="false" customHeight="false" outlineLevel="0" collapsed="false">
      <c r="A266" s="9" t="str">
        <f aca="false">IF(B266="","",ROW()-5)</f>
        <v/>
      </c>
      <c r="B266" s="40"/>
      <c r="C266" s="8"/>
      <c r="D266" s="9" t="str">
        <f aca="false">IF(B266="","",IF(J266="","Active","Exited"))</f>
        <v/>
      </c>
      <c r="E266" s="8"/>
      <c r="F266" s="8"/>
      <c r="G266" s="8"/>
      <c r="H266" s="9" t="str">
        <f aca="false">IF(OR(B266="",I266=""),"",IF(IF(J266="",AsOf,J266)-I266&gt;=Settings!$C$13,"Permanent","Probation"))</f>
        <v/>
      </c>
      <c r="I266" s="41"/>
      <c r="J266" s="41"/>
      <c r="K266" s="8"/>
      <c r="L266" s="42" t="str">
        <f aca="false">IF(OR(B266="",I266=""),"",ROUND((IF(J266="",AsOf,J266)-I266)/365.25,1))</f>
        <v/>
      </c>
      <c r="M266" s="8"/>
      <c r="N266" s="8"/>
      <c r="O266" s="8"/>
      <c r="P266" s="8"/>
      <c r="Q266" s="41"/>
      <c r="R266" s="43" t="str">
        <f aca="false">IF(OR(B266="",Q266=""),"",INT((AsOf-Q266)/365.25))</f>
        <v/>
      </c>
      <c r="S266" s="8"/>
      <c r="T266" s="40"/>
      <c r="U266" s="40"/>
      <c r="V266" s="40"/>
      <c r="W266" s="40"/>
      <c r="X266" s="8"/>
      <c r="Y266" s="8"/>
      <c r="Z266" s="8"/>
      <c r="AA266" s="8"/>
      <c r="AB266" s="8"/>
      <c r="AC266" s="8"/>
      <c r="AD266" s="8"/>
      <c r="AE266" s="40"/>
      <c r="AF266" s="8"/>
      <c r="AG266" s="40"/>
      <c r="AH266" s="40"/>
      <c r="AI266" s="8"/>
      <c r="AJ266" s="40"/>
      <c r="AK266" s="40"/>
      <c r="AL266" s="40"/>
      <c r="AM266" s="44"/>
      <c r="AN266" s="44"/>
      <c r="AO266" s="41"/>
      <c r="AP266" s="45" t="str">
        <f aca="false">IF(B266="","",IF(AND(ISNUMBER(AM266),ISNUMBER(AN266),AM266&gt;0,AN266&gt;0),AN266/AM266-1,""))</f>
        <v/>
      </c>
      <c r="AQ266" s="9" t="str">
        <f aca="false">IF(I266="","",(YEAR(I266)-IF(MONTH(I266)&lt;4,1,0))&amp;"-"&amp;RIGHT((YEAR(I266)-IF(MONTH(I266)&lt;4,1,0))+1,2))</f>
        <v/>
      </c>
      <c r="AR266" s="9" t="str">
        <f aca="false">IF(J266="","",(YEAR(J266)-IF(MONTH(J266)&lt;4,1,0))&amp;"-"&amp;RIGHT((YEAR(J266)-IF(MONTH(J266)&lt;4,1,0))+1,2))</f>
        <v/>
      </c>
      <c r="AS266" s="43" t="str">
        <f aca="false">IF(OR(B266="",Q266="",D266&lt;&gt;"Active"),"",DATE(YEAR(AsOf)+IF(DATE(YEAR(AsOf),MONTH(Q266),DAY(Q266))&lt;AsOf,1,0),MONTH(Q266),DAY(Q266))-AsOf)</f>
        <v/>
      </c>
      <c r="AT266" s="43" t="str">
        <f aca="false">IF(OR(B266="",I266="",D266&lt;&gt;"Active"),"",IF(YEAR(DATE(YEAR(AsOf)+IF(DATE(YEAR(AsOf),MONTH(I266),DAY(I266))&lt;AsOf,1,0),MONTH(I266),DAY(I266)))-YEAR(I266)&lt;1,"",DATE(YEAR(AsOf)+IF(DATE(YEAR(AsOf),MONTH(I266),DAY(I266))&lt;AsOf,1,0),MONTH(I266),DAY(I266))-AsOf))</f>
        <v/>
      </c>
      <c r="AU266" s="43" t="str">
        <f aca="false">IF(B266="","",IF(AV266="",0,LEN(AV266)-LEN(SUBSTITUTE(AV266,";",""))))</f>
        <v/>
      </c>
      <c r="AV266" s="9" t="str">
        <f aca="false">IF(B266="","",IF(COUNTIF($B$6:$B$505,B266)&gt;1,"Duplicate Emp Code; ","")&amp;IF(C266="","Name missing; ","")&amp;IF(I266="","DOJ missing; ","")&amp;IF(AND(J266&lt;&gt;"",I266&lt;&gt;"",J266&lt;I266),"Exit before DOJ; ","")&amp;IF(Q266="","DOB missing; ","")&amp;IF(T266="","Aadhaar missing; ",IF(LEN(T266)&lt;&gt;12,"Aadhaar not 12 digits; ",IF(COUNTIF($T$6:$T$505,T266)&gt;1,"Duplicate Aadhaar; ","")))&amp;IF(U266="","PAN missing; ",IF(LEN(U266)&lt;&gt;10,"PAN not 10 chars; ",""))&amp;IF(V266="","Mobile missing; ",IF(LEN(V266)&lt;&gt;10,"Mobile not 10 digits; ",""))&amp;IF(AG266="","Bank A/c missing; ","")&amp;IF(AH266="","IFSC missing; ",IF(LEN(AH266)&lt;&gt;11,"IFSC not 11 chars; ","")))</f>
        <v/>
      </c>
      <c r="AW266" s="46" t="str">
        <f aca="false">IF(AS266="","",AS266+ROW()/100000)</f>
        <v/>
      </c>
      <c r="AX266" s="46" t="str">
        <f aca="false">IF(AT266="","",AT266+ROW()/100000)</f>
        <v/>
      </c>
    </row>
    <row r="267" customFormat="false" ht="15" hidden="false" customHeight="false" outlineLevel="0" collapsed="false">
      <c r="A267" s="9" t="str">
        <f aca="false">IF(B267="","",ROW()-5)</f>
        <v/>
      </c>
      <c r="B267" s="40"/>
      <c r="C267" s="8"/>
      <c r="D267" s="9" t="str">
        <f aca="false">IF(B267="","",IF(J267="","Active","Exited"))</f>
        <v/>
      </c>
      <c r="E267" s="8"/>
      <c r="F267" s="8"/>
      <c r="G267" s="8"/>
      <c r="H267" s="9" t="str">
        <f aca="false">IF(OR(B267="",I267=""),"",IF(IF(J267="",AsOf,J267)-I267&gt;=Settings!$C$13,"Permanent","Probation"))</f>
        <v/>
      </c>
      <c r="I267" s="41"/>
      <c r="J267" s="41"/>
      <c r="K267" s="8"/>
      <c r="L267" s="42" t="str">
        <f aca="false">IF(OR(B267="",I267=""),"",ROUND((IF(J267="",AsOf,J267)-I267)/365.25,1))</f>
        <v/>
      </c>
      <c r="M267" s="8"/>
      <c r="N267" s="8"/>
      <c r="O267" s="8"/>
      <c r="P267" s="8"/>
      <c r="Q267" s="41"/>
      <c r="R267" s="43" t="str">
        <f aca="false">IF(OR(B267="",Q267=""),"",INT((AsOf-Q267)/365.25))</f>
        <v/>
      </c>
      <c r="S267" s="8"/>
      <c r="T267" s="40"/>
      <c r="U267" s="40"/>
      <c r="V267" s="40"/>
      <c r="W267" s="40"/>
      <c r="X267" s="8"/>
      <c r="Y267" s="8"/>
      <c r="Z267" s="8"/>
      <c r="AA267" s="8"/>
      <c r="AB267" s="8"/>
      <c r="AC267" s="8"/>
      <c r="AD267" s="8"/>
      <c r="AE267" s="40"/>
      <c r="AF267" s="8"/>
      <c r="AG267" s="40"/>
      <c r="AH267" s="40"/>
      <c r="AI267" s="8"/>
      <c r="AJ267" s="40"/>
      <c r="AK267" s="40"/>
      <c r="AL267" s="40"/>
      <c r="AM267" s="44"/>
      <c r="AN267" s="44"/>
      <c r="AO267" s="41"/>
      <c r="AP267" s="45" t="str">
        <f aca="false">IF(B267="","",IF(AND(ISNUMBER(AM267),ISNUMBER(AN267),AM267&gt;0,AN267&gt;0),AN267/AM267-1,""))</f>
        <v/>
      </c>
      <c r="AQ267" s="9" t="str">
        <f aca="false">IF(I267="","",(YEAR(I267)-IF(MONTH(I267)&lt;4,1,0))&amp;"-"&amp;RIGHT((YEAR(I267)-IF(MONTH(I267)&lt;4,1,0))+1,2))</f>
        <v/>
      </c>
      <c r="AR267" s="9" t="str">
        <f aca="false">IF(J267="","",(YEAR(J267)-IF(MONTH(J267)&lt;4,1,0))&amp;"-"&amp;RIGHT((YEAR(J267)-IF(MONTH(J267)&lt;4,1,0))+1,2))</f>
        <v/>
      </c>
      <c r="AS267" s="43" t="str">
        <f aca="false">IF(OR(B267="",Q267="",D267&lt;&gt;"Active"),"",DATE(YEAR(AsOf)+IF(DATE(YEAR(AsOf),MONTH(Q267),DAY(Q267))&lt;AsOf,1,0),MONTH(Q267),DAY(Q267))-AsOf)</f>
        <v/>
      </c>
      <c r="AT267" s="43" t="str">
        <f aca="false">IF(OR(B267="",I267="",D267&lt;&gt;"Active"),"",IF(YEAR(DATE(YEAR(AsOf)+IF(DATE(YEAR(AsOf),MONTH(I267),DAY(I267))&lt;AsOf,1,0),MONTH(I267),DAY(I267)))-YEAR(I267)&lt;1,"",DATE(YEAR(AsOf)+IF(DATE(YEAR(AsOf),MONTH(I267),DAY(I267))&lt;AsOf,1,0),MONTH(I267),DAY(I267))-AsOf))</f>
        <v/>
      </c>
      <c r="AU267" s="43" t="str">
        <f aca="false">IF(B267="","",IF(AV267="",0,LEN(AV267)-LEN(SUBSTITUTE(AV267,";",""))))</f>
        <v/>
      </c>
      <c r="AV267" s="9" t="str">
        <f aca="false">IF(B267="","",IF(COUNTIF($B$6:$B$505,B267)&gt;1,"Duplicate Emp Code; ","")&amp;IF(C267="","Name missing; ","")&amp;IF(I267="","DOJ missing; ","")&amp;IF(AND(J267&lt;&gt;"",I267&lt;&gt;"",J267&lt;I267),"Exit before DOJ; ","")&amp;IF(Q267="","DOB missing; ","")&amp;IF(T267="","Aadhaar missing; ",IF(LEN(T267)&lt;&gt;12,"Aadhaar not 12 digits; ",IF(COUNTIF($T$6:$T$505,T267)&gt;1,"Duplicate Aadhaar; ","")))&amp;IF(U267="","PAN missing; ",IF(LEN(U267)&lt;&gt;10,"PAN not 10 chars; ",""))&amp;IF(V267="","Mobile missing; ",IF(LEN(V267)&lt;&gt;10,"Mobile not 10 digits; ",""))&amp;IF(AG267="","Bank A/c missing; ","")&amp;IF(AH267="","IFSC missing; ",IF(LEN(AH267)&lt;&gt;11,"IFSC not 11 chars; ","")))</f>
        <v/>
      </c>
      <c r="AW267" s="46" t="str">
        <f aca="false">IF(AS267="","",AS267+ROW()/100000)</f>
        <v/>
      </c>
      <c r="AX267" s="46" t="str">
        <f aca="false">IF(AT267="","",AT267+ROW()/100000)</f>
        <v/>
      </c>
    </row>
    <row r="268" customFormat="false" ht="15" hidden="false" customHeight="false" outlineLevel="0" collapsed="false">
      <c r="A268" s="9" t="str">
        <f aca="false">IF(B268="","",ROW()-5)</f>
        <v/>
      </c>
      <c r="B268" s="40"/>
      <c r="C268" s="8"/>
      <c r="D268" s="9" t="str">
        <f aca="false">IF(B268="","",IF(J268="","Active","Exited"))</f>
        <v/>
      </c>
      <c r="E268" s="8"/>
      <c r="F268" s="8"/>
      <c r="G268" s="8"/>
      <c r="H268" s="9" t="str">
        <f aca="false">IF(OR(B268="",I268=""),"",IF(IF(J268="",AsOf,J268)-I268&gt;=Settings!$C$13,"Permanent","Probation"))</f>
        <v/>
      </c>
      <c r="I268" s="41"/>
      <c r="J268" s="41"/>
      <c r="K268" s="8"/>
      <c r="L268" s="42" t="str">
        <f aca="false">IF(OR(B268="",I268=""),"",ROUND((IF(J268="",AsOf,J268)-I268)/365.25,1))</f>
        <v/>
      </c>
      <c r="M268" s="8"/>
      <c r="N268" s="8"/>
      <c r="O268" s="8"/>
      <c r="P268" s="8"/>
      <c r="Q268" s="41"/>
      <c r="R268" s="43" t="str">
        <f aca="false">IF(OR(B268="",Q268=""),"",INT((AsOf-Q268)/365.25))</f>
        <v/>
      </c>
      <c r="S268" s="8"/>
      <c r="T268" s="40"/>
      <c r="U268" s="40"/>
      <c r="V268" s="40"/>
      <c r="W268" s="40"/>
      <c r="X268" s="8"/>
      <c r="Y268" s="8"/>
      <c r="Z268" s="8"/>
      <c r="AA268" s="8"/>
      <c r="AB268" s="8"/>
      <c r="AC268" s="8"/>
      <c r="AD268" s="8"/>
      <c r="AE268" s="40"/>
      <c r="AF268" s="8"/>
      <c r="AG268" s="40"/>
      <c r="AH268" s="40"/>
      <c r="AI268" s="8"/>
      <c r="AJ268" s="40"/>
      <c r="AK268" s="40"/>
      <c r="AL268" s="40"/>
      <c r="AM268" s="44"/>
      <c r="AN268" s="44"/>
      <c r="AO268" s="41"/>
      <c r="AP268" s="45" t="str">
        <f aca="false">IF(B268="","",IF(AND(ISNUMBER(AM268),ISNUMBER(AN268),AM268&gt;0,AN268&gt;0),AN268/AM268-1,""))</f>
        <v/>
      </c>
      <c r="AQ268" s="9" t="str">
        <f aca="false">IF(I268="","",(YEAR(I268)-IF(MONTH(I268)&lt;4,1,0))&amp;"-"&amp;RIGHT((YEAR(I268)-IF(MONTH(I268)&lt;4,1,0))+1,2))</f>
        <v/>
      </c>
      <c r="AR268" s="9" t="str">
        <f aca="false">IF(J268="","",(YEAR(J268)-IF(MONTH(J268)&lt;4,1,0))&amp;"-"&amp;RIGHT((YEAR(J268)-IF(MONTH(J268)&lt;4,1,0))+1,2))</f>
        <v/>
      </c>
      <c r="AS268" s="43" t="str">
        <f aca="false">IF(OR(B268="",Q268="",D268&lt;&gt;"Active"),"",DATE(YEAR(AsOf)+IF(DATE(YEAR(AsOf),MONTH(Q268),DAY(Q268))&lt;AsOf,1,0),MONTH(Q268),DAY(Q268))-AsOf)</f>
        <v/>
      </c>
      <c r="AT268" s="43" t="str">
        <f aca="false">IF(OR(B268="",I268="",D268&lt;&gt;"Active"),"",IF(YEAR(DATE(YEAR(AsOf)+IF(DATE(YEAR(AsOf),MONTH(I268),DAY(I268))&lt;AsOf,1,0),MONTH(I268),DAY(I268)))-YEAR(I268)&lt;1,"",DATE(YEAR(AsOf)+IF(DATE(YEAR(AsOf),MONTH(I268),DAY(I268))&lt;AsOf,1,0),MONTH(I268),DAY(I268))-AsOf))</f>
        <v/>
      </c>
      <c r="AU268" s="43" t="str">
        <f aca="false">IF(B268="","",IF(AV268="",0,LEN(AV268)-LEN(SUBSTITUTE(AV268,";",""))))</f>
        <v/>
      </c>
      <c r="AV268" s="9" t="str">
        <f aca="false">IF(B268="","",IF(COUNTIF($B$6:$B$505,B268)&gt;1,"Duplicate Emp Code; ","")&amp;IF(C268="","Name missing; ","")&amp;IF(I268="","DOJ missing; ","")&amp;IF(AND(J268&lt;&gt;"",I268&lt;&gt;"",J268&lt;I268),"Exit before DOJ; ","")&amp;IF(Q268="","DOB missing; ","")&amp;IF(T268="","Aadhaar missing; ",IF(LEN(T268)&lt;&gt;12,"Aadhaar not 12 digits; ",IF(COUNTIF($T$6:$T$505,T268)&gt;1,"Duplicate Aadhaar; ","")))&amp;IF(U268="","PAN missing; ",IF(LEN(U268)&lt;&gt;10,"PAN not 10 chars; ",""))&amp;IF(V268="","Mobile missing; ",IF(LEN(V268)&lt;&gt;10,"Mobile not 10 digits; ",""))&amp;IF(AG268="","Bank A/c missing; ","")&amp;IF(AH268="","IFSC missing; ",IF(LEN(AH268)&lt;&gt;11,"IFSC not 11 chars; ","")))</f>
        <v/>
      </c>
      <c r="AW268" s="46" t="str">
        <f aca="false">IF(AS268="","",AS268+ROW()/100000)</f>
        <v/>
      </c>
      <c r="AX268" s="46" t="str">
        <f aca="false">IF(AT268="","",AT268+ROW()/100000)</f>
        <v/>
      </c>
    </row>
    <row r="269" customFormat="false" ht="15" hidden="false" customHeight="false" outlineLevel="0" collapsed="false">
      <c r="A269" s="9" t="str">
        <f aca="false">IF(B269="","",ROW()-5)</f>
        <v/>
      </c>
      <c r="B269" s="40"/>
      <c r="C269" s="8"/>
      <c r="D269" s="9" t="str">
        <f aca="false">IF(B269="","",IF(J269="","Active","Exited"))</f>
        <v/>
      </c>
      <c r="E269" s="8"/>
      <c r="F269" s="8"/>
      <c r="G269" s="8"/>
      <c r="H269" s="9" t="str">
        <f aca="false">IF(OR(B269="",I269=""),"",IF(IF(J269="",AsOf,J269)-I269&gt;=Settings!$C$13,"Permanent","Probation"))</f>
        <v/>
      </c>
      <c r="I269" s="41"/>
      <c r="J269" s="41"/>
      <c r="K269" s="8"/>
      <c r="L269" s="42" t="str">
        <f aca="false">IF(OR(B269="",I269=""),"",ROUND((IF(J269="",AsOf,J269)-I269)/365.25,1))</f>
        <v/>
      </c>
      <c r="M269" s="8"/>
      <c r="N269" s="8"/>
      <c r="O269" s="8"/>
      <c r="P269" s="8"/>
      <c r="Q269" s="41"/>
      <c r="R269" s="43" t="str">
        <f aca="false">IF(OR(B269="",Q269=""),"",INT((AsOf-Q269)/365.25))</f>
        <v/>
      </c>
      <c r="S269" s="8"/>
      <c r="T269" s="40"/>
      <c r="U269" s="40"/>
      <c r="V269" s="40"/>
      <c r="W269" s="40"/>
      <c r="X269" s="8"/>
      <c r="Y269" s="8"/>
      <c r="Z269" s="8"/>
      <c r="AA269" s="8"/>
      <c r="AB269" s="8"/>
      <c r="AC269" s="8"/>
      <c r="AD269" s="8"/>
      <c r="AE269" s="40"/>
      <c r="AF269" s="8"/>
      <c r="AG269" s="40"/>
      <c r="AH269" s="40"/>
      <c r="AI269" s="8"/>
      <c r="AJ269" s="40"/>
      <c r="AK269" s="40"/>
      <c r="AL269" s="40"/>
      <c r="AM269" s="44"/>
      <c r="AN269" s="44"/>
      <c r="AO269" s="41"/>
      <c r="AP269" s="45" t="str">
        <f aca="false">IF(B269="","",IF(AND(ISNUMBER(AM269),ISNUMBER(AN269),AM269&gt;0,AN269&gt;0),AN269/AM269-1,""))</f>
        <v/>
      </c>
      <c r="AQ269" s="9" t="str">
        <f aca="false">IF(I269="","",(YEAR(I269)-IF(MONTH(I269)&lt;4,1,0))&amp;"-"&amp;RIGHT((YEAR(I269)-IF(MONTH(I269)&lt;4,1,0))+1,2))</f>
        <v/>
      </c>
      <c r="AR269" s="9" t="str">
        <f aca="false">IF(J269="","",(YEAR(J269)-IF(MONTH(J269)&lt;4,1,0))&amp;"-"&amp;RIGHT((YEAR(J269)-IF(MONTH(J269)&lt;4,1,0))+1,2))</f>
        <v/>
      </c>
      <c r="AS269" s="43" t="str">
        <f aca="false">IF(OR(B269="",Q269="",D269&lt;&gt;"Active"),"",DATE(YEAR(AsOf)+IF(DATE(YEAR(AsOf),MONTH(Q269),DAY(Q269))&lt;AsOf,1,0),MONTH(Q269),DAY(Q269))-AsOf)</f>
        <v/>
      </c>
      <c r="AT269" s="43" t="str">
        <f aca="false">IF(OR(B269="",I269="",D269&lt;&gt;"Active"),"",IF(YEAR(DATE(YEAR(AsOf)+IF(DATE(YEAR(AsOf),MONTH(I269),DAY(I269))&lt;AsOf,1,0),MONTH(I269),DAY(I269)))-YEAR(I269)&lt;1,"",DATE(YEAR(AsOf)+IF(DATE(YEAR(AsOf),MONTH(I269),DAY(I269))&lt;AsOf,1,0),MONTH(I269),DAY(I269))-AsOf))</f>
        <v/>
      </c>
      <c r="AU269" s="43" t="str">
        <f aca="false">IF(B269="","",IF(AV269="",0,LEN(AV269)-LEN(SUBSTITUTE(AV269,";",""))))</f>
        <v/>
      </c>
      <c r="AV269" s="9" t="str">
        <f aca="false">IF(B269="","",IF(COUNTIF($B$6:$B$505,B269)&gt;1,"Duplicate Emp Code; ","")&amp;IF(C269="","Name missing; ","")&amp;IF(I269="","DOJ missing; ","")&amp;IF(AND(J269&lt;&gt;"",I269&lt;&gt;"",J269&lt;I269),"Exit before DOJ; ","")&amp;IF(Q269="","DOB missing; ","")&amp;IF(T269="","Aadhaar missing; ",IF(LEN(T269)&lt;&gt;12,"Aadhaar not 12 digits; ",IF(COUNTIF($T$6:$T$505,T269)&gt;1,"Duplicate Aadhaar; ","")))&amp;IF(U269="","PAN missing; ",IF(LEN(U269)&lt;&gt;10,"PAN not 10 chars; ",""))&amp;IF(V269="","Mobile missing; ",IF(LEN(V269)&lt;&gt;10,"Mobile not 10 digits; ",""))&amp;IF(AG269="","Bank A/c missing; ","")&amp;IF(AH269="","IFSC missing; ",IF(LEN(AH269)&lt;&gt;11,"IFSC not 11 chars; ","")))</f>
        <v/>
      </c>
      <c r="AW269" s="46" t="str">
        <f aca="false">IF(AS269="","",AS269+ROW()/100000)</f>
        <v/>
      </c>
      <c r="AX269" s="46" t="str">
        <f aca="false">IF(AT269="","",AT269+ROW()/100000)</f>
        <v/>
      </c>
    </row>
    <row r="270" customFormat="false" ht="15" hidden="false" customHeight="false" outlineLevel="0" collapsed="false">
      <c r="A270" s="9" t="str">
        <f aca="false">IF(B270="","",ROW()-5)</f>
        <v/>
      </c>
      <c r="B270" s="40"/>
      <c r="C270" s="8"/>
      <c r="D270" s="9" t="str">
        <f aca="false">IF(B270="","",IF(J270="","Active","Exited"))</f>
        <v/>
      </c>
      <c r="E270" s="8"/>
      <c r="F270" s="8"/>
      <c r="G270" s="8"/>
      <c r="H270" s="9" t="str">
        <f aca="false">IF(OR(B270="",I270=""),"",IF(IF(J270="",AsOf,J270)-I270&gt;=Settings!$C$13,"Permanent","Probation"))</f>
        <v/>
      </c>
      <c r="I270" s="41"/>
      <c r="J270" s="41"/>
      <c r="K270" s="8"/>
      <c r="L270" s="42" t="str">
        <f aca="false">IF(OR(B270="",I270=""),"",ROUND((IF(J270="",AsOf,J270)-I270)/365.25,1))</f>
        <v/>
      </c>
      <c r="M270" s="8"/>
      <c r="N270" s="8"/>
      <c r="O270" s="8"/>
      <c r="P270" s="8"/>
      <c r="Q270" s="41"/>
      <c r="R270" s="43" t="str">
        <f aca="false">IF(OR(B270="",Q270=""),"",INT((AsOf-Q270)/365.25))</f>
        <v/>
      </c>
      <c r="S270" s="8"/>
      <c r="T270" s="40"/>
      <c r="U270" s="40"/>
      <c r="V270" s="40"/>
      <c r="W270" s="40"/>
      <c r="X270" s="8"/>
      <c r="Y270" s="8"/>
      <c r="Z270" s="8"/>
      <c r="AA270" s="8"/>
      <c r="AB270" s="8"/>
      <c r="AC270" s="8"/>
      <c r="AD270" s="8"/>
      <c r="AE270" s="40"/>
      <c r="AF270" s="8"/>
      <c r="AG270" s="40"/>
      <c r="AH270" s="40"/>
      <c r="AI270" s="8"/>
      <c r="AJ270" s="40"/>
      <c r="AK270" s="40"/>
      <c r="AL270" s="40"/>
      <c r="AM270" s="44"/>
      <c r="AN270" s="44"/>
      <c r="AO270" s="41"/>
      <c r="AP270" s="45" t="str">
        <f aca="false">IF(B270="","",IF(AND(ISNUMBER(AM270),ISNUMBER(AN270),AM270&gt;0,AN270&gt;0),AN270/AM270-1,""))</f>
        <v/>
      </c>
      <c r="AQ270" s="9" t="str">
        <f aca="false">IF(I270="","",(YEAR(I270)-IF(MONTH(I270)&lt;4,1,0))&amp;"-"&amp;RIGHT((YEAR(I270)-IF(MONTH(I270)&lt;4,1,0))+1,2))</f>
        <v/>
      </c>
      <c r="AR270" s="9" t="str">
        <f aca="false">IF(J270="","",(YEAR(J270)-IF(MONTH(J270)&lt;4,1,0))&amp;"-"&amp;RIGHT((YEAR(J270)-IF(MONTH(J270)&lt;4,1,0))+1,2))</f>
        <v/>
      </c>
      <c r="AS270" s="43" t="str">
        <f aca="false">IF(OR(B270="",Q270="",D270&lt;&gt;"Active"),"",DATE(YEAR(AsOf)+IF(DATE(YEAR(AsOf),MONTH(Q270),DAY(Q270))&lt;AsOf,1,0),MONTH(Q270),DAY(Q270))-AsOf)</f>
        <v/>
      </c>
      <c r="AT270" s="43" t="str">
        <f aca="false">IF(OR(B270="",I270="",D270&lt;&gt;"Active"),"",IF(YEAR(DATE(YEAR(AsOf)+IF(DATE(YEAR(AsOf),MONTH(I270),DAY(I270))&lt;AsOf,1,0),MONTH(I270),DAY(I270)))-YEAR(I270)&lt;1,"",DATE(YEAR(AsOf)+IF(DATE(YEAR(AsOf),MONTH(I270),DAY(I270))&lt;AsOf,1,0),MONTH(I270),DAY(I270))-AsOf))</f>
        <v/>
      </c>
      <c r="AU270" s="43" t="str">
        <f aca="false">IF(B270="","",IF(AV270="",0,LEN(AV270)-LEN(SUBSTITUTE(AV270,";",""))))</f>
        <v/>
      </c>
      <c r="AV270" s="9" t="str">
        <f aca="false">IF(B270="","",IF(COUNTIF($B$6:$B$505,B270)&gt;1,"Duplicate Emp Code; ","")&amp;IF(C270="","Name missing; ","")&amp;IF(I270="","DOJ missing; ","")&amp;IF(AND(J270&lt;&gt;"",I270&lt;&gt;"",J270&lt;I270),"Exit before DOJ; ","")&amp;IF(Q270="","DOB missing; ","")&amp;IF(T270="","Aadhaar missing; ",IF(LEN(T270)&lt;&gt;12,"Aadhaar not 12 digits; ",IF(COUNTIF($T$6:$T$505,T270)&gt;1,"Duplicate Aadhaar; ","")))&amp;IF(U270="","PAN missing; ",IF(LEN(U270)&lt;&gt;10,"PAN not 10 chars; ",""))&amp;IF(V270="","Mobile missing; ",IF(LEN(V270)&lt;&gt;10,"Mobile not 10 digits; ",""))&amp;IF(AG270="","Bank A/c missing; ","")&amp;IF(AH270="","IFSC missing; ",IF(LEN(AH270)&lt;&gt;11,"IFSC not 11 chars; ","")))</f>
        <v/>
      </c>
      <c r="AW270" s="46" t="str">
        <f aca="false">IF(AS270="","",AS270+ROW()/100000)</f>
        <v/>
      </c>
      <c r="AX270" s="46" t="str">
        <f aca="false">IF(AT270="","",AT270+ROW()/100000)</f>
        <v/>
      </c>
    </row>
    <row r="271" customFormat="false" ht="15" hidden="false" customHeight="false" outlineLevel="0" collapsed="false">
      <c r="A271" s="9" t="str">
        <f aca="false">IF(B271="","",ROW()-5)</f>
        <v/>
      </c>
      <c r="B271" s="40"/>
      <c r="C271" s="8"/>
      <c r="D271" s="9" t="str">
        <f aca="false">IF(B271="","",IF(J271="","Active","Exited"))</f>
        <v/>
      </c>
      <c r="E271" s="8"/>
      <c r="F271" s="8"/>
      <c r="G271" s="8"/>
      <c r="H271" s="9" t="str">
        <f aca="false">IF(OR(B271="",I271=""),"",IF(IF(J271="",AsOf,J271)-I271&gt;=Settings!$C$13,"Permanent","Probation"))</f>
        <v/>
      </c>
      <c r="I271" s="41"/>
      <c r="J271" s="41"/>
      <c r="K271" s="8"/>
      <c r="L271" s="42" t="str">
        <f aca="false">IF(OR(B271="",I271=""),"",ROUND((IF(J271="",AsOf,J271)-I271)/365.25,1))</f>
        <v/>
      </c>
      <c r="M271" s="8"/>
      <c r="N271" s="8"/>
      <c r="O271" s="8"/>
      <c r="P271" s="8"/>
      <c r="Q271" s="41"/>
      <c r="R271" s="43" t="str">
        <f aca="false">IF(OR(B271="",Q271=""),"",INT((AsOf-Q271)/365.25))</f>
        <v/>
      </c>
      <c r="S271" s="8"/>
      <c r="T271" s="40"/>
      <c r="U271" s="40"/>
      <c r="V271" s="40"/>
      <c r="W271" s="40"/>
      <c r="X271" s="8"/>
      <c r="Y271" s="8"/>
      <c r="Z271" s="8"/>
      <c r="AA271" s="8"/>
      <c r="AB271" s="8"/>
      <c r="AC271" s="8"/>
      <c r="AD271" s="8"/>
      <c r="AE271" s="40"/>
      <c r="AF271" s="8"/>
      <c r="AG271" s="40"/>
      <c r="AH271" s="40"/>
      <c r="AI271" s="8"/>
      <c r="AJ271" s="40"/>
      <c r="AK271" s="40"/>
      <c r="AL271" s="40"/>
      <c r="AM271" s="44"/>
      <c r="AN271" s="44"/>
      <c r="AO271" s="41"/>
      <c r="AP271" s="45" t="str">
        <f aca="false">IF(B271="","",IF(AND(ISNUMBER(AM271),ISNUMBER(AN271),AM271&gt;0,AN271&gt;0),AN271/AM271-1,""))</f>
        <v/>
      </c>
      <c r="AQ271" s="9" t="str">
        <f aca="false">IF(I271="","",(YEAR(I271)-IF(MONTH(I271)&lt;4,1,0))&amp;"-"&amp;RIGHT((YEAR(I271)-IF(MONTH(I271)&lt;4,1,0))+1,2))</f>
        <v/>
      </c>
      <c r="AR271" s="9" t="str">
        <f aca="false">IF(J271="","",(YEAR(J271)-IF(MONTH(J271)&lt;4,1,0))&amp;"-"&amp;RIGHT((YEAR(J271)-IF(MONTH(J271)&lt;4,1,0))+1,2))</f>
        <v/>
      </c>
      <c r="AS271" s="43" t="str">
        <f aca="false">IF(OR(B271="",Q271="",D271&lt;&gt;"Active"),"",DATE(YEAR(AsOf)+IF(DATE(YEAR(AsOf),MONTH(Q271),DAY(Q271))&lt;AsOf,1,0),MONTH(Q271),DAY(Q271))-AsOf)</f>
        <v/>
      </c>
      <c r="AT271" s="43" t="str">
        <f aca="false">IF(OR(B271="",I271="",D271&lt;&gt;"Active"),"",IF(YEAR(DATE(YEAR(AsOf)+IF(DATE(YEAR(AsOf),MONTH(I271),DAY(I271))&lt;AsOf,1,0),MONTH(I271),DAY(I271)))-YEAR(I271)&lt;1,"",DATE(YEAR(AsOf)+IF(DATE(YEAR(AsOf),MONTH(I271),DAY(I271))&lt;AsOf,1,0),MONTH(I271),DAY(I271))-AsOf))</f>
        <v/>
      </c>
      <c r="AU271" s="43" t="str">
        <f aca="false">IF(B271="","",IF(AV271="",0,LEN(AV271)-LEN(SUBSTITUTE(AV271,";",""))))</f>
        <v/>
      </c>
      <c r="AV271" s="9" t="str">
        <f aca="false">IF(B271="","",IF(COUNTIF($B$6:$B$505,B271)&gt;1,"Duplicate Emp Code; ","")&amp;IF(C271="","Name missing; ","")&amp;IF(I271="","DOJ missing; ","")&amp;IF(AND(J271&lt;&gt;"",I271&lt;&gt;"",J271&lt;I271),"Exit before DOJ; ","")&amp;IF(Q271="","DOB missing; ","")&amp;IF(T271="","Aadhaar missing; ",IF(LEN(T271)&lt;&gt;12,"Aadhaar not 12 digits; ",IF(COUNTIF($T$6:$T$505,T271)&gt;1,"Duplicate Aadhaar; ","")))&amp;IF(U271="","PAN missing; ",IF(LEN(U271)&lt;&gt;10,"PAN not 10 chars; ",""))&amp;IF(V271="","Mobile missing; ",IF(LEN(V271)&lt;&gt;10,"Mobile not 10 digits; ",""))&amp;IF(AG271="","Bank A/c missing; ","")&amp;IF(AH271="","IFSC missing; ",IF(LEN(AH271)&lt;&gt;11,"IFSC not 11 chars; ","")))</f>
        <v/>
      </c>
      <c r="AW271" s="46" t="str">
        <f aca="false">IF(AS271="","",AS271+ROW()/100000)</f>
        <v/>
      </c>
      <c r="AX271" s="46" t="str">
        <f aca="false">IF(AT271="","",AT271+ROW()/100000)</f>
        <v/>
      </c>
    </row>
    <row r="272" customFormat="false" ht="15" hidden="false" customHeight="false" outlineLevel="0" collapsed="false">
      <c r="A272" s="9" t="str">
        <f aca="false">IF(B272="","",ROW()-5)</f>
        <v/>
      </c>
      <c r="B272" s="40"/>
      <c r="C272" s="8"/>
      <c r="D272" s="9" t="str">
        <f aca="false">IF(B272="","",IF(J272="","Active","Exited"))</f>
        <v/>
      </c>
      <c r="E272" s="8"/>
      <c r="F272" s="8"/>
      <c r="G272" s="8"/>
      <c r="H272" s="9" t="str">
        <f aca="false">IF(OR(B272="",I272=""),"",IF(IF(J272="",AsOf,J272)-I272&gt;=Settings!$C$13,"Permanent","Probation"))</f>
        <v/>
      </c>
      <c r="I272" s="41"/>
      <c r="J272" s="41"/>
      <c r="K272" s="8"/>
      <c r="L272" s="42" t="str">
        <f aca="false">IF(OR(B272="",I272=""),"",ROUND((IF(J272="",AsOf,J272)-I272)/365.25,1))</f>
        <v/>
      </c>
      <c r="M272" s="8"/>
      <c r="N272" s="8"/>
      <c r="O272" s="8"/>
      <c r="P272" s="8"/>
      <c r="Q272" s="41"/>
      <c r="R272" s="43" t="str">
        <f aca="false">IF(OR(B272="",Q272=""),"",INT((AsOf-Q272)/365.25))</f>
        <v/>
      </c>
      <c r="S272" s="8"/>
      <c r="T272" s="40"/>
      <c r="U272" s="40"/>
      <c r="V272" s="40"/>
      <c r="W272" s="40"/>
      <c r="X272" s="8"/>
      <c r="Y272" s="8"/>
      <c r="Z272" s="8"/>
      <c r="AA272" s="8"/>
      <c r="AB272" s="8"/>
      <c r="AC272" s="8"/>
      <c r="AD272" s="8"/>
      <c r="AE272" s="40"/>
      <c r="AF272" s="8"/>
      <c r="AG272" s="40"/>
      <c r="AH272" s="40"/>
      <c r="AI272" s="8"/>
      <c r="AJ272" s="40"/>
      <c r="AK272" s="40"/>
      <c r="AL272" s="40"/>
      <c r="AM272" s="44"/>
      <c r="AN272" s="44"/>
      <c r="AO272" s="41"/>
      <c r="AP272" s="45" t="str">
        <f aca="false">IF(B272="","",IF(AND(ISNUMBER(AM272),ISNUMBER(AN272),AM272&gt;0,AN272&gt;0),AN272/AM272-1,""))</f>
        <v/>
      </c>
      <c r="AQ272" s="9" t="str">
        <f aca="false">IF(I272="","",(YEAR(I272)-IF(MONTH(I272)&lt;4,1,0))&amp;"-"&amp;RIGHT((YEAR(I272)-IF(MONTH(I272)&lt;4,1,0))+1,2))</f>
        <v/>
      </c>
      <c r="AR272" s="9" t="str">
        <f aca="false">IF(J272="","",(YEAR(J272)-IF(MONTH(J272)&lt;4,1,0))&amp;"-"&amp;RIGHT((YEAR(J272)-IF(MONTH(J272)&lt;4,1,0))+1,2))</f>
        <v/>
      </c>
      <c r="AS272" s="43" t="str">
        <f aca="false">IF(OR(B272="",Q272="",D272&lt;&gt;"Active"),"",DATE(YEAR(AsOf)+IF(DATE(YEAR(AsOf),MONTH(Q272),DAY(Q272))&lt;AsOf,1,0),MONTH(Q272),DAY(Q272))-AsOf)</f>
        <v/>
      </c>
      <c r="AT272" s="43" t="str">
        <f aca="false">IF(OR(B272="",I272="",D272&lt;&gt;"Active"),"",IF(YEAR(DATE(YEAR(AsOf)+IF(DATE(YEAR(AsOf),MONTH(I272),DAY(I272))&lt;AsOf,1,0),MONTH(I272),DAY(I272)))-YEAR(I272)&lt;1,"",DATE(YEAR(AsOf)+IF(DATE(YEAR(AsOf),MONTH(I272),DAY(I272))&lt;AsOf,1,0),MONTH(I272),DAY(I272))-AsOf))</f>
        <v/>
      </c>
      <c r="AU272" s="43" t="str">
        <f aca="false">IF(B272="","",IF(AV272="",0,LEN(AV272)-LEN(SUBSTITUTE(AV272,";",""))))</f>
        <v/>
      </c>
      <c r="AV272" s="9" t="str">
        <f aca="false">IF(B272="","",IF(COUNTIF($B$6:$B$505,B272)&gt;1,"Duplicate Emp Code; ","")&amp;IF(C272="","Name missing; ","")&amp;IF(I272="","DOJ missing; ","")&amp;IF(AND(J272&lt;&gt;"",I272&lt;&gt;"",J272&lt;I272),"Exit before DOJ; ","")&amp;IF(Q272="","DOB missing; ","")&amp;IF(T272="","Aadhaar missing; ",IF(LEN(T272)&lt;&gt;12,"Aadhaar not 12 digits; ",IF(COUNTIF($T$6:$T$505,T272)&gt;1,"Duplicate Aadhaar; ","")))&amp;IF(U272="","PAN missing; ",IF(LEN(U272)&lt;&gt;10,"PAN not 10 chars; ",""))&amp;IF(V272="","Mobile missing; ",IF(LEN(V272)&lt;&gt;10,"Mobile not 10 digits; ",""))&amp;IF(AG272="","Bank A/c missing; ","")&amp;IF(AH272="","IFSC missing; ",IF(LEN(AH272)&lt;&gt;11,"IFSC not 11 chars; ","")))</f>
        <v/>
      </c>
      <c r="AW272" s="46" t="str">
        <f aca="false">IF(AS272="","",AS272+ROW()/100000)</f>
        <v/>
      </c>
      <c r="AX272" s="46" t="str">
        <f aca="false">IF(AT272="","",AT272+ROW()/100000)</f>
        <v/>
      </c>
    </row>
    <row r="273" customFormat="false" ht="15" hidden="false" customHeight="false" outlineLevel="0" collapsed="false">
      <c r="A273" s="9" t="str">
        <f aca="false">IF(B273="","",ROW()-5)</f>
        <v/>
      </c>
      <c r="B273" s="40"/>
      <c r="C273" s="8"/>
      <c r="D273" s="9" t="str">
        <f aca="false">IF(B273="","",IF(J273="","Active","Exited"))</f>
        <v/>
      </c>
      <c r="E273" s="8"/>
      <c r="F273" s="8"/>
      <c r="G273" s="8"/>
      <c r="H273" s="9" t="str">
        <f aca="false">IF(OR(B273="",I273=""),"",IF(IF(J273="",AsOf,J273)-I273&gt;=Settings!$C$13,"Permanent","Probation"))</f>
        <v/>
      </c>
      <c r="I273" s="41"/>
      <c r="J273" s="41"/>
      <c r="K273" s="8"/>
      <c r="L273" s="42" t="str">
        <f aca="false">IF(OR(B273="",I273=""),"",ROUND((IF(J273="",AsOf,J273)-I273)/365.25,1))</f>
        <v/>
      </c>
      <c r="M273" s="8"/>
      <c r="N273" s="8"/>
      <c r="O273" s="8"/>
      <c r="P273" s="8"/>
      <c r="Q273" s="41"/>
      <c r="R273" s="43" t="str">
        <f aca="false">IF(OR(B273="",Q273=""),"",INT((AsOf-Q273)/365.25))</f>
        <v/>
      </c>
      <c r="S273" s="8"/>
      <c r="T273" s="40"/>
      <c r="U273" s="40"/>
      <c r="V273" s="40"/>
      <c r="W273" s="40"/>
      <c r="X273" s="8"/>
      <c r="Y273" s="8"/>
      <c r="Z273" s="8"/>
      <c r="AA273" s="8"/>
      <c r="AB273" s="8"/>
      <c r="AC273" s="8"/>
      <c r="AD273" s="8"/>
      <c r="AE273" s="40"/>
      <c r="AF273" s="8"/>
      <c r="AG273" s="40"/>
      <c r="AH273" s="40"/>
      <c r="AI273" s="8"/>
      <c r="AJ273" s="40"/>
      <c r="AK273" s="40"/>
      <c r="AL273" s="40"/>
      <c r="AM273" s="44"/>
      <c r="AN273" s="44"/>
      <c r="AO273" s="41"/>
      <c r="AP273" s="45" t="str">
        <f aca="false">IF(B273="","",IF(AND(ISNUMBER(AM273),ISNUMBER(AN273),AM273&gt;0,AN273&gt;0),AN273/AM273-1,""))</f>
        <v/>
      </c>
      <c r="AQ273" s="9" t="str">
        <f aca="false">IF(I273="","",(YEAR(I273)-IF(MONTH(I273)&lt;4,1,0))&amp;"-"&amp;RIGHT((YEAR(I273)-IF(MONTH(I273)&lt;4,1,0))+1,2))</f>
        <v/>
      </c>
      <c r="AR273" s="9" t="str">
        <f aca="false">IF(J273="","",(YEAR(J273)-IF(MONTH(J273)&lt;4,1,0))&amp;"-"&amp;RIGHT((YEAR(J273)-IF(MONTH(J273)&lt;4,1,0))+1,2))</f>
        <v/>
      </c>
      <c r="AS273" s="43" t="str">
        <f aca="false">IF(OR(B273="",Q273="",D273&lt;&gt;"Active"),"",DATE(YEAR(AsOf)+IF(DATE(YEAR(AsOf),MONTH(Q273),DAY(Q273))&lt;AsOf,1,0),MONTH(Q273),DAY(Q273))-AsOf)</f>
        <v/>
      </c>
      <c r="AT273" s="43" t="str">
        <f aca="false">IF(OR(B273="",I273="",D273&lt;&gt;"Active"),"",IF(YEAR(DATE(YEAR(AsOf)+IF(DATE(YEAR(AsOf),MONTH(I273),DAY(I273))&lt;AsOf,1,0),MONTH(I273),DAY(I273)))-YEAR(I273)&lt;1,"",DATE(YEAR(AsOf)+IF(DATE(YEAR(AsOf),MONTH(I273),DAY(I273))&lt;AsOf,1,0),MONTH(I273),DAY(I273))-AsOf))</f>
        <v/>
      </c>
      <c r="AU273" s="43" t="str">
        <f aca="false">IF(B273="","",IF(AV273="",0,LEN(AV273)-LEN(SUBSTITUTE(AV273,";",""))))</f>
        <v/>
      </c>
      <c r="AV273" s="9" t="str">
        <f aca="false">IF(B273="","",IF(COUNTIF($B$6:$B$505,B273)&gt;1,"Duplicate Emp Code; ","")&amp;IF(C273="","Name missing; ","")&amp;IF(I273="","DOJ missing; ","")&amp;IF(AND(J273&lt;&gt;"",I273&lt;&gt;"",J273&lt;I273),"Exit before DOJ; ","")&amp;IF(Q273="","DOB missing; ","")&amp;IF(T273="","Aadhaar missing; ",IF(LEN(T273)&lt;&gt;12,"Aadhaar not 12 digits; ",IF(COUNTIF($T$6:$T$505,T273)&gt;1,"Duplicate Aadhaar; ","")))&amp;IF(U273="","PAN missing; ",IF(LEN(U273)&lt;&gt;10,"PAN not 10 chars; ",""))&amp;IF(V273="","Mobile missing; ",IF(LEN(V273)&lt;&gt;10,"Mobile not 10 digits; ",""))&amp;IF(AG273="","Bank A/c missing; ","")&amp;IF(AH273="","IFSC missing; ",IF(LEN(AH273)&lt;&gt;11,"IFSC not 11 chars; ","")))</f>
        <v/>
      </c>
      <c r="AW273" s="46" t="str">
        <f aca="false">IF(AS273="","",AS273+ROW()/100000)</f>
        <v/>
      </c>
      <c r="AX273" s="46" t="str">
        <f aca="false">IF(AT273="","",AT273+ROW()/100000)</f>
        <v/>
      </c>
    </row>
    <row r="274" customFormat="false" ht="15" hidden="false" customHeight="false" outlineLevel="0" collapsed="false">
      <c r="A274" s="9" t="str">
        <f aca="false">IF(B274="","",ROW()-5)</f>
        <v/>
      </c>
      <c r="B274" s="40"/>
      <c r="C274" s="8"/>
      <c r="D274" s="9" t="str">
        <f aca="false">IF(B274="","",IF(J274="","Active","Exited"))</f>
        <v/>
      </c>
      <c r="E274" s="8"/>
      <c r="F274" s="8"/>
      <c r="G274" s="8"/>
      <c r="H274" s="9" t="str">
        <f aca="false">IF(OR(B274="",I274=""),"",IF(IF(J274="",AsOf,J274)-I274&gt;=Settings!$C$13,"Permanent","Probation"))</f>
        <v/>
      </c>
      <c r="I274" s="41"/>
      <c r="J274" s="41"/>
      <c r="K274" s="8"/>
      <c r="L274" s="42" t="str">
        <f aca="false">IF(OR(B274="",I274=""),"",ROUND((IF(J274="",AsOf,J274)-I274)/365.25,1))</f>
        <v/>
      </c>
      <c r="M274" s="8"/>
      <c r="N274" s="8"/>
      <c r="O274" s="8"/>
      <c r="P274" s="8"/>
      <c r="Q274" s="41"/>
      <c r="R274" s="43" t="str">
        <f aca="false">IF(OR(B274="",Q274=""),"",INT((AsOf-Q274)/365.25))</f>
        <v/>
      </c>
      <c r="S274" s="8"/>
      <c r="T274" s="40"/>
      <c r="U274" s="40"/>
      <c r="V274" s="40"/>
      <c r="W274" s="40"/>
      <c r="X274" s="8"/>
      <c r="Y274" s="8"/>
      <c r="Z274" s="8"/>
      <c r="AA274" s="8"/>
      <c r="AB274" s="8"/>
      <c r="AC274" s="8"/>
      <c r="AD274" s="8"/>
      <c r="AE274" s="40"/>
      <c r="AF274" s="8"/>
      <c r="AG274" s="40"/>
      <c r="AH274" s="40"/>
      <c r="AI274" s="8"/>
      <c r="AJ274" s="40"/>
      <c r="AK274" s="40"/>
      <c r="AL274" s="40"/>
      <c r="AM274" s="44"/>
      <c r="AN274" s="44"/>
      <c r="AO274" s="41"/>
      <c r="AP274" s="45" t="str">
        <f aca="false">IF(B274="","",IF(AND(ISNUMBER(AM274),ISNUMBER(AN274),AM274&gt;0,AN274&gt;0),AN274/AM274-1,""))</f>
        <v/>
      </c>
      <c r="AQ274" s="9" t="str">
        <f aca="false">IF(I274="","",(YEAR(I274)-IF(MONTH(I274)&lt;4,1,0))&amp;"-"&amp;RIGHT((YEAR(I274)-IF(MONTH(I274)&lt;4,1,0))+1,2))</f>
        <v/>
      </c>
      <c r="AR274" s="9" t="str">
        <f aca="false">IF(J274="","",(YEAR(J274)-IF(MONTH(J274)&lt;4,1,0))&amp;"-"&amp;RIGHT((YEAR(J274)-IF(MONTH(J274)&lt;4,1,0))+1,2))</f>
        <v/>
      </c>
      <c r="AS274" s="43" t="str">
        <f aca="false">IF(OR(B274="",Q274="",D274&lt;&gt;"Active"),"",DATE(YEAR(AsOf)+IF(DATE(YEAR(AsOf),MONTH(Q274),DAY(Q274))&lt;AsOf,1,0),MONTH(Q274),DAY(Q274))-AsOf)</f>
        <v/>
      </c>
      <c r="AT274" s="43" t="str">
        <f aca="false">IF(OR(B274="",I274="",D274&lt;&gt;"Active"),"",IF(YEAR(DATE(YEAR(AsOf)+IF(DATE(YEAR(AsOf),MONTH(I274),DAY(I274))&lt;AsOf,1,0),MONTH(I274),DAY(I274)))-YEAR(I274)&lt;1,"",DATE(YEAR(AsOf)+IF(DATE(YEAR(AsOf),MONTH(I274),DAY(I274))&lt;AsOf,1,0),MONTH(I274),DAY(I274))-AsOf))</f>
        <v/>
      </c>
      <c r="AU274" s="43" t="str">
        <f aca="false">IF(B274="","",IF(AV274="",0,LEN(AV274)-LEN(SUBSTITUTE(AV274,";",""))))</f>
        <v/>
      </c>
      <c r="AV274" s="9" t="str">
        <f aca="false">IF(B274="","",IF(COUNTIF($B$6:$B$505,B274)&gt;1,"Duplicate Emp Code; ","")&amp;IF(C274="","Name missing; ","")&amp;IF(I274="","DOJ missing; ","")&amp;IF(AND(J274&lt;&gt;"",I274&lt;&gt;"",J274&lt;I274),"Exit before DOJ; ","")&amp;IF(Q274="","DOB missing; ","")&amp;IF(T274="","Aadhaar missing; ",IF(LEN(T274)&lt;&gt;12,"Aadhaar not 12 digits; ",IF(COUNTIF($T$6:$T$505,T274)&gt;1,"Duplicate Aadhaar; ","")))&amp;IF(U274="","PAN missing; ",IF(LEN(U274)&lt;&gt;10,"PAN not 10 chars; ",""))&amp;IF(V274="","Mobile missing; ",IF(LEN(V274)&lt;&gt;10,"Mobile not 10 digits; ",""))&amp;IF(AG274="","Bank A/c missing; ","")&amp;IF(AH274="","IFSC missing; ",IF(LEN(AH274)&lt;&gt;11,"IFSC not 11 chars; ","")))</f>
        <v/>
      </c>
      <c r="AW274" s="46" t="str">
        <f aca="false">IF(AS274="","",AS274+ROW()/100000)</f>
        <v/>
      </c>
      <c r="AX274" s="46" t="str">
        <f aca="false">IF(AT274="","",AT274+ROW()/100000)</f>
        <v/>
      </c>
    </row>
    <row r="275" customFormat="false" ht="15" hidden="false" customHeight="false" outlineLevel="0" collapsed="false">
      <c r="A275" s="9" t="str">
        <f aca="false">IF(B275="","",ROW()-5)</f>
        <v/>
      </c>
      <c r="B275" s="40"/>
      <c r="C275" s="8"/>
      <c r="D275" s="9" t="str">
        <f aca="false">IF(B275="","",IF(J275="","Active","Exited"))</f>
        <v/>
      </c>
      <c r="E275" s="8"/>
      <c r="F275" s="8"/>
      <c r="G275" s="8"/>
      <c r="H275" s="9" t="str">
        <f aca="false">IF(OR(B275="",I275=""),"",IF(IF(J275="",AsOf,J275)-I275&gt;=Settings!$C$13,"Permanent","Probation"))</f>
        <v/>
      </c>
      <c r="I275" s="41"/>
      <c r="J275" s="41"/>
      <c r="K275" s="8"/>
      <c r="L275" s="42" t="str">
        <f aca="false">IF(OR(B275="",I275=""),"",ROUND((IF(J275="",AsOf,J275)-I275)/365.25,1))</f>
        <v/>
      </c>
      <c r="M275" s="8"/>
      <c r="N275" s="8"/>
      <c r="O275" s="8"/>
      <c r="P275" s="8"/>
      <c r="Q275" s="41"/>
      <c r="R275" s="43" t="str">
        <f aca="false">IF(OR(B275="",Q275=""),"",INT((AsOf-Q275)/365.25))</f>
        <v/>
      </c>
      <c r="S275" s="8"/>
      <c r="T275" s="40"/>
      <c r="U275" s="40"/>
      <c r="V275" s="40"/>
      <c r="W275" s="40"/>
      <c r="X275" s="8"/>
      <c r="Y275" s="8"/>
      <c r="Z275" s="8"/>
      <c r="AA275" s="8"/>
      <c r="AB275" s="8"/>
      <c r="AC275" s="8"/>
      <c r="AD275" s="8"/>
      <c r="AE275" s="40"/>
      <c r="AF275" s="8"/>
      <c r="AG275" s="40"/>
      <c r="AH275" s="40"/>
      <c r="AI275" s="8"/>
      <c r="AJ275" s="40"/>
      <c r="AK275" s="40"/>
      <c r="AL275" s="40"/>
      <c r="AM275" s="44"/>
      <c r="AN275" s="44"/>
      <c r="AO275" s="41"/>
      <c r="AP275" s="45" t="str">
        <f aca="false">IF(B275="","",IF(AND(ISNUMBER(AM275),ISNUMBER(AN275),AM275&gt;0,AN275&gt;0),AN275/AM275-1,""))</f>
        <v/>
      </c>
      <c r="AQ275" s="9" t="str">
        <f aca="false">IF(I275="","",(YEAR(I275)-IF(MONTH(I275)&lt;4,1,0))&amp;"-"&amp;RIGHT((YEAR(I275)-IF(MONTH(I275)&lt;4,1,0))+1,2))</f>
        <v/>
      </c>
      <c r="AR275" s="9" t="str">
        <f aca="false">IF(J275="","",(YEAR(J275)-IF(MONTH(J275)&lt;4,1,0))&amp;"-"&amp;RIGHT((YEAR(J275)-IF(MONTH(J275)&lt;4,1,0))+1,2))</f>
        <v/>
      </c>
      <c r="AS275" s="43" t="str">
        <f aca="false">IF(OR(B275="",Q275="",D275&lt;&gt;"Active"),"",DATE(YEAR(AsOf)+IF(DATE(YEAR(AsOf),MONTH(Q275),DAY(Q275))&lt;AsOf,1,0),MONTH(Q275),DAY(Q275))-AsOf)</f>
        <v/>
      </c>
      <c r="AT275" s="43" t="str">
        <f aca="false">IF(OR(B275="",I275="",D275&lt;&gt;"Active"),"",IF(YEAR(DATE(YEAR(AsOf)+IF(DATE(YEAR(AsOf),MONTH(I275),DAY(I275))&lt;AsOf,1,0),MONTH(I275),DAY(I275)))-YEAR(I275)&lt;1,"",DATE(YEAR(AsOf)+IF(DATE(YEAR(AsOf),MONTH(I275),DAY(I275))&lt;AsOf,1,0),MONTH(I275),DAY(I275))-AsOf))</f>
        <v/>
      </c>
      <c r="AU275" s="43" t="str">
        <f aca="false">IF(B275="","",IF(AV275="",0,LEN(AV275)-LEN(SUBSTITUTE(AV275,";",""))))</f>
        <v/>
      </c>
      <c r="AV275" s="9" t="str">
        <f aca="false">IF(B275="","",IF(COUNTIF($B$6:$B$505,B275)&gt;1,"Duplicate Emp Code; ","")&amp;IF(C275="","Name missing; ","")&amp;IF(I275="","DOJ missing; ","")&amp;IF(AND(J275&lt;&gt;"",I275&lt;&gt;"",J275&lt;I275),"Exit before DOJ; ","")&amp;IF(Q275="","DOB missing; ","")&amp;IF(T275="","Aadhaar missing; ",IF(LEN(T275)&lt;&gt;12,"Aadhaar not 12 digits; ",IF(COUNTIF($T$6:$T$505,T275)&gt;1,"Duplicate Aadhaar; ","")))&amp;IF(U275="","PAN missing; ",IF(LEN(U275)&lt;&gt;10,"PAN not 10 chars; ",""))&amp;IF(V275="","Mobile missing; ",IF(LEN(V275)&lt;&gt;10,"Mobile not 10 digits; ",""))&amp;IF(AG275="","Bank A/c missing; ","")&amp;IF(AH275="","IFSC missing; ",IF(LEN(AH275)&lt;&gt;11,"IFSC not 11 chars; ","")))</f>
        <v/>
      </c>
      <c r="AW275" s="46" t="str">
        <f aca="false">IF(AS275="","",AS275+ROW()/100000)</f>
        <v/>
      </c>
      <c r="AX275" s="46" t="str">
        <f aca="false">IF(AT275="","",AT275+ROW()/100000)</f>
        <v/>
      </c>
    </row>
    <row r="276" customFormat="false" ht="15" hidden="false" customHeight="false" outlineLevel="0" collapsed="false">
      <c r="A276" s="9" t="str">
        <f aca="false">IF(B276="","",ROW()-5)</f>
        <v/>
      </c>
      <c r="B276" s="40"/>
      <c r="C276" s="8"/>
      <c r="D276" s="9" t="str">
        <f aca="false">IF(B276="","",IF(J276="","Active","Exited"))</f>
        <v/>
      </c>
      <c r="E276" s="8"/>
      <c r="F276" s="8"/>
      <c r="G276" s="8"/>
      <c r="H276" s="9" t="str">
        <f aca="false">IF(OR(B276="",I276=""),"",IF(IF(J276="",AsOf,J276)-I276&gt;=Settings!$C$13,"Permanent","Probation"))</f>
        <v/>
      </c>
      <c r="I276" s="41"/>
      <c r="J276" s="41"/>
      <c r="K276" s="8"/>
      <c r="L276" s="42" t="str">
        <f aca="false">IF(OR(B276="",I276=""),"",ROUND((IF(J276="",AsOf,J276)-I276)/365.25,1))</f>
        <v/>
      </c>
      <c r="M276" s="8"/>
      <c r="N276" s="8"/>
      <c r="O276" s="8"/>
      <c r="P276" s="8"/>
      <c r="Q276" s="41"/>
      <c r="R276" s="43" t="str">
        <f aca="false">IF(OR(B276="",Q276=""),"",INT((AsOf-Q276)/365.25))</f>
        <v/>
      </c>
      <c r="S276" s="8"/>
      <c r="T276" s="40"/>
      <c r="U276" s="40"/>
      <c r="V276" s="40"/>
      <c r="W276" s="40"/>
      <c r="X276" s="8"/>
      <c r="Y276" s="8"/>
      <c r="Z276" s="8"/>
      <c r="AA276" s="8"/>
      <c r="AB276" s="8"/>
      <c r="AC276" s="8"/>
      <c r="AD276" s="8"/>
      <c r="AE276" s="40"/>
      <c r="AF276" s="8"/>
      <c r="AG276" s="40"/>
      <c r="AH276" s="40"/>
      <c r="AI276" s="8"/>
      <c r="AJ276" s="40"/>
      <c r="AK276" s="40"/>
      <c r="AL276" s="40"/>
      <c r="AM276" s="44"/>
      <c r="AN276" s="44"/>
      <c r="AO276" s="41"/>
      <c r="AP276" s="45" t="str">
        <f aca="false">IF(B276="","",IF(AND(ISNUMBER(AM276),ISNUMBER(AN276),AM276&gt;0,AN276&gt;0),AN276/AM276-1,""))</f>
        <v/>
      </c>
      <c r="AQ276" s="9" t="str">
        <f aca="false">IF(I276="","",(YEAR(I276)-IF(MONTH(I276)&lt;4,1,0))&amp;"-"&amp;RIGHT((YEAR(I276)-IF(MONTH(I276)&lt;4,1,0))+1,2))</f>
        <v/>
      </c>
      <c r="AR276" s="9" t="str">
        <f aca="false">IF(J276="","",(YEAR(J276)-IF(MONTH(J276)&lt;4,1,0))&amp;"-"&amp;RIGHT((YEAR(J276)-IF(MONTH(J276)&lt;4,1,0))+1,2))</f>
        <v/>
      </c>
      <c r="AS276" s="43" t="str">
        <f aca="false">IF(OR(B276="",Q276="",D276&lt;&gt;"Active"),"",DATE(YEAR(AsOf)+IF(DATE(YEAR(AsOf),MONTH(Q276),DAY(Q276))&lt;AsOf,1,0),MONTH(Q276),DAY(Q276))-AsOf)</f>
        <v/>
      </c>
      <c r="AT276" s="43" t="str">
        <f aca="false">IF(OR(B276="",I276="",D276&lt;&gt;"Active"),"",IF(YEAR(DATE(YEAR(AsOf)+IF(DATE(YEAR(AsOf),MONTH(I276),DAY(I276))&lt;AsOf,1,0),MONTH(I276),DAY(I276)))-YEAR(I276)&lt;1,"",DATE(YEAR(AsOf)+IF(DATE(YEAR(AsOf),MONTH(I276),DAY(I276))&lt;AsOf,1,0),MONTH(I276),DAY(I276))-AsOf))</f>
        <v/>
      </c>
      <c r="AU276" s="43" t="str">
        <f aca="false">IF(B276="","",IF(AV276="",0,LEN(AV276)-LEN(SUBSTITUTE(AV276,";",""))))</f>
        <v/>
      </c>
      <c r="AV276" s="9" t="str">
        <f aca="false">IF(B276="","",IF(COUNTIF($B$6:$B$505,B276)&gt;1,"Duplicate Emp Code; ","")&amp;IF(C276="","Name missing; ","")&amp;IF(I276="","DOJ missing; ","")&amp;IF(AND(J276&lt;&gt;"",I276&lt;&gt;"",J276&lt;I276),"Exit before DOJ; ","")&amp;IF(Q276="","DOB missing; ","")&amp;IF(T276="","Aadhaar missing; ",IF(LEN(T276)&lt;&gt;12,"Aadhaar not 12 digits; ",IF(COUNTIF($T$6:$T$505,T276)&gt;1,"Duplicate Aadhaar; ","")))&amp;IF(U276="","PAN missing; ",IF(LEN(U276)&lt;&gt;10,"PAN not 10 chars; ",""))&amp;IF(V276="","Mobile missing; ",IF(LEN(V276)&lt;&gt;10,"Mobile not 10 digits; ",""))&amp;IF(AG276="","Bank A/c missing; ","")&amp;IF(AH276="","IFSC missing; ",IF(LEN(AH276)&lt;&gt;11,"IFSC not 11 chars; ","")))</f>
        <v/>
      </c>
      <c r="AW276" s="46" t="str">
        <f aca="false">IF(AS276="","",AS276+ROW()/100000)</f>
        <v/>
      </c>
      <c r="AX276" s="46" t="str">
        <f aca="false">IF(AT276="","",AT276+ROW()/100000)</f>
        <v/>
      </c>
    </row>
    <row r="277" customFormat="false" ht="15" hidden="false" customHeight="false" outlineLevel="0" collapsed="false">
      <c r="A277" s="9" t="str">
        <f aca="false">IF(B277="","",ROW()-5)</f>
        <v/>
      </c>
      <c r="B277" s="40"/>
      <c r="C277" s="8"/>
      <c r="D277" s="9" t="str">
        <f aca="false">IF(B277="","",IF(J277="","Active","Exited"))</f>
        <v/>
      </c>
      <c r="E277" s="8"/>
      <c r="F277" s="8"/>
      <c r="G277" s="8"/>
      <c r="H277" s="9" t="str">
        <f aca="false">IF(OR(B277="",I277=""),"",IF(IF(J277="",AsOf,J277)-I277&gt;=Settings!$C$13,"Permanent","Probation"))</f>
        <v/>
      </c>
      <c r="I277" s="41"/>
      <c r="J277" s="41"/>
      <c r="K277" s="8"/>
      <c r="L277" s="42" t="str">
        <f aca="false">IF(OR(B277="",I277=""),"",ROUND((IF(J277="",AsOf,J277)-I277)/365.25,1))</f>
        <v/>
      </c>
      <c r="M277" s="8"/>
      <c r="N277" s="8"/>
      <c r="O277" s="8"/>
      <c r="P277" s="8"/>
      <c r="Q277" s="41"/>
      <c r="R277" s="43" t="str">
        <f aca="false">IF(OR(B277="",Q277=""),"",INT((AsOf-Q277)/365.25))</f>
        <v/>
      </c>
      <c r="S277" s="8"/>
      <c r="T277" s="40"/>
      <c r="U277" s="40"/>
      <c r="V277" s="40"/>
      <c r="W277" s="40"/>
      <c r="X277" s="8"/>
      <c r="Y277" s="8"/>
      <c r="Z277" s="8"/>
      <c r="AA277" s="8"/>
      <c r="AB277" s="8"/>
      <c r="AC277" s="8"/>
      <c r="AD277" s="8"/>
      <c r="AE277" s="40"/>
      <c r="AF277" s="8"/>
      <c r="AG277" s="40"/>
      <c r="AH277" s="40"/>
      <c r="AI277" s="8"/>
      <c r="AJ277" s="40"/>
      <c r="AK277" s="40"/>
      <c r="AL277" s="40"/>
      <c r="AM277" s="44"/>
      <c r="AN277" s="44"/>
      <c r="AO277" s="41"/>
      <c r="AP277" s="45" t="str">
        <f aca="false">IF(B277="","",IF(AND(ISNUMBER(AM277),ISNUMBER(AN277),AM277&gt;0,AN277&gt;0),AN277/AM277-1,""))</f>
        <v/>
      </c>
      <c r="AQ277" s="9" t="str">
        <f aca="false">IF(I277="","",(YEAR(I277)-IF(MONTH(I277)&lt;4,1,0))&amp;"-"&amp;RIGHT((YEAR(I277)-IF(MONTH(I277)&lt;4,1,0))+1,2))</f>
        <v/>
      </c>
      <c r="AR277" s="9" t="str">
        <f aca="false">IF(J277="","",(YEAR(J277)-IF(MONTH(J277)&lt;4,1,0))&amp;"-"&amp;RIGHT((YEAR(J277)-IF(MONTH(J277)&lt;4,1,0))+1,2))</f>
        <v/>
      </c>
      <c r="AS277" s="43" t="str">
        <f aca="false">IF(OR(B277="",Q277="",D277&lt;&gt;"Active"),"",DATE(YEAR(AsOf)+IF(DATE(YEAR(AsOf),MONTH(Q277),DAY(Q277))&lt;AsOf,1,0),MONTH(Q277),DAY(Q277))-AsOf)</f>
        <v/>
      </c>
      <c r="AT277" s="43" t="str">
        <f aca="false">IF(OR(B277="",I277="",D277&lt;&gt;"Active"),"",IF(YEAR(DATE(YEAR(AsOf)+IF(DATE(YEAR(AsOf),MONTH(I277),DAY(I277))&lt;AsOf,1,0),MONTH(I277),DAY(I277)))-YEAR(I277)&lt;1,"",DATE(YEAR(AsOf)+IF(DATE(YEAR(AsOf),MONTH(I277),DAY(I277))&lt;AsOf,1,0),MONTH(I277),DAY(I277))-AsOf))</f>
        <v/>
      </c>
      <c r="AU277" s="43" t="str">
        <f aca="false">IF(B277="","",IF(AV277="",0,LEN(AV277)-LEN(SUBSTITUTE(AV277,";",""))))</f>
        <v/>
      </c>
      <c r="AV277" s="9" t="str">
        <f aca="false">IF(B277="","",IF(COUNTIF($B$6:$B$505,B277)&gt;1,"Duplicate Emp Code; ","")&amp;IF(C277="","Name missing; ","")&amp;IF(I277="","DOJ missing; ","")&amp;IF(AND(J277&lt;&gt;"",I277&lt;&gt;"",J277&lt;I277),"Exit before DOJ; ","")&amp;IF(Q277="","DOB missing; ","")&amp;IF(T277="","Aadhaar missing; ",IF(LEN(T277)&lt;&gt;12,"Aadhaar not 12 digits; ",IF(COUNTIF($T$6:$T$505,T277)&gt;1,"Duplicate Aadhaar; ","")))&amp;IF(U277="","PAN missing; ",IF(LEN(U277)&lt;&gt;10,"PAN not 10 chars; ",""))&amp;IF(V277="","Mobile missing; ",IF(LEN(V277)&lt;&gt;10,"Mobile not 10 digits; ",""))&amp;IF(AG277="","Bank A/c missing; ","")&amp;IF(AH277="","IFSC missing; ",IF(LEN(AH277)&lt;&gt;11,"IFSC not 11 chars; ","")))</f>
        <v/>
      </c>
      <c r="AW277" s="46" t="str">
        <f aca="false">IF(AS277="","",AS277+ROW()/100000)</f>
        <v/>
      </c>
      <c r="AX277" s="46" t="str">
        <f aca="false">IF(AT277="","",AT277+ROW()/100000)</f>
        <v/>
      </c>
    </row>
    <row r="278" customFormat="false" ht="15" hidden="false" customHeight="false" outlineLevel="0" collapsed="false">
      <c r="A278" s="9" t="str">
        <f aca="false">IF(B278="","",ROW()-5)</f>
        <v/>
      </c>
      <c r="B278" s="40"/>
      <c r="C278" s="8"/>
      <c r="D278" s="9" t="str">
        <f aca="false">IF(B278="","",IF(J278="","Active","Exited"))</f>
        <v/>
      </c>
      <c r="E278" s="8"/>
      <c r="F278" s="8"/>
      <c r="G278" s="8"/>
      <c r="H278" s="9" t="str">
        <f aca="false">IF(OR(B278="",I278=""),"",IF(IF(J278="",AsOf,J278)-I278&gt;=Settings!$C$13,"Permanent","Probation"))</f>
        <v/>
      </c>
      <c r="I278" s="41"/>
      <c r="J278" s="41"/>
      <c r="K278" s="8"/>
      <c r="L278" s="42" t="str">
        <f aca="false">IF(OR(B278="",I278=""),"",ROUND((IF(J278="",AsOf,J278)-I278)/365.25,1))</f>
        <v/>
      </c>
      <c r="M278" s="8"/>
      <c r="N278" s="8"/>
      <c r="O278" s="8"/>
      <c r="P278" s="8"/>
      <c r="Q278" s="41"/>
      <c r="R278" s="43" t="str">
        <f aca="false">IF(OR(B278="",Q278=""),"",INT((AsOf-Q278)/365.25))</f>
        <v/>
      </c>
      <c r="S278" s="8"/>
      <c r="T278" s="40"/>
      <c r="U278" s="40"/>
      <c r="V278" s="40"/>
      <c r="W278" s="40"/>
      <c r="X278" s="8"/>
      <c r="Y278" s="8"/>
      <c r="Z278" s="8"/>
      <c r="AA278" s="8"/>
      <c r="AB278" s="8"/>
      <c r="AC278" s="8"/>
      <c r="AD278" s="8"/>
      <c r="AE278" s="40"/>
      <c r="AF278" s="8"/>
      <c r="AG278" s="40"/>
      <c r="AH278" s="40"/>
      <c r="AI278" s="8"/>
      <c r="AJ278" s="40"/>
      <c r="AK278" s="40"/>
      <c r="AL278" s="40"/>
      <c r="AM278" s="44"/>
      <c r="AN278" s="44"/>
      <c r="AO278" s="41"/>
      <c r="AP278" s="45" t="str">
        <f aca="false">IF(B278="","",IF(AND(ISNUMBER(AM278),ISNUMBER(AN278),AM278&gt;0,AN278&gt;0),AN278/AM278-1,""))</f>
        <v/>
      </c>
      <c r="AQ278" s="9" t="str">
        <f aca="false">IF(I278="","",(YEAR(I278)-IF(MONTH(I278)&lt;4,1,0))&amp;"-"&amp;RIGHT((YEAR(I278)-IF(MONTH(I278)&lt;4,1,0))+1,2))</f>
        <v/>
      </c>
      <c r="AR278" s="9" t="str">
        <f aca="false">IF(J278="","",(YEAR(J278)-IF(MONTH(J278)&lt;4,1,0))&amp;"-"&amp;RIGHT((YEAR(J278)-IF(MONTH(J278)&lt;4,1,0))+1,2))</f>
        <v/>
      </c>
      <c r="AS278" s="43" t="str">
        <f aca="false">IF(OR(B278="",Q278="",D278&lt;&gt;"Active"),"",DATE(YEAR(AsOf)+IF(DATE(YEAR(AsOf),MONTH(Q278),DAY(Q278))&lt;AsOf,1,0),MONTH(Q278),DAY(Q278))-AsOf)</f>
        <v/>
      </c>
      <c r="AT278" s="43" t="str">
        <f aca="false">IF(OR(B278="",I278="",D278&lt;&gt;"Active"),"",IF(YEAR(DATE(YEAR(AsOf)+IF(DATE(YEAR(AsOf),MONTH(I278),DAY(I278))&lt;AsOf,1,0),MONTH(I278),DAY(I278)))-YEAR(I278)&lt;1,"",DATE(YEAR(AsOf)+IF(DATE(YEAR(AsOf),MONTH(I278),DAY(I278))&lt;AsOf,1,0),MONTH(I278),DAY(I278))-AsOf))</f>
        <v/>
      </c>
      <c r="AU278" s="43" t="str">
        <f aca="false">IF(B278="","",IF(AV278="",0,LEN(AV278)-LEN(SUBSTITUTE(AV278,";",""))))</f>
        <v/>
      </c>
      <c r="AV278" s="9" t="str">
        <f aca="false">IF(B278="","",IF(COUNTIF($B$6:$B$505,B278)&gt;1,"Duplicate Emp Code; ","")&amp;IF(C278="","Name missing; ","")&amp;IF(I278="","DOJ missing; ","")&amp;IF(AND(J278&lt;&gt;"",I278&lt;&gt;"",J278&lt;I278),"Exit before DOJ; ","")&amp;IF(Q278="","DOB missing; ","")&amp;IF(T278="","Aadhaar missing; ",IF(LEN(T278)&lt;&gt;12,"Aadhaar not 12 digits; ",IF(COUNTIF($T$6:$T$505,T278)&gt;1,"Duplicate Aadhaar; ","")))&amp;IF(U278="","PAN missing; ",IF(LEN(U278)&lt;&gt;10,"PAN not 10 chars; ",""))&amp;IF(V278="","Mobile missing; ",IF(LEN(V278)&lt;&gt;10,"Mobile not 10 digits; ",""))&amp;IF(AG278="","Bank A/c missing; ","")&amp;IF(AH278="","IFSC missing; ",IF(LEN(AH278)&lt;&gt;11,"IFSC not 11 chars; ","")))</f>
        <v/>
      </c>
      <c r="AW278" s="46" t="str">
        <f aca="false">IF(AS278="","",AS278+ROW()/100000)</f>
        <v/>
      </c>
      <c r="AX278" s="46" t="str">
        <f aca="false">IF(AT278="","",AT278+ROW()/100000)</f>
        <v/>
      </c>
    </row>
    <row r="279" customFormat="false" ht="15" hidden="false" customHeight="false" outlineLevel="0" collapsed="false">
      <c r="A279" s="9" t="str">
        <f aca="false">IF(B279="","",ROW()-5)</f>
        <v/>
      </c>
      <c r="B279" s="40"/>
      <c r="C279" s="8"/>
      <c r="D279" s="9" t="str">
        <f aca="false">IF(B279="","",IF(J279="","Active","Exited"))</f>
        <v/>
      </c>
      <c r="E279" s="8"/>
      <c r="F279" s="8"/>
      <c r="G279" s="8"/>
      <c r="H279" s="9" t="str">
        <f aca="false">IF(OR(B279="",I279=""),"",IF(IF(J279="",AsOf,J279)-I279&gt;=Settings!$C$13,"Permanent","Probation"))</f>
        <v/>
      </c>
      <c r="I279" s="41"/>
      <c r="J279" s="41"/>
      <c r="K279" s="8"/>
      <c r="L279" s="42" t="str">
        <f aca="false">IF(OR(B279="",I279=""),"",ROUND((IF(J279="",AsOf,J279)-I279)/365.25,1))</f>
        <v/>
      </c>
      <c r="M279" s="8"/>
      <c r="N279" s="8"/>
      <c r="O279" s="8"/>
      <c r="P279" s="8"/>
      <c r="Q279" s="41"/>
      <c r="R279" s="43" t="str">
        <f aca="false">IF(OR(B279="",Q279=""),"",INT((AsOf-Q279)/365.25))</f>
        <v/>
      </c>
      <c r="S279" s="8"/>
      <c r="T279" s="40"/>
      <c r="U279" s="40"/>
      <c r="V279" s="40"/>
      <c r="W279" s="40"/>
      <c r="X279" s="8"/>
      <c r="Y279" s="8"/>
      <c r="Z279" s="8"/>
      <c r="AA279" s="8"/>
      <c r="AB279" s="8"/>
      <c r="AC279" s="8"/>
      <c r="AD279" s="8"/>
      <c r="AE279" s="40"/>
      <c r="AF279" s="8"/>
      <c r="AG279" s="40"/>
      <c r="AH279" s="40"/>
      <c r="AI279" s="8"/>
      <c r="AJ279" s="40"/>
      <c r="AK279" s="40"/>
      <c r="AL279" s="40"/>
      <c r="AM279" s="44"/>
      <c r="AN279" s="44"/>
      <c r="AO279" s="41"/>
      <c r="AP279" s="45" t="str">
        <f aca="false">IF(B279="","",IF(AND(ISNUMBER(AM279),ISNUMBER(AN279),AM279&gt;0,AN279&gt;0),AN279/AM279-1,""))</f>
        <v/>
      </c>
      <c r="AQ279" s="9" t="str">
        <f aca="false">IF(I279="","",(YEAR(I279)-IF(MONTH(I279)&lt;4,1,0))&amp;"-"&amp;RIGHT((YEAR(I279)-IF(MONTH(I279)&lt;4,1,0))+1,2))</f>
        <v/>
      </c>
      <c r="AR279" s="9" t="str">
        <f aca="false">IF(J279="","",(YEAR(J279)-IF(MONTH(J279)&lt;4,1,0))&amp;"-"&amp;RIGHT((YEAR(J279)-IF(MONTH(J279)&lt;4,1,0))+1,2))</f>
        <v/>
      </c>
      <c r="AS279" s="43" t="str">
        <f aca="false">IF(OR(B279="",Q279="",D279&lt;&gt;"Active"),"",DATE(YEAR(AsOf)+IF(DATE(YEAR(AsOf),MONTH(Q279),DAY(Q279))&lt;AsOf,1,0),MONTH(Q279),DAY(Q279))-AsOf)</f>
        <v/>
      </c>
      <c r="AT279" s="43" t="str">
        <f aca="false">IF(OR(B279="",I279="",D279&lt;&gt;"Active"),"",IF(YEAR(DATE(YEAR(AsOf)+IF(DATE(YEAR(AsOf),MONTH(I279),DAY(I279))&lt;AsOf,1,0),MONTH(I279),DAY(I279)))-YEAR(I279)&lt;1,"",DATE(YEAR(AsOf)+IF(DATE(YEAR(AsOf),MONTH(I279),DAY(I279))&lt;AsOf,1,0),MONTH(I279),DAY(I279))-AsOf))</f>
        <v/>
      </c>
      <c r="AU279" s="43" t="str">
        <f aca="false">IF(B279="","",IF(AV279="",0,LEN(AV279)-LEN(SUBSTITUTE(AV279,";",""))))</f>
        <v/>
      </c>
      <c r="AV279" s="9" t="str">
        <f aca="false">IF(B279="","",IF(COUNTIF($B$6:$B$505,B279)&gt;1,"Duplicate Emp Code; ","")&amp;IF(C279="","Name missing; ","")&amp;IF(I279="","DOJ missing; ","")&amp;IF(AND(J279&lt;&gt;"",I279&lt;&gt;"",J279&lt;I279),"Exit before DOJ; ","")&amp;IF(Q279="","DOB missing; ","")&amp;IF(T279="","Aadhaar missing; ",IF(LEN(T279)&lt;&gt;12,"Aadhaar not 12 digits; ",IF(COUNTIF($T$6:$T$505,T279)&gt;1,"Duplicate Aadhaar; ","")))&amp;IF(U279="","PAN missing; ",IF(LEN(U279)&lt;&gt;10,"PAN not 10 chars; ",""))&amp;IF(V279="","Mobile missing; ",IF(LEN(V279)&lt;&gt;10,"Mobile not 10 digits; ",""))&amp;IF(AG279="","Bank A/c missing; ","")&amp;IF(AH279="","IFSC missing; ",IF(LEN(AH279)&lt;&gt;11,"IFSC not 11 chars; ","")))</f>
        <v/>
      </c>
      <c r="AW279" s="46" t="str">
        <f aca="false">IF(AS279="","",AS279+ROW()/100000)</f>
        <v/>
      </c>
      <c r="AX279" s="46" t="str">
        <f aca="false">IF(AT279="","",AT279+ROW()/100000)</f>
        <v/>
      </c>
    </row>
    <row r="280" customFormat="false" ht="15" hidden="false" customHeight="false" outlineLevel="0" collapsed="false">
      <c r="A280" s="9" t="str">
        <f aca="false">IF(B280="","",ROW()-5)</f>
        <v/>
      </c>
      <c r="B280" s="40"/>
      <c r="C280" s="8"/>
      <c r="D280" s="9" t="str">
        <f aca="false">IF(B280="","",IF(J280="","Active","Exited"))</f>
        <v/>
      </c>
      <c r="E280" s="8"/>
      <c r="F280" s="8"/>
      <c r="G280" s="8"/>
      <c r="H280" s="9" t="str">
        <f aca="false">IF(OR(B280="",I280=""),"",IF(IF(J280="",AsOf,J280)-I280&gt;=Settings!$C$13,"Permanent","Probation"))</f>
        <v/>
      </c>
      <c r="I280" s="41"/>
      <c r="J280" s="41"/>
      <c r="K280" s="8"/>
      <c r="L280" s="42" t="str">
        <f aca="false">IF(OR(B280="",I280=""),"",ROUND((IF(J280="",AsOf,J280)-I280)/365.25,1))</f>
        <v/>
      </c>
      <c r="M280" s="8"/>
      <c r="N280" s="8"/>
      <c r="O280" s="8"/>
      <c r="P280" s="8"/>
      <c r="Q280" s="41"/>
      <c r="R280" s="43" t="str">
        <f aca="false">IF(OR(B280="",Q280=""),"",INT((AsOf-Q280)/365.25))</f>
        <v/>
      </c>
      <c r="S280" s="8"/>
      <c r="T280" s="40"/>
      <c r="U280" s="40"/>
      <c r="V280" s="40"/>
      <c r="W280" s="40"/>
      <c r="X280" s="8"/>
      <c r="Y280" s="8"/>
      <c r="Z280" s="8"/>
      <c r="AA280" s="8"/>
      <c r="AB280" s="8"/>
      <c r="AC280" s="8"/>
      <c r="AD280" s="8"/>
      <c r="AE280" s="40"/>
      <c r="AF280" s="8"/>
      <c r="AG280" s="40"/>
      <c r="AH280" s="40"/>
      <c r="AI280" s="8"/>
      <c r="AJ280" s="40"/>
      <c r="AK280" s="40"/>
      <c r="AL280" s="40"/>
      <c r="AM280" s="44"/>
      <c r="AN280" s="44"/>
      <c r="AO280" s="41"/>
      <c r="AP280" s="45" t="str">
        <f aca="false">IF(B280="","",IF(AND(ISNUMBER(AM280),ISNUMBER(AN280),AM280&gt;0,AN280&gt;0),AN280/AM280-1,""))</f>
        <v/>
      </c>
      <c r="AQ280" s="9" t="str">
        <f aca="false">IF(I280="","",(YEAR(I280)-IF(MONTH(I280)&lt;4,1,0))&amp;"-"&amp;RIGHT((YEAR(I280)-IF(MONTH(I280)&lt;4,1,0))+1,2))</f>
        <v/>
      </c>
      <c r="AR280" s="9" t="str">
        <f aca="false">IF(J280="","",(YEAR(J280)-IF(MONTH(J280)&lt;4,1,0))&amp;"-"&amp;RIGHT((YEAR(J280)-IF(MONTH(J280)&lt;4,1,0))+1,2))</f>
        <v/>
      </c>
      <c r="AS280" s="43" t="str">
        <f aca="false">IF(OR(B280="",Q280="",D280&lt;&gt;"Active"),"",DATE(YEAR(AsOf)+IF(DATE(YEAR(AsOf),MONTH(Q280),DAY(Q280))&lt;AsOf,1,0),MONTH(Q280),DAY(Q280))-AsOf)</f>
        <v/>
      </c>
      <c r="AT280" s="43" t="str">
        <f aca="false">IF(OR(B280="",I280="",D280&lt;&gt;"Active"),"",IF(YEAR(DATE(YEAR(AsOf)+IF(DATE(YEAR(AsOf),MONTH(I280),DAY(I280))&lt;AsOf,1,0),MONTH(I280),DAY(I280)))-YEAR(I280)&lt;1,"",DATE(YEAR(AsOf)+IF(DATE(YEAR(AsOf),MONTH(I280),DAY(I280))&lt;AsOf,1,0),MONTH(I280),DAY(I280))-AsOf))</f>
        <v/>
      </c>
      <c r="AU280" s="43" t="str">
        <f aca="false">IF(B280="","",IF(AV280="",0,LEN(AV280)-LEN(SUBSTITUTE(AV280,";",""))))</f>
        <v/>
      </c>
      <c r="AV280" s="9" t="str">
        <f aca="false">IF(B280="","",IF(COUNTIF($B$6:$B$505,B280)&gt;1,"Duplicate Emp Code; ","")&amp;IF(C280="","Name missing; ","")&amp;IF(I280="","DOJ missing; ","")&amp;IF(AND(J280&lt;&gt;"",I280&lt;&gt;"",J280&lt;I280),"Exit before DOJ; ","")&amp;IF(Q280="","DOB missing; ","")&amp;IF(T280="","Aadhaar missing; ",IF(LEN(T280)&lt;&gt;12,"Aadhaar not 12 digits; ",IF(COUNTIF($T$6:$T$505,T280)&gt;1,"Duplicate Aadhaar; ","")))&amp;IF(U280="","PAN missing; ",IF(LEN(U280)&lt;&gt;10,"PAN not 10 chars; ",""))&amp;IF(V280="","Mobile missing; ",IF(LEN(V280)&lt;&gt;10,"Mobile not 10 digits; ",""))&amp;IF(AG280="","Bank A/c missing; ","")&amp;IF(AH280="","IFSC missing; ",IF(LEN(AH280)&lt;&gt;11,"IFSC not 11 chars; ","")))</f>
        <v/>
      </c>
      <c r="AW280" s="46" t="str">
        <f aca="false">IF(AS280="","",AS280+ROW()/100000)</f>
        <v/>
      </c>
      <c r="AX280" s="46" t="str">
        <f aca="false">IF(AT280="","",AT280+ROW()/100000)</f>
        <v/>
      </c>
    </row>
    <row r="281" customFormat="false" ht="15" hidden="false" customHeight="false" outlineLevel="0" collapsed="false">
      <c r="A281" s="9" t="str">
        <f aca="false">IF(B281="","",ROW()-5)</f>
        <v/>
      </c>
      <c r="B281" s="40"/>
      <c r="C281" s="8"/>
      <c r="D281" s="9" t="str">
        <f aca="false">IF(B281="","",IF(J281="","Active","Exited"))</f>
        <v/>
      </c>
      <c r="E281" s="8"/>
      <c r="F281" s="8"/>
      <c r="G281" s="8"/>
      <c r="H281" s="9" t="str">
        <f aca="false">IF(OR(B281="",I281=""),"",IF(IF(J281="",AsOf,J281)-I281&gt;=Settings!$C$13,"Permanent","Probation"))</f>
        <v/>
      </c>
      <c r="I281" s="41"/>
      <c r="J281" s="41"/>
      <c r="K281" s="8"/>
      <c r="L281" s="42" t="str">
        <f aca="false">IF(OR(B281="",I281=""),"",ROUND((IF(J281="",AsOf,J281)-I281)/365.25,1))</f>
        <v/>
      </c>
      <c r="M281" s="8"/>
      <c r="N281" s="8"/>
      <c r="O281" s="8"/>
      <c r="P281" s="8"/>
      <c r="Q281" s="41"/>
      <c r="R281" s="43" t="str">
        <f aca="false">IF(OR(B281="",Q281=""),"",INT((AsOf-Q281)/365.25))</f>
        <v/>
      </c>
      <c r="S281" s="8"/>
      <c r="T281" s="40"/>
      <c r="U281" s="40"/>
      <c r="V281" s="40"/>
      <c r="W281" s="40"/>
      <c r="X281" s="8"/>
      <c r="Y281" s="8"/>
      <c r="Z281" s="8"/>
      <c r="AA281" s="8"/>
      <c r="AB281" s="8"/>
      <c r="AC281" s="8"/>
      <c r="AD281" s="8"/>
      <c r="AE281" s="40"/>
      <c r="AF281" s="8"/>
      <c r="AG281" s="40"/>
      <c r="AH281" s="40"/>
      <c r="AI281" s="8"/>
      <c r="AJ281" s="40"/>
      <c r="AK281" s="40"/>
      <c r="AL281" s="40"/>
      <c r="AM281" s="44"/>
      <c r="AN281" s="44"/>
      <c r="AO281" s="41"/>
      <c r="AP281" s="45" t="str">
        <f aca="false">IF(B281="","",IF(AND(ISNUMBER(AM281),ISNUMBER(AN281),AM281&gt;0,AN281&gt;0),AN281/AM281-1,""))</f>
        <v/>
      </c>
      <c r="AQ281" s="9" t="str">
        <f aca="false">IF(I281="","",(YEAR(I281)-IF(MONTH(I281)&lt;4,1,0))&amp;"-"&amp;RIGHT((YEAR(I281)-IF(MONTH(I281)&lt;4,1,0))+1,2))</f>
        <v/>
      </c>
      <c r="AR281" s="9" t="str">
        <f aca="false">IF(J281="","",(YEAR(J281)-IF(MONTH(J281)&lt;4,1,0))&amp;"-"&amp;RIGHT((YEAR(J281)-IF(MONTH(J281)&lt;4,1,0))+1,2))</f>
        <v/>
      </c>
      <c r="AS281" s="43" t="str">
        <f aca="false">IF(OR(B281="",Q281="",D281&lt;&gt;"Active"),"",DATE(YEAR(AsOf)+IF(DATE(YEAR(AsOf),MONTH(Q281),DAY(Q281))&lt;AsOf,1,0),MONTH(Q281),DAY(Q281))-AsOf)</f>
        <v/>
      </c>
      <c r="AT281" s="43" t="str">
        <f aca="false">IF(OR(B281="",I281="",D281&lt;&gt;"Active"),"",IF(YEAR(DATE(YEAR(AsOf)+IF(DATE(YEAR(AsOf),MONTH(I281),DAY(I281))&lt;AsOf,1,0),MONTH(I281),DAY(I281)))-YEAR(I281)&lt;1,"",DATE(YEAR(AsOf)+IF(DATE(YEAR(AsOf),MONTH(I281),DAY(I281))&lt;AsOf,1,0),MONTH(I281),DAY(I281))-AsOf))</f>
        <v/>
      </c>
      <c r="AU281" s="43" t="str">
        <f aca="false">IF(B281="","",IF(AV281="",0,LEN(AV281)-LEN(SUBSTITUTE(AV281,";",""))))</f>
        <v/>
      </c>
      <c r="AV281" s="9" t="str">
        <f aca="false">IF(B281="","",IF(COUNTIF($B$6:$B$505,B281)&gt;1,"Duplicate Emp Code; ","")&amp;IF(C281="","Name missing; ","")&amp;IF(I281="","DOJ missing; ","")&amp;IF(AND(J281&lt;&gt;"",I281&lt;&gt;"",J281&lt;I281),"Exit before DOJ; ","")&amp;IF(Q281="","DOB missing; ","")&amp;IF(T281="","Aadhaar missing; ",IF(LEN(T281)&lt;&gt;12,"Aadhaar not 12 digits; ",IF(COUNTIF($T$6:$T$505,T281)&gt;1,"Duplicate Aadhaar; ","")))&amp;IF(U281="","PAN missing; ",IF(LEN(U281)&lt;&gt;10,"PAN not 10 chars; ",""))&amp;IF(V281="","Mobile missing; ",IF(LEN(V281)&lt;&gt;10,"Mobile not 10 digits; ",""))&amp;IF(AG281="","Bank A/c missing; ","")&amp;IF(AH281="","IFSC missing; ",IF(LEN(AH281)&lt;&gt;11,"IFSC not 11 chars; ","")))</f>
        <v/>
      </c>
      <c r="AW281" s="46" t="str">
        <f aca="false">IF(AS281="","",AS281+ROW()/100000)</f>
        <v/>
      </c>
      <c r="AX281" s="46" t="str">
        <f aca="false">IF(AT281="","",AT281+ROW()/100000)</f>
        <v/>
      </c>
    </row>
    <row r="282" customFormat="false" ht="15" hidden="false" customHeight="false" outlineLevel="0" collapsed="false">
      <c r="A282" s="9" t="str">
        <f aca="false">IF(B282="","",ROW()-5)</f>
        <v/>
      </c>
      <c r="B282" s="40"/>
      <c r="C282" s="8"/>
      <c r="D282" s="9" t="str">
        <f aca="false">IF(B282="","",IF(J282="","Active","Exited"))</f>
        <v/>
      </c>
      <c r="E282" s="8"/>
      <c r="F282" s="8"/>
      <c r="G282" s="8"/>
      <c r="H282" s="9" t="str">
        <f aca="false">IF(OR(B282="",I282=""),"",IF(IF(J282="",AsOf,J282)-I282&gt;=Settings!$C$13,"Permanent","Probation"))</f>
        <v/>
      </c>
      <c r="I282" s="41"/>
      <c r="J282" s="41"/>
      <c r="K282" s="8"/>
      <c r="L282" s="42" t="str">
        <f aca="false">IF(OR(B282="",I282=""),"",ROUND((IF(J282="",AsOf,J282)-I282)/365.25,1))</f>
        <v/>
      </c>
      <c r="M282" s="8"/>
      <c r="N282" s="8"/>
      <c r="O282" s="8"/>
      <c r="P282" s="8"/>
      <c r="Q282" s="41"/>
      <c r="R282" s="43" t="str">
        <f aca="false">IF(OR(B282="",Q282=""),"",INT((AsOf-Q282)/365.25))</f>
        <v/>
      </c>
      <c r="S282" s="8"/>
      <c r="T282" s="40"/>
      <c r="U282" s="40"/>
      <c r="V282" s="40"/>
      <c r="W282" s="40"/>
      <c r="X282" s="8"/>
      <c r="Y282" s="8"/>
      <c r="Z282" s="8"/>
      <c r="AA282" s="8"/>
      <c r="AB282" s="8"/>
      <c r="AC282" s="8"/>
      <c r="AD282" s="8"/>
      <c r="AE282" s="40"/>
      <c r="AF282" s="8"/>
      <c r="AG282" s="40"/>
      <c r="AH282" s="40"/>
      <c r="AI282" s="8"/>
      <c r="AJ282" s="40"/>
      <c r="AK282" s="40"/>
      <c r="AL282" s="40"/>
      <c r="AM282" s="44"/>
      <c r="AN282" s="44"/>
      <c r="AO282" s="41"/>
      <c r="AP282" s="45" t="str">
        <f aca="false">IF(B282="","",IF(AND(ISNUMBER(AM282),ISNUMBER(AN282),AM282&gt;0,AN282&gt;0),AN282/AM282-1,""))</f>
        <v/>
      </c>
      <c r="AQ282" s="9" t="str">
        <f aca="false">IF(I282="","",(YEAR(I282)-IF(MONTH(I282)&lt;4,1,0))&amp;"-"&amp;RIGHT((YEAR(I282)-IF(MONTH(I282)&lt;4,1,0))+1,2))</f>
        <v/>
      </c>
      <c r="AR282" s="9" t="str">
        <f aca="false">IF(J282="","",(YEAR(J282)-IF(MONTH(J282)&lt;4,1,0))&amp;"-"&amp;RIGHT((YEAR(J282)-IF(MONTH(J282)&lt;4,1,0))+1,2))</f>
        <v/>
      </c>
      <c r="AS282" s="43" t="str">
        <f aca="false">IF(OR(B282="",Q282="",D282&lt;&gt;"Active"),"",DATE(YEAR(AsOf)+IF(DATE(YEAR(AsOf),MONTH(Q282),DAY(Q282))&lt;AsOf,1,0),MONTH(Q282),DAY(Q282))-AsOf)</f>
        <v/>
      </c>
      <c r="AT282" s="43" t="str">
        <f aca="false">IF(OR(B282="",I282="",D282&lt;&gt;"Active"),"",IF(YEAR(DATE(YEAR(AsOf)+IF(DATE(YEAR(AsOf),MONTH(I282),DAY(I282))&lt;AsOf,1,0),MONTH(I282),DAY(I282)))-YEAR(I282)&lt;1,"",DATE(YEAR(AsOf)+IF(DATE(YEAR(AsOf),MONTH(I282),DAY(I282))&lt;AsOf,1,0),MONTH(I282),DAY(I282))-AsOf))</f>
        <v/>
      </c>
      <c r="AU282" s="43" t="str">
        <f aca="false">IF(B282="","",IF(AV282="",0,LEN(AV282)-LEN(SUBSTITUTE(AV282,";",""))))</f>
        <v/>
      </c>
      <c r="AV282" s="9" t="str">
        <f aca="false">IF(B282="","",IF(COUNTIF($B$6:$B$505,B282)&gt;1,"Duplicate Emp Code; ","")&amp;IF(C282="","Name missing; ","")&amp;IF(I282="","DOJ missing; ","")&amp;IF(AND(J282&lt;&gt;"",I282&lt;&gt;"",J282&lt;I282),"Exit before DOJ; ","")&amp;IF(Q282="","DOB missing; ","")&amp;IF(T282="","Aadhaar missing; ",IF(LEN(T282)&lt;&gt;12,"Aadhaar not 12 digits; ",IF(COUNTIF($T$6:$T$505,T282)&gt;1,"Duplicate Aadhaar; ","")))&amp;IF(U282="","PAN missing; ",IF(LEN(U282)&lt;&gt;10,"PAN not 10 chars; ",""))&amp;IF(V282="","Mobile missing; ",IF(LEN(V282)&lt;&gt;10,"Mobile not 10 digits; ",""))&amp;IF(AG282="","Bank A/c missing; ","")&amp;IF(AH282="","IFSC missing; ",IF(LEN(AH282)&lt;&gt;11,"IFSC not 11 chars; ","")))</f>
        <v/>
      </c>
      <c r="AW282" s="46" t="str">
        <f aca="false">IF(AS282="","",AS282+ROW()/100000)</f>
        <v/>
      </c>
      <c r="AX282" s="46" t="str">
        <f aca="false">IF(AT282="","",AT282+ROW()/100000)</f>
        <v/>
      </c>
    </row>
    <row r="283" customFormat="false" ht="15" hidden="false" customHeight="false" outlineLevel="0" collapsed="false">
      <c r="A283" s="9" t="str">
        <f aca="false">IF(B283="","",ROW()-5)</f>
        <v/>
      </c>
      <c r="B283" s="40"/>
      <c r="C283" s="8"/>
      <c r="D283" s="9" t="str">
        <f aca="false">IF(B283="","",IF(J283="","Active","Exited"))</f>
        <v/>
      </c>
      <c r="E283" s="8"/>
      <c r="F283" s="8"/>
      <c r="G283" s="8"/>
      <c r="H283" s="9" t="str">
        <f aca="false">IF(OR(B283="",I283=""),"",IF(IF(J283="",AsOf,J283)-I283&gt;=Settings!$C$13,"Permanent","Probation"))</f>
        <v/>
      </c>
      <c r="I283" s="41"/>
      <c r="J283" s="41"/>
      <c r="K283" s="8"/>
      <c r="L283" s="42" t="str">
        <f aca="false">IF(OR(B283="",I283=""),"",ROUND((IF(J283="",AsOf,J283)-I283)/365.25,1))</f>
        <v/>
      </c>
      <c r="M283" s="8"/>
      <c r="N283" s="8"/>
      <c r="O283" s="8"/>
      <c r="P283" s="8"/>
      <c r="Q283" s="41"/>
      <c r="R283" s="43" t="str">
        <f aca="false">IF(OR(B283="",Q283=""),"",INT((AsOf-Q283)/365.25))</f>
        <v/>
      </c>
      <c r="S283" s="8"/>
      <c r="T283" s="40"/>
      <c r="U283" s="40"/>
      <c r="V283" s="40"/>
      <c r="W283" s="40"/>
      <c r="X283" s="8"/>
      <c r="Y283" s="8"/>
      <c r="Z283" s="8"/>
      <c r="AA283" s="8"/>
      <c r="AB283" s="8"/>
      <c r="AC283" s="8"/>
      <c r="AD283" s="8"/>
      <c r="AE283" s="40"/>
      <c r="AF283" s="8"/>
      <c r="AG283" s="40"/>
      <c r="AH283" s="40"/>
      <c r="AI283" s="8"/>
      <c r="AJ283" s="40"/>
      <c r="AK283" s="40"/>
      <c r="AL283" s="40"/>
      <c r="AM283" s="44"/>
      <c r="AN283" s="44"/>
      <c r="AO283" s="41"/>
      <c r="AP283" s="45" t="str">
        <f aca="false">IF(B283="","",IF(AND(ISNUMBER(AM283),ISNUMBER(AN283),AM283&gt;0,AN283&gt;0),AN283/AM283-1,""))</f>
        <v/>
      </c>
      <c r="AQ283" s="9" t="str">
        <f aca="false">IF(I283="","",(YEAR(I283)-IF(MONTH(I283)&lt;4,1,0))&amp;"-"&amp;RIGHT((YEAR(I283)-IF(MONTH(I283)&lt;4,1,0))+1,2))</f>
        <v/>
      </c>
      <c r="AR283" s="9" t="str">
        <f aca="false">IF(J283="","",(YEAR(J283)-IF(MONTH(J283)&lt;4,1,0))&amp;"-"&amp;RIGHT((YEAR(J283)-IF(MONTH(J283)&lt;4,1,0))+1,2))</f>
        <v/>
      </c>
      <c r="AS283" s="43" t="str">
        <f aca="false">IF(OR(B283="",Q283="",D283&lt;&gt;"Active"),"",DATE(YEAR(AsOf)+IF(DATE(YEAR(AsOf),MONTH(Q283),DAY(Q283))&lt;AsOf,1,0),MONTH(Q283),DAY(Q283))-AsOf)</f>
        <v/>
      </c>
      <c r="AT283" s="43" t="str">
        <f aca="false">IF(OR(B283="",I283="",D283&lt;&gt;"Active"),"",IF(YEAR(DATE(YEAR(AsOf)+IF(DATE(YEAR(AsOf),MONTH(I283),DAY(I283))&lt;AsOf,1,0),MONTH(I283),DAY(I283)))-YEAR(I283)&lt;1,"",DATE(YEAR(AsOf)+IF(DATE(YEAR(AsOf),MONTH(I283),DAY(I283))&lt;AsOf,1,0),MONTH(I283),DAY(I283))-AsOf))</f>
        <v/>
      </c>
      <c r="AU283" s="43" t="str">
        <f aca="false">IF(B283="","",IF(AV283="",0,LEN(AV283)-LEN(SUBSTITUTE(AV283,";",""))))</f>
        <v/>
      </c>
      <c r="AV283" s="9" t="str">
        <f aca="false">IF(B283="","",IF(COUNTIF($B$6:$B$505,B283)&gt;1,"Duplicate Emp Code; ","")&amp;IF(C283="","Name missing; ","")&amp;IF(I283="","DOJ missing; ","")&amp;IF(AND(J283&lt;&gt;"",I283&lt;&gt;"",J283&lt;I283),"Exit before DOJ; ","")&amp;IF(Q283="","DOB missing; ","")&amp;IF(T283="","Aadhaar missing; ",IF(LEN(T283)&lt;&gt;12,"Aadhaar not 12 digits; ",IF(COUNTIF($T$6:$T$505,T283)&gt;1,"Duplicate Aadhaar; ","")))&amp;IF(U283="","PAN missing; ",IF(LEN(U283)&lt;&gt;10,"PAN not 10 chars; ",""))&amp;IF(V283="","Mobile missing; ",IF(LEN(V283)&lt;&gt;10,"Mobile not 10 digits; ",""))&amp;IF(AG283="","Bank A/c missing; ","")&amp;IF(AH283="","IFSC missing; ",IF(LEN(AH283)&lt;&gt;11,"IFSC not 11 chars; ","")))</f>
        <v/>
      </c>
      <c r="AW283" s="46" t="str">
        <f aca="false">IF(AS283="","",AS283+ROW()/100000)</f>
        <v/>
      </c>
      <c r="AX283" s="46" t="str">
        <f aca="false">IF(AT283="","",AT283+ROW()/100000)</f>
        <v/>
      </c>
    </row>
    <row r="284" customFormat="false" ht="15" hidden="false" customHeight="false" outlineLevel="0" collapsed="false">
      <c r="A284" s="9" t="str">
        <f aca="false">IF(B284="","",ROW()-5)</f>
        <v/>
      </c>
      <c r="B284" s="40"/>
      <c r="C284" s="8"/>
      <c r="D284" s="9" t="str">
        <f aca="false">IF(B284="","",IF(J284="","Active","Exited"))</f>
        <v/>
      </c>
      <c r="E284" s="8"/>
      <c r="F284" s="8"/>
      <c r="G284" s="8"/>
      <c r="H284" s="9" t="str">
        <f aca="false">IF(OR(B284="",I284=""),"",IF(IF(J284="",AsOf,J284)-I284&gt;=Settings!$C$13,"Permanent","Probation"))</f>
        <v/>
      </c>
      <c r="I284" s="41"/>
      <c r="J284" s="41"/>
      <c r="K284" s="8"/>
      <c r="L284" s="42" t="str">
        <f aca="false">IF(OR(B284="",I284=""),"",ROUND((IF(J284="",AsOf,J284)-I284)/365.25,1))</f>
        <v/>
      </c>
      <c r="M284" s="8"/>
      <c r="N284" s="8"/>
      <c r="O284" s="8"/>
      <c r="P284" s="8"/>
      <c r="Q284" s="41"/>
      <c r="R284" s="43" t="str">
        <f aca="false">IF(OR(B284="",Q284=""),"",INT((AsOf-Q284)/365.25))</f>
        <v/>
      </c>
      <c r="S284" s="8"/>
      <c r="T284" s="40"/>
      <c r="U284" s="40"/>
      <c r="V284" s="40"/>
      <c r="W284" s="40"/>
      <c r="X284" s="8"/>
      <c r="Y284" s="8"/>
      <c r="Z284" s="8"/>
      <c r="AA284" s="8"/>
      <c r="AB284" s="8"/>
      <c r="AC284" s="8"/>
      <c r="AD284" s="8"/>
      <c r="AE284" s="40"/>
      <c r="AF284" s="8"/>
      <c r="AG284" s="40"/>
      <c r="AH284" s="40"/>
      <c r="AI284" s="8"/>
      <c r="AJ284" s="40"/>
      <c r="AK284" s="40"/>
      <c r="AL284" s="40"/>
      <c r="AM284" s="44"/>
      <c r="AN284" s="44"/>
      <c r="AO284" s="41"/>
      <c r="AP284" s="45" t="str">
        <f aca="false">IF(B284="","",IF(AND(ISNUMBER(AM284),ISNUMBER(AN284),AM284&gt;0,AN284&gt;0),AN284/AM284-1,""))</f>
        <v/>
      </c>
      <c r="AQ284" s="9" t="str">
        <f aca="false">IF(I284="","",(YEAR(I284)-IF(MONTH(I284)&lt;4,1,0))&amp;"-"&amp;RIGHT((YEAR(I284)-IF(MONTH(I284)&lt;4,1,0))+1,2))</f>
        <v/>
      </c>
      <c r="AR284" s="9" t="str">
        <f aca="false">IF(J284="","",(YEAR(J284)-IF(MONTH(J284)&lt;4,1,0))&amp;"-"&amp;RIGHT((YEAR(J284)-IF(MONTH(J284)&lt;4,1,0))+1,2))</f>
        <v/>
      </c>
      <c r="AS284" s="43" t="str">
        <f aca="false">IF(OR(B284="",Q284="",D284&lt;&gt;"Active"),"",DATE(YEAR(AsOf)+IF(DATE(YEAR(AsOf),MONTH(Q284),DAY(Q284))&lt;AsOf,1,0),MONTH(Q284),DAY(Q284))-AsOf)</f>
        <v/>
      </c>
      <c r="AT284" s="43" t="str">
        <f aca="false">IF(OR(B284="",I284="",D284&lt;&gt;"Active"),"",IF(YEAR(DATE(YEAR(AsOf)+IF(DATE(YEAR(AsOf),MONTH(I284),DAY(I284))&lt;AsOf,1,0),MONTH(I284),DAY(I284)))-YEAR(I284)&lt;1,"",DATE(YEAR(AsOf)+IF(DATE(YEAR(AsOf),MONTH(I284),DAY(I284))&lt;AsOf,1,0),MONTH(I284),DAY(I284))-AsOf))</f>
        <v/>
      </c>
      <c r="AU284" s="43" t="str">
        <f aca="false">IF(B284="","",IF(AV284="",0,LEN(AV284)-LEN(SUBSTITUTE(AV284,";",""))))</f>
        <v/>
      </c>
      <c r="AV284" s="9" t="str">
        <f aca="false">IF(B284="","",IF(COUNTIF($B$6:$B$505,B284)&gt;1,"Duplicate Emp Code; ","")&amp;IF(C284="","Name missing; ","")&amp;IF(I284="","DOJ missing; ","")&amp;IF(AND(J284&lt;&gt;"",I284&lt;&gt;"",J284&lt;I284),"Exit before DOJ; ","")&amp;IF(Q284="","DOB missing; ","")&amp;IF(T284="","Aadhaar missing; ",IF(LEN(T284)&lt;&gt;12,"Aadhaar not 12 digits; ",IF(COUNTIF($T$6:$T$505,T284)&gt;1,"Duplicate Aadhaar; ","")))&amp;IF(U284="","PAN missing; ",IF(LEN(U284)&lt;&gt;10,"PAN not 10 chars; ",""))&amp;IF(V284="","Mobile missing; ",IF(LEN(V284)&lt;&gt;10,"Mobile not 10 digits; ",""))&amp;IF(AG284="","Bank A/c missing; ","")&amp;IF(AH284="","IFSC missing; ",IF(LEN(AH284)&lt;&gt;11,"IFSC not 11 chars; ","")))</f>
        <v/>
      </c>
      <c r="AW284" s="46" t="str">
        <f aca="false">IF(AS284="","",AS284+ROW()/100000)</f>
        <v/>
      </c>
      <c r="AX284" s="46" t="str">
        <f aca="false">IF(AT284="","",AT284+ROW()/100000)</f>
        <v/>
      </c>
    </row>
    <row r="285" customFormat="false" ht="15" hidden="false" customHeight="false" outlineLevel="0" collapsed="false">
      <c r="A285" s="9" t="str">
        <f aca="false">IF(B285="","",ROW()-5)</f>
        <v/>
      </c>
      <c r="B285" s="40"/>
      <c r="C285" s="8"/>
      <c r="D285" s="9" t="str">
        <f aca="false">IF(B285="","",IF(J285="","Active","Exited"))</f>
        <v/>
      </c>
      <c r="E285" s="8"/>
      <c r="F285" s="8"/>
      <c r="G285" s="8"/>
      <c r="H285" s="9" t="str">
        <f aca="false">IF(OR(B285="",I285=""),"",IF(IF(J285="",AsOf,J285)-I285&gt;=Settings!$C$13,"Permanent","Probation"))</f>
        <v/>
      </c>
      <c r="I285" s="41"/>
      <c r="J285" s="41"/>
      <c r="K285" s="8"/>
      <c r="L285" s="42" t="str">
        <f aca="false">IF(OR(B285="",I285=""),"",ROUND((IF(J285="",AsOf,J285)-I285)/365.25,1))</f>
        <v/>
      </c>
      <c r="M285" s="8"/>
      <c r="N285" s="8"/>
      <c r="O285" s="8"/>
      <c r="P285" s="8"/>
      <c r="Q285" s="41"/>
      <c r="R285" s="43" t="str">
        <f aca="false">IF(OR(B285="",Q285=""),"",INT((AsOf-Q285)/365.25))</f>
        <v/>
      </c>
      <c r="S285" s="8"/>
      <c r="T285" s="40"/>
      <c r="U285" s="40"/>
      <c r="V285" s="40"/>
      <c r="W285" s="40"/>
      <c r="X285" s="8"/>
      <c r="Y285" s="8"/>
      <c r="Z285" s="8"/>
      <c r="AA285" s="8"/>
      <c r="AB285" s="8"/>
      <c r="AC285" s="8"/>
      <c r="AD285" s="8"/>
      <c r="AE285" s="40"/>
      <c r="AF285" s="8"/>
      <c r="AG285" s="40"/>
      <c r="AH285" s="40"/>
      <c r="AI285" s="8"/>
      <c r="AJ285" s="40"/>
      <c r="AK285" s="40"/>
      <c r="AL285" s="40"/>
      <c r="AM285" s="44"/>
      <c r="AN285" s="44"/>
      <c r="AO285" s="41"/>
      <c r="AP285" s="45" t="str">
        <f aca="false">IF(B285="","",IF(AND(ISNUMBER(AM285),ISNUMBER(AN285),AM285&gt;0,AN285&gt;0),AN285/AM285-1,""))</f>
        <v/>
      </c>
      <c r="AQ285" s="9" t="str">
        <f aca="false">IF(I285="","",(YEAR(I285)-IF(MONTH(I285)&lt;4,1,0))&amp;"-"&amp;RIGHT((YEAR(I285)-IF(MONTH(I285)&lt;4,1,0))+1,2))</f>
        <v/>
      </c>
      <c r="AR285" s="9" t="str">
        <f aca="false">IF(J285="","",(YEAR(J285)-IF(MONTH(J285)&lt;4,1,0))&amp;"-"&amp;RIGHT((YEAR(J285)-IF(MONTH(J285)&lt;4,1,0))+1,2))</f>
        <v/>
      </c>
      <c r="AS285" s="43" t="str">
        <f aca="false">IF(OR(B285="",Q285="",D285&lt;&gt;"Active"),"",DATE(YEAR(AsOf)+IF(DATE(YEAR(AsOf),MONTH(Q285),DAY(Q285))&lt;AsOf,1,0),MONTH(Q285),DAY(Q285))-AsOf)</f>
        <v/>
      </c>
      <c r="AT285" s="43" t="str">
        <f aca="false">IF(OR(B285="",I285="",D285&lt;&gt;"Active"),"",IF(YEAR(DATE(YEAR(AsOf)+IF(DATE(YEAR(AsOf),MONTH(I285),DAY(I285))&lt;AsOf,1,0),MONTH(I285),DAY(I285)))-YEAR(I285)&lt;1,"",DATE(YEAR(AsOf)+IF(DATE(YEAR(AsOf),MONTH(I285),DAY(I285))&lt;AsOf,1,0),MONTH(I285),DAY(I285))-AsOf))</f>
        <v/>
      </c>
      <c r="AU285" s="43" t="str">
        <f aca="false">IF(B285="","",IF(AV285="",0,LEN(AV285)-LEN(SUBSTITUTE(AV285,";",""))))</f>
        <v/>
      </c>
      <c r="AV285" s="9" t="str">
        <f aca="false">IF(B285="","",IF(COUNTIF($B$6:$B$505,B285)&gt;1,"Duplicate Emp Code; ","")&amp;IF(C285="","Name missing; ","")&amp;IF(I285="","DOJ missing; ","")&amp;IF(AND(J285&lt;&gt;"",I285&lt;&gt;"",J285&lt;I285),"Exit before DOJ; ","")&amp;IF(Q285="","DOB missing; ","")&amp;IF(T285="","Aadhaar missing; ",IF(LEN(T285)&lt;&gt;12,"Aadhaar not 12 digits; ",IF(COUNTIF($T$6:$T$505,T285)&gt;1,"Duplicate Aadhaar; ","")))&amp;IF(U285="","PAN missing; ",IF(LEN(U285)&lt;&gt;10,"PAN not 10 chars; ",""))&amp;IF(V285="","Mobile missing; ",IF(LEN(V285)&lt;&gt;10,"Mobile not 10 digits; ",""))&amp;IF(AG285="","Bank A/c missing; ","")&amp;IF(AH285="","IFSC missing; ",IF(LEN(AH285)&lt;&gt;11,"IFSC not 11 chars; ","")))</f>
        <v/>
      </c>
      <c r="AW285" s="46" t="str">
        <f aca="false">IF(AS285="","",AS285+ROW()/100000)</f>
        <v/>
      </c>
      <c r="AX285" s="46" t="str">
        <f aca="false">IF(AT285="","",AT285+ROW()/100000)</f>
        <v/>
      </c>
    </row>
    <row r="286" customFormat="false" ht="15" hidden="false" customHeight="false" outlineLevel="0" collapsed="false">
      <c r="A286" s="9" t="str">
        <f aca="false">IF(B286="","",ROW()-5)</f>
        <v/>
      </c>
      <c r="B286" s="40"/>
      <c r="C286" s="8"/>
      <c r="D286" s="9" t="str">
        <f aca="false">IF(B286="","",IF(J286="","Active","Exited"))</f>
        <v/>
      </c>
      <c r="E286" s="8"/>
      <c r="F286" s="8"/>
      <c r="G286" s="8"/>
      <c r="H286" s="9" t="str">
        <f aca="false">IF(OR(B286="",I286=""),"",IF(IF(J286="",AsOf,J286)-I286&gt;=Settings!$C$13,"Permanent","Probation"))</f>
        <v/>
      </c>
      <c r="I286" s="41"/>
      <c r="J286" s="41"/>
      <c r="K286" s="8"/>
      <c r="L286" s="42" t="str">
        <f aca="false">IF(OR(B286="",I286=""),"",ROUND((IF(J286="",AsOf,J286)-I286)/365.25,1))</f>
        <v/>
      </c>
      <c r="M286" s="8"/>
      <c r="N286" s="8"/>
      <c r="O286" s="8"/>
      <c r="P286" s="8"/>
      <c r="Q286" s="41"/>
      <c r="R286" s="43" t="str">
        <f aca="false">IF(OR(B286="",Q286=""),"",INT((AsOf-Q286)/365.25))</f>
        <v/>
      </c>
      <c r="S286" s="8"/>
      <c r="T286" s="40"/>
      <c r="U286" s="40"/>
      <c r="V286" s="40"/>
      <c r="W286" s="40"/>
      <c r="X286" s="8"/>
      <c r="Y286" s="8"/>
      <c r="Z286" s="8"/>
      <c r="AA286" s="8"/>
      <c r="AB286" s="8"/>
      <c r="AC286" s="8"/>
      <c r="AD286" s="8"/>
      <c r="AE286" s="40"/>
      <c r="AF286" s="8"/>
      <c r="AG286" s="40"/>
      <c r="AH286" s="40"/>
      <c r="AI286" s="8"/>
      <c r="AJ286" s="40"/>
      <c r="AK286" s="40"/>
      <c r="AL286" s="40"/>
      <c r="AM286" s="44"/>
      <c r="AN286" s="44"/>
      <c r="AO286" s="41"/>
      <c r="AP286" s="45" t="str">
        <f aca="false">IF(B286="","",IF(AND(ISNUMBER(AM286),ISNUMBER(AN286),AM286&gt;0,AN286&gt;0),AN286/AM286-1,""))</f>
        <v/>
      </c>
      <c r="AQ286" s="9" t="str">
        <f aca="false">IF(I286="","",(YEAR(I286)-IF(MONTH(I286)&lt;4,1,0))&amp;"-"&amp;RIGHT((YEAR(I286)-IF(MONTH(I286)&lt;4,1,0))+1,2))</f>
        <v/>
      </c>
      <c r="AR286" s="9" t="str">
        <f aca="false">IF(J286="","",(YEAR(J286)-IF(MONTH(J286)&lt;4,1,0))&amp;"-"&amp;RIGHT((YEAR(J286)-IF(MONTH(J286)&lt;4,1,0))+1,2))</f>
        <v/>
      </c>
      <c r="AS286" s="43" t="str">
        <f aca="false">IF(OR(B286="",Q286="",D286&lt;&gt;"Active"),"",DATE(YEAR(AsOf)+IF(DATE(YEAR(AsOf),MONTH(Q286),DAY(Q286))&lt;AsOf,1,0),MONTH(Q286),DAY(Q286))-AsOf)</f>
        <v/>
      </c>
      <c r="AT286" s="43" t="str">
        <f aca="false">IF(OR(B286="",I286="",D286&lt;&gt;"Active"),"",IF(YEAR(DATE(YEAR(AsOf)+IF(DATE(YEAR(AsOf),MONTH(I286),DAY(I286))&lt;AsOf,1,0),MONTH(I286),DAY(I286)))-YEAR(I286)&lt;1,"",DATE(YEAR(AsOf)+IF(DATE(YEAR(AsOf),MONTH(I286),DAY(I286))&lt;AsOf,1,0),MONTH(I286),DAY(I286))-AsOf))</f>
        <v/>
      </c>
      <c r="AU286" s="43" t="str">
        <f aca="false">IF(B286="","",IF(AV286="",0,LEN(AV286)-LEN(SUBSTITUTE(AV286,";",""))))</f>
        <v/>
      </c>
      <c r="AV286" s="9" t="str">
        <f aca="false">IF(B286="","",IF(COUNTIF($B$6:$B$505,B286)&gt;1,"Duplicate Emp Code; ","")&amp;IF(C286="","Name missing; ","")&amp;IF(I286="","DOJ missing; ","")&amp;IF(AND(J286&lt;&gt;"",I286&lt;&gt;"",J286&lt;I286),"Exit before DOJ; ","")&amp;IF(Q286="","DOB missing; ","")&amp;IF(T286="","Aadhaar missing; ",IF(LEN(T286)&lt;&gt;12,"Aadhaar not 12 digits; ",IF(COUNTIF($T$6:$T$505,T286)&gt;1,"Duplicate Aadhaar; ","")))&amp;IF(U286="","PAN missing; ",IF(LEN(U286)&lt;&gt;10,"PAN not 10 chars; ",""))&amp;IF(V286="","Mobile missing; ",IF(LEN(V286)&lt;&gt;10,"Mobile not 10 digits; ",""))&amp;IF(AG286="","Bank A/c missing; ","")&amp;IF(AH286="","IFSC missing; ",IF(LEN(AH286)&lt;&gt;11,"IFSC not 11 chars; ","")))</f>
        <v/>
      </c>
      <c r="AW286" s="46" t="str">
        <f aca="false">IF(AS286="","",AS286+ROW()/100000)</f>
        <v/>
      </c>
      <c r="AX286" s="46" t="str">
        <f aca="false">IF(AT286="","",AT286+ROW()/100000)</f>
        <v/>
      </c>
    </row>
    <row r="287" customFormat="false" ht="15" hidden="false" customHeight="false" outlineLevel="0" collapsed="false">
      <c r="A287" s="9" t="str">
        <f aca="false">IF(B287="","",ROW()-5)</f>
        <v/>
      </c>
      <c r="B287" s="40"/>
      <c r="C287" s="8"/>
      <c r="D287" s="9" t="str">
        <f aca="false">IF(B287="","",IF(J287="","Active","Exited"))</f>
        <v/>
      </c>
      <c r="E287" s="8"/>
      <c r="F287" s="8"/>
      <c r="G287" s="8"/>
      <c r="H287" s="9" t="str">
        <f aca="false">IF(OR(B287="",I287=""),"",IF(IF(J287="",AsOf,J287)-I287&gt;=Settings!$C$13,"Permanent","Probation"))</f>
        <v/>
      </c>
      <c r="I287" s="41"/>
      <c r="J287" s="41"/>
      <c r="K287" s="8"/>
      <c r="L287" s="42" t="str">
        <f aca="false">IF(OR(B287="",I287=""),"",ROUND((IF(J287="",AsOf,J287)-I287)/365.25,1))</f>
        <v/>
      </c>
      <c r="M287" s="8"/>
      <c r="N287" s="8"/>
      <c r="O287" s="8"/>
      <c r="P287" s="8"/>
      <c r="Q287" s="41"/>
      <c r="R287" s="43" t="str">
        <f aca="false">IF(OR(B287="",Q287=""),"",INT((AsOf-Q287)/365.25))</f>
        <v/>
      </c>
      <c r="S287" s="8"/>
      <c r="T287" s="40"/>
      <c r="U287" s="40"/>
      <c r="V287" s="40"/>
      <c r="W287" s="40"/>
      <c r="X287" s="8"/>
      <c r="Y287" s="8"/>
      <c r="Z287" s="8"/>
      <c r="AA287" s="8"/>
      <c r="AB287" s="8"/>
      <c r="AC287" s="8"/>
      <c r="AD287" s="8"/>
      <c r="AE287" s="40"/>
      <c r="AF287" s="8"/>
      <c r="AG287" s="40"/>
      <c r="AH287" s="40"/>
      <c r="AI287" s="8"/>
      <c r="AJ287" s="40"/>
      <c r="AK287" s="40"/>
      <c r="AL287" s="40"/>
      <c r="AM287" s="44"/>
      <c r="AN287" s="44"/>
      <c r="AO287" s="41"/>
      <c r="AP287" s="45" t="str">
        <f aca="false">IF(B287="","",IF(AND(ISNUMBER(AM287),ISNUMBER(AN287),AM287&gt;0,AN287&gt;0),AN287/AM287-1,""))</f>
        <v/>
      </c>
      <c r="AQ287" s="9" t="str">
        <f aca="false">IF(I287="","",(YEAR(I287)-IF(MONTH(I287)&lt;4,1,0))&amp;"-"&amp;RIGHT((YEAR(I287)-IF(MONTH(I287)&lt;4,1,0))+1,2))</f>
        <v/>
      </c>
      <c r="AR287" s="9" t="str">
        <f aca="false">IF(J287="","",(YEAR(J287)-IF(MONTH(J287)&lt;4,1,0))&amp;"-"&amp;RIGHT((YEAR(J287)-IF(MONTH(J287)&lt;4,1,0))+1,2))</f>
        <v/>
      </c>
      <c r="AS287" s="43" t="str">
        <f aca="false">IF(OR(B287="",Q287="",D287&lt;&gt;"Active"),"",DATE(YEAR(AsOf)+IF(DATE(YEAR(AsOf),MONTH(Q287),DAY(Q287))&lt;AsOf,1,0),MONTH(Q287),DAY(Q287))-AsOf)</f>
        <v/>
      </c>
      <c r="AT287" s="43" t="str">
        <f aca="false">IF(OR(B287="",I287="",D287&lt;&gt;"Active"),"",IF(YEAR(DATE(YEAR(AsOf)+IF(DATE(YEAR(AsOf),MONTH(I287),DAY(I287))&lt;AsOf,1,0),MONTH(I287),DAY(I287)))-YEAR(I287)&lt;1,"",DATE(YEAR(AsOf)+IF(DATE(YEAR(AsOf),MONTH(I287),DAY(I287))&lt;AsOf,1,0),MONTH(I287),DAY(I287))-AsOf))</f>
        <v/>
      </c>
      <c r="AU287" s="43" t="str">
        <f aca="false">IF(B287="","",IF(AV287="",0,LEN(AV287)-LEN(SUBSTITUTE(AV287,";",""))))</f>
        <v/>
      </c>
      <c r="AV287" s="9" t="str">
        <f aca="false">IF(B287="","",IF(COUNTIF($B$6:$B$505,B287)&gt;1,"Duplicate Emp Code; ","")&amp;IF(C287="","Name missing; ","")&amp;IF(I287="","DOJ missing; ","")&amp;IF(AND(J287&lt;&gt;"",I287&lt;&gt;"",J287&lt;I287),"Exit before DOJ; ","")&amp;IF(Q287="","DOB missing; ","")&amp;IF(T287="","Aadhaar missing; ",IF(LEN(T287)&lt;&gt;12,"Aadhaar not 12 digits; ",IF(COUNTIF($T$6:$T$505,T287)&gt;1,"Duplicate Aadhaar; ","")))&amp;IF(U287="","PAN missing; ",IF(LEN(U287)&lt;&gt;10,"PAN not 10 chars; ",""))&amp;IF(V287="","Mobile missing; ",IF(LEN(V287)&lt;&gt;10,"Mobile not 10 digits; ",""))&amp;IF(AG287="","Bank A/c missing; ","")&amp;IF(AH287="","IFSC missing; ",IF(LEN(AH287)&lt;&gt;11,"IFSC not 11 chars; ","")))</f>
        <v/>
      </c>
      <c r="AW287" s="46" t="str">
        <f aca="false">IF(AS287="","",AS287+ROW()/100000)</f>
        <v/>
      </c>
      <c r="AX287" s="46" t="str">
        <f aca="false">IF(AT287="","",AT287+ROW()/100000)</f>
        <v/>
      </c>
    </row>
    <row r="288" customFormat="false" ht="15" hidden="false" customHeight="false" outlineLevel="0" collapsed="false">
      <c r="A288" s="9" t="str">
        <f aca="false">IF(B288="","",ROW()-5)</f>
        <v/>
      </c>
      <c r="B288" s="40"/>
      <c r="C288" s="8"/>
      <c r="D288" s="9" t="str">
        <f aca="false">IF(B288="","",IF(J288="","Active","Exited"))</f>
        <v/>
      </c>
      <c r="E288" s="8"/>
      <c r="F288" s="8"/>
      <c r="G288" s="8"/>
      <c r="H288" s="9" t="str">
        <f aca="false">IF(OR(B288="",I288=""),"",IF(IF(J288="",AsOf,J288)-I288&gt;=Settings!$C$13,"Permanent","Probation"))</f>
        <v/>
      </c>
      <c r="I288" s="41"/>
      <c r="J288" s="41"/>
      <c r="K288" s="8"/>
      <c r="L288" s="42" t="str">
        <f aca="false">IF(OR(B288="",I288=""),"",ROUND((IF(J288="",AsOf,J288)-I288)/365.25,1))</f>
        <v/>
      </c>
      <c r="M288" s="8"/>
      <c r="N288" s="8"/>
      <c r="O288" s="8"/>
      <c r="P288" s="8"/>
      <c r="Q288" s="41"/>
      <c r="R288" s="43" t="str">
        <f aca="false">IF(OR(B288="",Q288=""),"",INT((AsOf-Q288)/365.25))</f>
        <v/>
      </c>
      <c r="S288" s="8"/>
      <c r="T288" s="40"/>
      <c r="U288" s="40"/>
      <c r="V288" s="40"/>
      <c r="W288" s="40"/>
      <c r="X288" s="8"/>
      <c r="Y288" s="8"/>
      <c r="Z288" s="8"/>
      <c r="AA288" s="8"/>
      <c r="AB288" s="8"/>
      <c r="AC288" s="8"/>
      <c r="AD288" s="8"/>
      <c r="AE288" s="40"/>
      <c r="AF288" s="8"/>
      <c r="AG288" s="40"/>
      <c r="AH288" s="40"/>
      <c r="AI288" s="8"/>
      <c r="AJ288" s="40"/>
      <c r="AK288" s="40"/>
      <c r="AL288" s="40"/>
      <c r="AM288" s="44"/>
      <c r="AN288" s="44"/>
      <c r="AO288" s="41"/>
      <c r="AP288" s="45" t="str">
        <f aca="false">IF(B288="","",IF(AND(ISNUMBER(AM288),ISNUMBER(AN288),AM288&gt;0,AN288&gt;0),AN288/AM288-1,""))</f>
        <v/>
      </c>
      <c r="AQ288" s="9" t="str">
        <f aca="false">IF(I288="","",(YEAR(I288)-IF(MONTH(I288)&lt;4,1,0))&amp;"-"&amp;RIGHT((YEAR(I288)-IF(MONTH(I288)&lt;4,1,0))+1,2))</f>
        <v/>
      </c>
      <c r="AR288" s="9" t="str">
        <f aca="false">IF(J288="","",(YEAR(J288)-IF(MONTH(J288)&lt;4,1,0))&amp;"-"&amp;RIGHT((YEAR(J288)-IF(MONTH(J288)&lt;4,1,0))+1,2))</f>
        <v/>
      </c>
      <c r="AS288" s="43" t="str">
        <f aca="false">IF(OR(B288="",Q288="",D288&lt;&gt;"Active"),"",DATE(YEAR(AsOf)+IF(DATE(YEAR(AsOf),MONTH(Q288),DAY(Q288))&lt;AsOf,1,0),MONTH(Q288),DAY(Q288))-AsOf)</f>
        <v/>
      </c>
      <c r="AT288" s="43" t="str">
        <f aca="false">IF(OR(B288="",I288="",D288&lt;&gt;"Active"),"",IF(YEAR(DATE(YEAR(AsOf)+IF(DATE(YEAR(AsOf),MONTH(I288),DAY(I288))&lt;AsOf,1,0),MONTH(I288),DAY(I288)))-YEAR(I288)&lt;1,"",DATE(YEAR(AsOf)+IF(DATE(YEAR(AsOf),MONTH(I288),DAY(I288))&lt;AsOf,1,0),MONTH(I288),DAY(I288))-AsOf))</f>
        <v/>
      </c>
      <c r="AU288" s="43" t="str">
        <f aca="false">IF(B288="","",IF(AV288="",0,LEN(AV288)-LEN(SUBSTITUTE(AV288,";",""))))</f>
        <v/>
      </c>
      <c r="AV288" s="9" t="str">
        <f aca="false">IF(B288="","",IF(COUNTIF($B$6:$B$505,B288)&gt;1,"Duplicate Emp Code; ","")&amp;IF(C288="","Name missing; ","")&amp;IF(I288="","DOJ missing; ","")&amp;IF(AND(J288&lt;&gt;"",I288&lt;&gt;"",J288&lt;I288),"Exit before DOJ; ","")&amp;IF(Q288="","DOB missing; ","")&amp;IF(T288="","Aadhaar missing; ",IF(LEN(T288)&lt;&gt;12,"Aadhaar not 12 digits; ",IF(COUNTIF($T$6:$T$505,T288)&gt;1,"Duplicate Aadhaar; ","")))&amp;IF(U288="","PAN missing; ",IF(LEN(U288)&lt;&gt;10,"PAN not 10 chars; ",""))&amp;IF(V288="","Mobile missing; ",IF(LEN(V288)&lt;&gt;10,"Mobile not 10 digits; ",""))&amp;IF(AG288="","Bank A/c missing; ","")&amp;IF(AH288="","IFSC missing; ",IF(LEN(AH288)&lt;&gt;11,"IFSC not 11 chars; ","")))</f>
        <v/>
      </c>
      <c r="AW288" s="46" t="str">
        <f aca="false">IF(AS288="","",AS288+ROW()/100000)</f>
        <v/>
      </c>
      <c r="AX288" s="46" t="str">
        <f aca="false">IF(AT288="","",AT288+ROW()/100000)</f>
        <v/>
      </c>
    </row>
    <row r="289" customFormat="false" ht="15" hidden="false" customHeight="false" outlineLevel="0" collapsed="false">
      <c r="A289" s="9" t="str">
        <f aca="false">IF(B289="","",ROW()-5)</f>
        <v/>
      </c>
      <c r="B289" s="40"/>
      <c r="C289" s="8"/>
      <c r="D289" s="9" t="str">
        <f aca="false">IF(B289="","",IF(J289="","Active","Exited"))</f>
        <v/>
      </c>
      <c r="E289" s="8"/>
      <c r="F289" s="8"/>
      <c r="G289" s="8"/>
      <c r="H289" s="9" t="str">
        <f aca="false">IF(OR(B289="",I289=""),"",IF(IF(J289="",AsOf,J289)-I289&gt;=Settings!$C$13,"Permanent","Probation"))</f>
        <v/>
      </c>
      <c r="I289" s="41"/>
      <c r="J289" s="41"/>
      <c r="K289" s="8"/>
      <c r="L289" s="42" t="str">
        <f aca="false">IF(OR(B289="",I289=""),"",ROUND((IF(J289="",AsOf,J289)-I289)/365.25,1))</f>
        <v/>
      </c>
      <c r="M289" s="8"/>
      <c r="N289" s="8"/>
      <c r="O289" s="8"/>
      <c r="P289" s="8"/>
      <c r="Q289" s="41"/>
      <c r="R289" s="43" t="str">
        <f aca="false">IF(OR(B289="",Q289=""),"",INT((AsOf-Q289)/365.25))</f>
        <v/>
      </c>
      <c r="S289" s="8"/>
      <c r="T289" s="40"/>
      <c r="U289" s="40"/>
      <c r="V289" s="40"/>
      <c r="W289" s="40"/>
      <c r="X289" s="8"/>
      <c r="Y289" s="8"/>
      <c r="Z289" s="8"/>
      <c r="AA289" s="8"/>
      <c r="AB289" s="8"/>
      <c r="AC289" s="8"/>
      <c r="AD289" s="8"/>
      <c r="AE289" s="40"/>
      <c r="AF289" s="8"/>
      <c r="AG289" s="40"/>
      <c r="AH289" s="40"/>
      <c r="AI289" s="8"/>
      <c r="AJ289" s="40"/>
      <c r="AK289" s="40"/>
      <c r="AL289" s="40"/>
      <c r="AM289" s="44"/>
      <c r="AN289" s="44"/>
      <c r="AO289" s="41"/>
      <c r="AP289" s="45" t="str">
        <f aca="false">IF(B289="","",IF(AND(ISNUMBER(AM289),ISNUMBER(AN289),AM289&gt;0,AN289&gt;0),AN289/AM289-1,""))</f>
        <v/>
      </c>
      <c r="AQ289" s="9" t="str">
        <f aca="false">IF(I289="","",(YEAR(I289)-IF(MONTH(I289)&lt;4,1,0))&amp;"-"&amp;RIGHT((YEAR(I289)-IF(MONTH(I289)&lt;4,1,0))+1,2))</f>
        <v/>
      </c>
      <c r="AR289" s="9" t="str">
        <f aca="false">IF(J289="","",(YEAR(J289)-IF(MONTH(J289)&lt;4,1,0))&amp;"-"&amp;RIGHT((YEAR(J289)-IF(MONTH(J289)&lt;4,1,0))+1,2))</f>
        <v/>
      </c>
      <c r="AS289" s="43" t="str">
        <f aca="false">IF(OR(B289="",Q289="",D289&lt;&gt;"Active"),"",DATE(YEAR(AsOf)+IF(DATE(YEAR(AsOf),MONTH(Q289),DAY(Q289))&lt;AsOf,1,0),MONTH(Q289),DAY(Q289))-AsOf)</f>
        <v/>
      </c>
      <c r="AT289" s="43" t="str">
        <f aca="false">IF(OR(B289="",I289="",D289&lt;&gt;"Active"),"",IF(YEAR(DATE(YEAR(AsOf)+IF(DATE(YEAR(AsOf),MONTH(I289),DAY(I289))&lt;AsOf,1,0),MONTH(I289),DAY(I289)))-YEAR(I289)&lt;1,"",DATE(YEAR(AsOf)+IF(DATE(YEAR(AsOf),MONTH(I289),DAY(I289))&lt;AsOf,1,0),MONTH(I289),DAY(I289))-AsOf))</f>
        <v/>
      </c>
      <c r="AU289" s="43" t="str">
        <f aca="false">IF(B289="","",IF(AV289="",0,LEN(AV289)-LEN(SUBSTITUTE(AV289,";",""))))</f>
        <v/>
      </c>
      <c r="AV289" s="9" t="str">
        <f aca="false">IF(B289="","",IF(COUNTIF($B$6:$B$505,B289)&gt;1,"Duplicate Emp Code; ","")&amp;IF(C289="","Name missing; ","")&amp;IF(I289="","DOJ missing; ","")&amp;IF(AND(J289&lt;&gt;"",I289&lt;&gt;"",J289&lt;I289),"Exit before DOJ; ","")&amp;IF(Q289="","DOB missing; ","")&amp;IF(T289="","Aadhaar missing; ",IF(LEN(T289)&lt;&gt;12,"Aadhaar not 12 digits; ",IF(COUNTIF($T$6:$T$505,T289)&gt;1,"Duplicate Aadhaar; ","")))&amp;IF(U289="","PAN missing; ",IF(LEN(U289)&lt;&gt;10,"PAN not 10 chars; ",""))&amp;IF(V289="","Mobile missing; ",IF(LEN(V289)&lt;&gt;10,"Mobile not 10 digits; ",""))&amp;IF(AG289="","Bank A/c missing; ","")&amp;IF(AH289="","IFSC missing; ",IF(LEN(AH289)&lt;&gt;11,"IFSC not 11 chars; ","")))</f>
        <v/>
      </c>
      <c r="AW289" s="46" t="str">
        <f aca="false">IF(AS289="","",AS289+ROW()/100000)</f>
        <v/>
      </c>
      <c r="AX289" s="46" t="str">
        <f aca="false">IF(AT289="","",AT289+ROW()/100000)</f>
        <v/>
      </c>
    </row>
    <row r="290" customFormat="false" ht="15" hidden="false" customHeight="false" outlineLevel="0" collapsed="false">
      <c r="A290" s="9" t="str">
        <f aca="false">IF(B290="","",ROW()-5)</f>
        <v/>
      </c>
      <c r="B290" s="40"/>
      <c r="C290" s="8"/>
      <c r="D290" s="9" t="str">
        <f aca="false">IF(B290="","",IF(J290="","Active","Exited"))</f>
        <v/>
      </c>
      <c r="E290" s="8"/>
      <c r="F290" s="8"/>
      <c r="G290" s="8"/>
      <c r="H290" s="9" t="str">
        <f aca="false">IF(OR(B290="",I290=""),"",IF(IF(J290="",AsOf,J290)-I290&gt;=Settings!$C$13,"Permanent","Probation"))</f>
        <v/>
      </c>
      <c r="I290" s="41"/>
      <c r="J290" s="41"/>
      <c r="K290" s="8"/>
      <c r="L290" s="42" t="str">
        <f aca="false">IF(OR(B290="",I290=""),"",ROUND((IF(J290="",AsOf,J290)-I290)/365.25,1))</f>
        <v/>
      </c>
      <c r="M290" s="8"/>
      <c r="N290" s="8"/>
      <c r="O290" s="8"/>
      <c r="P290" s="8"/>
      <c r="Q290" s="41"/>
      <c r="R290" s="43" t="str">
        <f aca="false">IF(OR(B290="",Q290=""),"",INT((AsOf-Q290)/365.25))</f>
        <v/>
      </c>
      <c r="S290" s="8"/>
      <c r="T290" s="40"/>
      <c r="U290" s="40"/>
      <c r="V290" s="40"/>
      <c r="W290" s="40"/>
      <c r="X290" s="8"/>
      <c r="Y290" s="8"/>
      <c r="Z290" s="8"/>
      <c r="AA290" s="8"/>
      <c r="AB290" s="8"/>
      <c r="AC290" s="8"/>
      <c r="AD290" s="8"/>
      <c r="AE290" s="40"/>
      <c r="AF290" s="8"/>
      <c r="AG290" s="40"/>
      <c r="AH290" s="40"/>
      <c r="AI290" s="8"/>
      <c r="AJ290" s="40"/>
      <c r="AK290" s="40"/>
      <c r="AL290" s="40"/>
      <c r="AM290" s="44"/>
      <c r="AN290" s="44"/>
      <c r="AO290" s="41"/>
      <c r="AP290" s="45" t="str">
        <f aca="false">IF(B290="","",IF(AND(ISNUMBER(AM290),ISNUMBER(AN290),AM290&gt;0,AN290&gt;0),AN290/AM290-1,""))</f>
        <v/>
      </c>
      <c r="AQ290" s="9" t="str">
        <f aca="false">IF(I290="","",(YEAR(I290)-IF(MONTH(I290)&lt;4,1,0))&amp;"-"&amp;RIGHT((YEAR(I290)-IF(MONTH(I290)&lt;4,1,0))+1,2))</f>
        <v/>
      </c>
      <c r="AR290" s="9" t="str">
        <f aca="false">IF(J290="","",(YEAR(J290)-IF(MONTH(J290)&lt;4,1,0))&amp;"-"&amp;RIGHT((YEAR(J290)-IF(MONTH(J290)&lt;4,1,0))+1,2))</f>
        <v/>
      </c>
      <c r="AS290" s="43" t="str">
        <f aca="false">IF(OR(B290="",Q290="",D290&lt;&gt;"Active"),"",DATE(YEAR(AsOf)+IF(DATE(YEAR(AsOf),MONTH(Q290),DAY(Q290))&lt;AsOf,1,0),MONTH(Q290),DAY(Q290))-AsOf)</f>
        <v/>
      </c>
      <c r="AT290" s="43" t="str">
        <f aca="false">IF(OR(B290="",I290="",D290&lt;&gt;"Active"),"",IF(YEAR(DATE(YEAR(AsOf)+IF(DATE(YEAR(AsOf),MONTH(I290),DAY(I290))&lt;AsOf,1,0),MONTH(I290),DAY(I290)))-YEAR(I290)&lt;1,"",DATE(YEAR(AsOf)+IF(DATE(YEAR(AsOf),MONTH(I290),DAY(I290))&lt;AsOf,1,0),MONTH(I290),DAY(I290))-AsOf))</f>
        <v/>
      </c>
      <c r="AU290" s="43" t="str">
        <f aca="false">IF(B290="","",IF(AV290="",0,LEN(AV290)-LEN(SUBSTITUTE(AV290,";",""))))</f>
        <v/>
      </c>
      <c r="AV290" s="9" t="str">
        <f aca="false">IF(B290="","",IF(COUNTIF($B$6:$B$505,B290)&gt;1,"Duplicate Emp Code; ","")&amp;IF(C290="","Name missing; ","")&amp;IF(I290="","DOJ missing; ","")&amp;IF(AND(J290&lt;&gt;"",I290&lt;&gt;"",J290&lt;I290),"Exit before DOJ; ","")&amp;IF(Q290="","DOB missing; ","")&amp;IF(T290="","Aadhaar missing; ",IF(LEN(T290)&lt;&gt;12,"Aadhaar not 12 digits; ",IF(COUNTIF($T$6:$T$505,T290)&gt;1,"Duplicate Aadhaar; ","")))&amp;IF(U290="","PAN missing; ",IF(LEN(U290)&lt;&gt;10,"PAN not 10 chars; ",""))&amp;IF(V290="","Mobile missing; ",IF(LEN(V290)&lt;&gt;10,"Mobile not 10 digits; ",""))&amp;IF(AG290="","Bank A/c missing; ","")&amp;IF(AH290="","IFSC missing; ",IF(LEN(AH290)&lt;&gt;11,"IFSC not 11 chars; ","")))</f>
        <v/>
      </c>
      <c r="AW290" s="46" t="str">
        <f aca="false">IF(AS290="","",AS290+ROW()/100000)</f>
        <v/>
      </c>
      <c r="AX290" s="46" t="str">
        <f aca="false">IF(AT290="","",AT290+ROW()/100000)</f>
        <v/>
      </c>
    </row>
    <row r="291" customFormat="false" ht="15" hidden="false" customHeight="false" outlineLevel="0" collapsed="false">
      <c r="A291" s="9" t="str">
        <f aca="false">IF(B291="","",ROW()-5)</f>
        <v/>
      </c>
      <c r="B291" s="40"/>
      <c r="C291" s="8"/>
      <c r="D291" s="9" t="str">
        <f aca="false">IF(B291="","",IF(J291="","Active","Exited"))</f>
        <v/>
      </c>
      <c r="E291" s="8"/>
      <c r="F291" s="8"/>
      <c r="G291" s="8"/>
      <c r="H291" s="9" t="str">
        <f aca="false">IF(OR(B291="",I291=""),"",IF(IF(J291="",AsOf,J291)-I291&gt;=Settings!$C$13,"Permanent","Probation"))</f>
        <v/>
      </c>
      <c r="I291" s="41"/>
      <c r="J291" s="41"/>
      <c r="K291" s="8"/>
      <c r="L291" s="42" t="str">
        <f aca="false">IF(OR(B291="",I291=""),"",ROUND((IF(J291="",AsOf,J291)-I291)/365.25,1))</f>
        <v/>
      </c>
      <c r="M291" s="8"/>
      <c r="N291" s="8"/>
      <c r="O291" s="8"/>
      <c r="P291" s="8"/>
      <c r="Q291" s="41"/>
      <c r="R291" s="43" t="str">
        <f aca="false">IF(OR(B291="",Q291=""),"",INT((AsOf-Q291)/365.25))</f>
        <v/>
      </c>
      <c r="S291" s="8"/>
      <c r="T291" s="40"/>
      <c r="U291" s="40"/>
      <c r="V291" s="40"/>
      <c r="W291" s="40"/>
      <c r="X291" s="8"/>
      <c r="Y291" s="8"/>
      <c r="Z291" s="8"/>
      <c r="AA291" s="8"/>
      <c r="AB291" s="8"/>
      <c r="AC291" s="8"/>
      <c r="AD291" s="8"/>
      <c r="AE291" s="40"/>
      <c r="AF291" s="8"/>
      <c r="AG291" s="40"/>
      <c r="AH291" s="40"/>
      <c r="AI291" s="8"/>
      <c r="AJ291" s="40"/>
      <c r="AK291" s="40"/>
      <c r="AL291" s="40"/>
      <c r="AM291" s="44"/>
      <c r="AN291" s="44"/>
      <c r="AO291" s="41"/>
      <c r="AP291" s="45" t="str">
        <f aca="false">IF(B291="","",IF(AND(ISNUMBER(AM291),ISNUMBER(AN291),AM291&gt;0,AN291&gt;0),AN291/AM291-1,""))</f>
        <v/>
      </c>
      <c r="AQ291" s="9" t="str">
        <f aca="false">IF(I291="","",(YEAR(I291)-IF(MONTH(I291)&lt;4,1,0))&amp;"-"&amp;RIGHT((YEAR(I291)-IF(MONTH(I291)&lt;4,1,0))+1,2))</f>
        <v/>
      </c>
      <c r="AR291" s="9" t="str">
        <f aca="false">IF(J291="","",(YEAR(J291)-IF(MONTH(J291)&lt;4,1,0))&amp;"-"&amp;RIGHT((YEAR(J291)-IF(MONTH(J291)&lt;4,1,0))+1,2))</f>
        <v/>
      </c>
      <c r="AS291" s="43" t="str">
        <f aca="false">IF(OR(B291="",Q291="",D291&lt;&gt;"Active"),"",DATE(YEAR(AsOf)+IF(DATE(YEAR(AsOf),MONTH(Q291),DAY(Q291))&lt;AsOf,1,0),MONTH(Q291),DAY(Q291))-AsOf)</f>
        <v/>
      </c>
      <c r="AT291" s="43" t="str">
        <f aca="false">IF(OR(B291="",I291="",D291&lt;&gt;"Active"),"",IF(YEAR(DATE(YEAR(AsOf)+IF(DATE(YEAR(AsOf),MONTH(I291),DAY(I291))&lt;AsOf,1,0),MONTH(I291),DAY(I291)))-YEAR(I291)&lt;1,"",DATE(YEAR(AsOf)+IF(DATE(YEAR(AsOf),MONTH(I291),DAY(I291))&lt;AsOf,1,0),MONTH(I291),DAY(I291))-AsOf))</f>
        <v/>
      </c>
      <c r="AU291" s="43" t="str">
        <f aca="false">IF(B291="","",IF(AV291="",0,LEN(AV291)-LEN(SUBSTITUTE(AV291,";",""))))</f>
        <v/>
      </c>
      <c r="AV291" s="9" t="str">
        <f aca="false">IF(B291="","",IF(COUNTIF($B$6:$B$505,B291)&gt;1,"Duplicate Emp Code; ","")&amp;IF(C291="","Name missing; ","")&amp;IF(I291="","DOJ missing; ","")&amp;IF(AND(J291&lt;&gt;"",I291&lt;&gt;"",J291&lt;I291),"Exit before DOJ; ","")&amp;IF(Q291="","DOB missing; ","")&amp;IF(T291="","Aadhaar missing; ",IF(LEN(T291)&lt;&gt;12,"Aadhaar not 12 digits; ",IF(COUNTIF($T$6:$T$505,T291)&gt;1,"Duplicate Aadhaar; ","")))&amp;IF(U291="","PAN missing; ",IF(LEN(U291)&lt;&gt;10,"PAN not 10 chars; ",""))&amp;IF(V291="","Mobile missing; ",IF(LEN(V291)&lt;&gt;10,"Mobile not 10 digits; ",""))&amp;IF(AG291="","Bank A/c missing; ","")&amp;IF(AH291="","IFSC missing; ",IF(LEN(AH291)&lt;&gt;11,"IFSC not 11 chars; ","")))</f>
        <v/>
      </c>
      <c r="AW291" s="46" t="str">
        <f aca="false">IF(AS291="","",AS291+ROW()/100000)</f>
        <v/>
      </c>
      <c r="AX291" s="46" t="str">
        <f aca="false">IF(AT291="","",AT291+ROW()/100000)</f>
        <v/>
      </c>
    </row>
    <row r="292" customFormat="false" ht="15" hidden="false" customHeight="false" outlineLevel="0" collapsed="false">
      <c r="A292" s="9" t="str">
        <f aca="false">IF(B292="","",ROW()-5)</f>
        <v/>
      </c>
      <c r="B292" s="40"/>
      <c r="C292" s="8"/>
      <c r="D292" s="9" t="str">
        <f aca="false">IF(B292="","",IF(J292="","Active","Exited"))</f>
        <v/>
      </c>
      <c r="E292" s="8"/>
      <c r="F292" s="8"/>
      <c r="G292" s="8"/>
      <c r="H292" s="9" t="str">
        <f aca="false">IF(OR(B292="",I292=""),"",IF(IF(J292="",AsOf,J292)-I292&gt;=Settings!$C$13,"Permanent","Probation"))</f>
        <v/>
      </c>
      <c r="I292" s="41"/>
      <c r="J292" s="41"/>
      <c r="K292" s="8"/>
      <c r="L292" s="42" t="str">
        <f aca="false">IF(OR(B292="",I292=""),"",ROUND((IF(J292="",AsOf,J292)-I292)/365.25,1))</f>
        <v/>
      </c>
      <c r="M292" s="8"/>
      <c r="N292" s="8"/>
      <c r="O292" s="8"/>
      <c r="P292" s="8"/>
      <c r="Q292" s="41"/>
      <c r="R292" s="43" t="str">
        <f aca="false">IF(OR(B292="",Q292=""),"",INT((AsOf-Q292)/365.25))</f>
        <v/>
      </c>
      <c r="S292" s="8"/>
      <c r="T292" s="40"/>
      <c r="U292" s="40"/>
      <c r="V292" s="40"/>
      <c r="W292" s="40"/>
      <c r="X292" s="8"/>
      <c r="Y292" s="8"/>
      <c r="Z292" s="8"/>
      <c r="AA292" s="8"/>
      <c r="AB292" s="8"/>
      <c r="AC292" s="8"/>
      <c r="AD292" s="8"/>
      <c r="AE292" s="40"/>
      <c r="AF292" s="8"/>
      <c r="AG292" s="40"/>
      <c r="AH292" s="40"/>
      <c r="AI292" s="8"/>
      <c r="AJ292" s="40"/>
      <c r="AK292" s="40"/>
      <c r="AL292" s="40"/>
      <c r="AM292" s="44"/>
      <c r="AN292" s="44"/>
      <c r="AO292" s="41"/>
      <c r="AP292" s="45" t="str">
        <f aca="false">IF(B292="","",IF(AND(ISNUMBER(AM292),ISNUMBER(AN292),AM292&gt;0,AN292&gt;0),AN292/AM292-1,""))</f>
        <v/>
      </c>
      <c r="AQ292" s="9" t="str">
        <f aca="false">IF(I292="","",(YEAR(I292)-IF(MONTH(I292)&lt;4,1,0))&amp;"-"&amp;RIGHT((YEAR(I292)-IF(MONTH(I292)&lt;4,1,0))+1,2))</f>
        <v/>
      </c>
      <c r="AR292" s="9" t="str">
        <f aca="false">IF(J292="","",(YEAR(J292)-IF(MONTH(J292)&lt;4,1,0))&amp;"-"&amp;RIGHT((YEAR(J292)-IF(MONTH(J292)&lt;4,1,0))+1,2))</f>
        <v/>
      </c>
      <c r="AS292" s="43" t="str">
        <f aca="false">IF(OR(B292="",Q292="",D292&lt;&gt;"Active"),"",DATE(YEAR(AsOf)+IF(DATE(YEAR(AsOf),MONTH(Q292),DAY(Q292))&lt;AsOf,1,0),MONTH(Q292),DAY(Q292))-AsOf)</f>
        <v/>
      </c>
      <c r="AT292" s="43" t="str">
        <f aca="false">IF(OR(B292="",I292="",D292&lt;&gt;"Active"),"",IF(YEAR(DATE(YEAR(AsOf)+IF(DATE(YEAR(AsOf),MONTH(I292),DAY(I292))&lt;AsOf,1,0),MONTH(I292),DAY(I292)))-YEAR(I292)&lt;1,"",DATE(YEAR(AsOf)+IF(DATE(YEAR(AsOf),MONTH(I292),DAY(I292))&lt;AsOf,1,0),MONTH(I292),DAY(I292))-AsOf))</f>
        <v/>
      </c>
      <c r="AU292" s="43" t="str">
        <f aca="false">IF(B292="","",IF(AV292="",0,LEN(AV292)-LEN(SUBSTITUTE(AV292,";",""))))</f>
        <v/>
      </c>
      <c r="AV292" s="9" t="str">
        <f aca="false">IF(B292="","",IF(COUNTIF($B$6:$B$505,B292)&gt;1,"Duplicate Emp Code; ","")&amp;IF(C292="","Name missing; ","")&amp;IF(I292="","DOJ missing; ","")&amp;IF(AND(J292&lt;&gt;"",I292&lt;&gt;"",J292&lt;I292),"Exit before DOJ; ","")&amp;IF(Q292="","DOB missing; ","")&amp;IF(T292="","Aadhaar missing; ",IF(LEN(T292)&lt;&gt;12,"Aadhaar not 12 digits; ",IF(COUNTIF($T$6:$T$505,T292)&gt;1,"Duplicate Aadhaar; ","")))&amp;IF(U292="","PAN missing; ",IF(LEN(U292)&lt;&gt;10,"PAN not 10 chars; ",""))&amp;IF(V292="","Mobile missing; ",IF(LEN(V292)&lt;&gt;10,"Mobile not 10 digits; ",""))&amp;IF(AG292="","Bank A/c missing; ","")&amp;IF(AH292="","IFSC missing; ",IF(LEN(AH292)&lt;&gt;11,"IFSC not 11 chars; ","")))</f>
        <v/>
      </c>
      <c r="AW292" s="46" t="str">
        <f aca="false">IF(AS292="","",AS292+ROW()/100000)</f>
        <v/>
      </c>
      <c r="AX292" s="46" t="str">
        <f aca="false">IF(AT292="","",AT292+ROW()/100000)</f>
        <v/>
      </c>
    </row>
    <row r="293" customFormat="false" ht="15" hidden="false" customHeight="false" outlineLevel="0" collapsed="false">
      <c r="A293" s="9" t="str">
        <f aca="false">IF(B293="","",ROW()-5)</f>
        <v/>
      </c>
      <c r="B293" s="40"/>
      <c r="C293" s="8"/>
      <c r="D293" s="9" t="str">
        <f aca="false">IF(B293="","",IF(J293="","Active","Exited"))</f>
        <v/>
      </c>
      <c r="E293" s="8"/>
      <c r="F293" s="8"/>
      <c r="G293" s="8"/>
      <c r="H293" s="9" t="str">
        <f aca="false">IF(OR(B293="",I293=""),"",IF(IF(J293="",AsOf,J293)-I293&gt;=Settings!$C$13,"Permanent","Probation"))</f>
        <v/>
      </c>
      <c r="I293" s="41"/>
      <c r="J293" s="41"/>
      <c r="K293" s="8"/>
      <c r="L293" s="42" t="str">
        <f aca="false">IF(OR(B293="",I293=""),"",ROUND((IF(J293="",AsOf,J293)-I293)/365.25,1))</f>
        <v/>
      </c>
      <c r="M293" s="8"/>
      <c r="N293" s="8"/>
      <c r="O293" s="8"/>
      <c r="P293" s="8"/>
      <c r="Q293" s="41"/>
      <c r="R293" s="43" t="str">
        <f aca="false">IF(OR(B293="",Q293=""),"",INT((AsOf-Q293)/365.25))</f>
        <v/>
      </c>
      <c r="S293" s="8"/>
      <c r="T293" s="40"/>
      <c r="U293" s="40"/>
      <c r="V293" s="40"/>
      <c r="W293" s="40"/>
      <c r="X293" s="8"/>
      <c r="Y293" s="8"/>
      <c r="Z293" s="8"/>
      <c r="AA293" s="8"/>
      <c r="AB293" s="8"/>
      <c r="AC293" s="8"/>
      <c r="AD293" s="8"/>
      <c r="AE293" s="40"/>
      <c r="AF293" s="8"/>
      <c r="AG293" s="40"/>
      <c r="AH293" s="40"/>
      <c r="AI293" s="8"/>
      <c r="AJ293" s="40"/>
      <c r="AK293" s="40"/>
      <c r="AL293" s="40"/>
      <c r="AM293" s="44"/>
      <c r="AN293" s="44"/>
      <c r="AO293" s="41"/>
      <c r="AP293" s="45" t="str">
        <f aca="false">IF(B293="","",IF(AND(ISNUMBER(AM293),ISNUMBER(AN293),AM293&gt;0,AN293&gt;0),AN293/AM293-1,""))</f>
        <v/>
      </c>
      <c r="AQ293" s="9" t="str">
        <f aca="false">IF(I293="","",(YEAR(I293)-IF(MONTH(I293)&lt;4,1,0))&amp;"-"&amp;RIGHT((YEAR(I293)-IF(MONTH(I293)&lt;4,1,0))+1,2))</f>
        <v/>
      </c>
      <c r="AR293" s="9" t="str">
        <f aca="false">IF(J293="","",(YEAR(J293)-IF(MONTH(J293)&lt;4,1,0))&amp;"-"&amp;RIGHT((YEAR(J293)-IF(MONTH(J293)&lt;4,1,0))+1,2))</f>
        <v/>
      </c>
      <c r="AS293" s="43" t="str">
        <f aca="false">IF(OR(B293="",Q293="",D293&lt;&gt;"Active"),"",DATE(YEAR(AsOf)+IF(DATE(YEAR(AsOf),MONTH(Q293),DAY(Q293))&lt;AsOf,1,0),MONTH(Q293),DAY(Q293))-AsOf)</f>
        <v/>
      </c>
      <c r="AT293" s="43" t="str">
        <f aca="false">IF(OR(B293="",I293="",D293&lt;&gt;"Active"),"",IF(YEAR(DATE(YEAR(AsOf)+IF(DATE(YEAR(AsOf),MONTH(I293),DAY(I293))&lt;AsOf,1,0),MONTH(I293),DAY(I293)))-YEAR(I293)&lt;1,"",DATE(YEAR(AsOf)+IF(DATE(YEAR(AsOf),MONTH(I293),DAY(I293))&lt;AsOf,1,0),MONTH(I293),DAY(I293))-AsOf))</f>
        <v/>
      </c>
      <c r="AU293" s="43" t="str">
        <f aca="false">IF(B293="","",IF(AV293="",0,LEN(AV293)-LEN(SUBSTITUTE(AV293,";",""))))</f>
        <v/>
      </c>
      <c r="AV293" s="9" t="str">
        <f aca="false">IF(B293="","",IF(COUNTIF($B$6:$B$505,B293)&gt;1,"Duplicate Emp Code; ","")&amp;IF(C293="","Name missing; ","")&amp;IF(I293="","DOJ missing; ","")&amp;IF(AND(J293&lt;&gt;"",I293&lt;&gt;"",J293&lt;I293),"Exit before DOJ; ","")&amp;IF(Q293="","DOB missing; ","")&amp;IF(T293="","Aadhaar missing; ",IF(LEN(T293)&lt;&gt;12,"Aadhaar not 12 digits; ",IF(COUNTIF($T$6:$T$505,T293)&gt;1,"Duplicate Aadhaar; ","")))&amp;IF(U293="","PAN missing; ",IF(LEN(U293)&lt;&gt;10,"PAN not 10 chars; ",""))&amp;IF(V293="","Mobile missing; ",IF(LEN(V293)&lt;&gt;10,"Mobile not 10 digits; ",""))&amp;IF(AG293="","Bank A/c missing; ","")&amp;IF(AH293="","IFSC missing; ",IF(LEN(AH293)&lt;&gt;11,"IFSC not 11 chars; ","")))</f>
        <v/>
      </c>
      <c r="AW293" s="46" t="str">
        <f aca="false">IF(AS293="","",AS293+ROW()/100000)</f>
        <v/>
      </c>
      <c r="AX293" s="46" t="str">
        <f aca="false">IF(AT293="","",AT293+ROW()/100000)</f>
        <v/>
      </c>
    </row>
    <row r="294" customFormat="false" ht="15" hidden="false" customHeight="false" outlineLevel="0" collapsed="false">
      <c r="A294" s="9" t="str">
        <f aca="false">IF(B294="","",ROW()-5)</f>
        <v/>
      </c>
      <c r="B294" s="40"/>
      <c r="C294" s="8"/>
      <c r="D294" s="9" t="str">
        <f aca="false">IF(B294="","",IF(J294="","Active","Exited"))</f>
        <v/>
      </c>
      <c r="E294" s="8"/>
      <c r="F294" s="8"/>
      <c r="G294" s="8"/>
      <c r="H294" s="9" t="str">
        <f aca="false">IF(OR(B294="",I294=""),"",IF(IF(J294="",AsOf,J294)-I294&gt;=Settings!$C$13,"Permanent","Probation"))</f>
        <v/>
      </c>
      <c r="I294" s="41"/>
      <c r="J294" s="41"/>
      <c r="K294" s="8"/>
      <c r="L294" s="42" t="str">
        <f aca="false">IF(OR(B294="",I294=""),"",ROUND((IF(J294="",AsOf,J294)-I294)/365.25,1))</f>
        <v/>
      </c>
      <c r="M294" s="8"/>
      <c r="N294" s="8"/>
      <c r="O294" s="8"/>
      <c r="P294" s="8"/>
      <c r="Q294" s="41"/>
      <c r="R294" s="43" t="str">
        <f aca="false">IF(OR(B294="",Q294=""),"",INT((AsOf-Q294)/365.25))</f>
        <v/>
      </c>
      <c r="S294" s="8"/>
      <c r="T294" s="40"/>
      <c r="U294" s="40"/>
      <c r="V294" s="40"/>
      <c r="W294" s="40"/>
      <c r="X294" s="8"/>
      <c r="Y294" s="8"/>
      <c r="Z294" s="8"/>
      <c r="AA294" s="8"/>
      <c r="AB294" s="8"/>
      <c r="AC294" s="8"/>
      <c r="AD294" s="8"/>
      <c r="AE294" s="40"/>
      <c r="AF294" s="8"/>
      <c r="AG294" s="40"/>
      <c r="AH294" s="40"/>
      <c r="AI294" s="8"/>
      <c r="AJ294" s="40"/>
      <c r="AK294" s="40"/>
      <c r="AL294" s="40"/>
      <c r="AM294" s="44"/>
      <c r="AN294" s="44"/>
      <c r="AO294" s="41"/>
      <c r="AP294" s="45" t="str">
        <f aca="false">IF(B294="","",IF(AND(ISNUMBER(AM294),ISNUMBER(AN294),AM294&gt;0,AN294&gt;0),AN294/AM294-1,""))</f>
        <v/>
      </c>
      <c r="AQ294" s="9" t="str">
        <f aca="false">IF(I294="","",(YEAR(I294)-IF(MONTH(I294)&lt;4,1,0))&amp;"-"&amp;RIGHT((YEAR(I294)-IF(MONTH(I294)&lt;4,1,0))+1,2))</f>
        <v/>
      </c>
      <c r="AR294" s="9" t="str">
        <f aca="false">IF(J294="","",(YEAR(J294)-IF(MONTH(J294)&lt;4,1,0))&amp;"-"&amp;RIGHT((YEAR(J294)-IF(MONTH(J294)&lt;4,1,0))+1,2))</f>
        <v/>
      </c>
      <c r="AS294" s="43" t="str">
        <f aca="false">IF(OR(B294="",Q294="",D294&lt;&gt;"Active"),"",DATE(YEAR(AsOf)+IF(DATE(YEAR(AsOf),MONTH(Q294),DAY(Q294))&lt;AsOf,1,0),MONTH(Q294),DAY(Q294))-AsOf)</f>
        <v/>
      </c>
      <c r="AT294" s="43" t="str">
        <f aca="false">IF(OR(B294="",I294="",D294&lt;&gt;"Active"),"",IF(YEAR(DATE(YEAR(AsOf)+IF(DATE(YEAR(AsOf),MONTH(I294),DAY(I294))&lt;AsOf,1,0),MONTH(I294),DAY(I294)))-YEAR(I294)&lt;1,"",DATE(YEAR(AsOf)+IF(DATE(YEAR(AsOf),MONTH(I294),DAY(I294))&lt;AsOf,1,0),MONTH(I294),DAY(I294))-AsOf))</f>
        <v/>
      </c>
      <c r="AU294" s="43" t="str">
        <f aca="false">IF(B294="","",IF(AV294="",0,LEN(AV294)-LEN(SUBSTITUTE(AV294,";",""))))</f>
        <v/>
      </c>
      <c r="AV294" s="9" t="str">
        <f aca="false">IF(B294="","",IF(COUNTIF($B$6:$B$505,B294)&gt;1,"Duplicate Emp Code; ","")&amp;IF(C294="","Name missing; ","")&amp;IF(I294="","DOJ missing; ","")&amp;IF(AND(J294&lt;&gt;"",I294&lt;&gt;"",J294&lt;I294),"Exit before DOJ; ","")&amp;IF(Q294="","DOB missing; ","")&amp;IF(T294="","Aadhaar missing; ",IF(LEN(T294)&lt;&gt;12,"Aadhaar not 12 digits; ",IF(COUNTIF($T$6:$T$505,T294)&gt;1,"Duplicate Aadhaar; ","")))&amp;IF(U294="","PAN missing; ",IF(LEN(U294)&lt;&gt;10,"PAN not 10 chars; ",""))&amp;IF(V294="","Mobile missing; ",IF(LEN(V294)&lt;&gt;10,"Mobile not 10 digits; ",""))&amp;IF(AG294="","Bank A/c missing; ","")&amp;IF(AH294="","IFSC missing; ",IF(LEN(AH294)&lt;&gt;11,"IFSC not 11 chars; ","")))</f>
        <v/>
      </c>
      <c r="AW294" s="46" t="str">
        <f aca="false">IF(AS294="","",AS294+ROW()/100000)</f>
        <v/>
      </c>
      <c r="AX294" s="46" t="str">
        <f aca="false">IF(AT294="","",AT294+ROW()/100000)</f>
        <v/>
      </c>
    </row>
    <row r="295" customFormat="false" ht="15" hidden="false" customHeight="false" outlineLevel="0" collapsed="false">
      <c r="A295" s="9" t="str">
        <f aca="false">IF(B295="","",ROW()-5)</f>
        <v/>
      </c>
      <c r="B295" s="40"/>
      <c r="C295" s="8"/>
      <c r="D295" s="9" t="str">
        <f aca="false">IF(B295="","",IF(J295="","Active","Exited"))</f>
        <v/>
      </c>
      <c r="E295" s="8"/>
      <c r="F295" s="8"/>
      <c r="G295" s="8"/>
      <c r="H295" s="9" t="str">
        <f aca="false">IF(OR(B295="",I295=""),"",IF(IF(J295="",AsOf,J295)-I295&gt;=Settings!$C$13,"Permanent","Probation"))</f>
        <v/>
      </c>
      <c r="I295" s="41"/>
      <c r="J295" s="41"/>
      <c r="K295" s="8"/>
      <c r="L295" s="42" t="str">
        <f aca="false">IF(OR(B295="",I295=""),"",ROUND((IF(J295="",AsOf,J295)-I295)/365.25,1))</f>
        <v/>
      </c>
      <c r="M295" s="8"/>
      <c r="N295" s="8"/>
      <c r="O295" s="8"/>
      <c r="P295" s="8"/>
      <c r="Q295" s="41"/>
      <c r="R295" s="43" t="str">
        <f aca="false">IF(OR(B295="",Q295=""),"",INT((AsOf-Q295)/365.25))</f>
        <v/>
      </c>
      <c r="S295" s="8"/>
      <c r="T295" s="40"/>
      <c r="U295" s="40"/>
      <c r="V295" s="40"/>
      <c r="W295" s="40"/>
      <c r="X295" s="8"/>
      <c r="Y295" s="8"/>
      <c r="Z295" s="8"/>
      <c r="AA295" s="8"/>
      <c r="AB295" s="8"/>
      <c r="AC295" s="8"/>
      <c r="AD295" s="8"/>
      <c r="AE295" s="40"/>
      <c r="AF295" s="8"/>
      <c r="AG295" s="40"/>
      <c r="AH295" s="40"/>
      <c r="AI295" s="8"/>
      <c r="AJ295" s="40"/>
      <c r="AK295" s="40"/>
      <c r="AL295" s="40"/>
      <c r="AM295" s="44"/>
      <c r="AN295" s="44"/>
      <c r="AO295" s="41"/>
      <c r="AP295" s="45" t="str">
        <f aca="false">IF(B295="","",IF(AND(ISNUMBER(AM295),ISNUMBER(AN295),AM295&gt;0,AN295&gt;0),AN295/AM295-1,""))</f>
        <v/>
      </c>
      <c r="AQ295" s="9" t="str">
        <f aca="false">IF(I295="","",(YEAR(I295)-IF(MONTH(I295)&lt;4,1,0))&amp;"-"&amp;RIGHT((YEAR(I295)-IF(MONTH(I295)&lt;4,1,0))+1,2))</f>
        <v/>
      </c>
      <c r="AR295" s="9" t="str">
        <f aca="false">IF(J295="","",(YEAR(J295)-IF(MONTH(J295)&lt;4,1,0))&amp;"-"&amp;RIGHT((YEAR(J295)-IF(MONTH(J295)&lt;4,1,0))+1,2))</f>
        <v/>
      </c>
      <c r="AS295" s="43" t="str">
        <f aca="false">IF(OR(B295="",Q295="",D295&lt;&gt;"Active"),"",DATE(YEAR(AsOf)+IF(DATE(YEAR(AsOf),MONTH(Q295),DAY(Q295))&lt;AsOf,1,0),MONTH(Q295),DAY(Q295))-AsOf)</f>
        <v/>
      </c>
      <c r="AT295" s="43" t="str">
        <f aca="false">IF(OR(B295="",I295="",D295&lt;&gt;"Active"),"",IF(YEAR(DATE(YEAR(AsOf)+IF(DATE(YEAR(AsOf),MONTH(I295),DAY(I295))&lt;AsOf,1,0),MONTH(I295),DAY(I295)))-YEAR(I295)&lt;1,"",DATE(YEAR(AsOf)+IF(DATE(YEAR(AsOf),MONTH(I295),DAY(I295))&lt;AsOf,1,0),MONTH(I295),DAY(I295))-AsOf))</f>
        <v/>
      </c>
      <c r="AU295" s="43" t="str">
        <f aca="false">IF(B295="","",IF(AV295="",0,LEN(AV295)-LEN(SUBSTITUTE(AV295,";",""))))</f>
        <v/>
      </c>
      <c r="AV295" s="9" t="str">
        <f aca="false">IF(B295="","",IF(COUNTIF($B$6:$B$505,B295)&gt;1,"Duplicate Emp Code; ","")&amp;IF(C295="","Name missing; ","")&amp;IF(I295="","DOJ missing; ","")&amp;IF(AND(J295&lt;&gt;"",I295&lt;&gt;"",J295&lt;I295),"Exit before DOJ; ","")&amp;IF(Q295="","DOB missing; ","")&amp;IF(T295="","Aadhaar missing; ",IF(LEN(T295)&lt;&gt;12,"Aadhaar not 12 digits; ",IF(COUNTIF($T$6:$T$505,T295)&gt;1,"Duplicate Aadhaar; ","")))&amp;IF(U295="","PAN missing; ",IF(LEN(U295)&lt;&gt;10,"PAN not 10 chars; ",""))&amp;IF(V295="","Mobile missing; ",IF(LEN(V295)&lt;&gt;10,"Mobile not 10 digits; ",""))&amp;IF(AG295="","Bank A/c missing; ","")&amp;IF(AH295="","IFSC missing; ",IF(LEN(AH295)&lt;&gt;11,"IFSC not 11 chars; ","")))</f>
        <v/>
      </c>
      <c r="AW295" s="46" t="str">
        <f aca="false">IF(AS295="","",AS295+ROW()/100000)</f>
        <v/>
      </c>
      <c r="AX295" s="46" t="str">
        <f aca="false">IF(AT295="","",AT295+ROW()/100000)</f>
        <v/>
      </c>
    </row>
    <row r="296" customFormat="false" ht="15" hidden="false" customHeight="false" outlineLevel="0" collapsed="false">
      <c r="A296" s="9" t="str">
        <f aca="false">IF(B296="","",ROW()-5)</f>
        <v/>
      </c>
      <c r="B296" s="40"/>
      <c r="C296" s="8"/>
      <c r="D296" s="9" t="str">
        <f aca="false">IF(B296="","",IF(J296="","Active","Exited"))</f>
        <v/>
      </c>
      <c r="E296" s="8"/>
      <c r="F296" s="8"/>
      <c r="G296" s="8"/>
      <c r="H296" s="9" t="str">
        <f aca="false">IF(OR(B296="",I296=""),"",IF(IF(J296="",AsOf,J296)-I296&gt;=Settings!$C$13,"Permanent","Probation"))</f>
        <v/>
      </c>
      <c r="I296" s="41"/>
      <c r="J296" s="41"/>
      <c r="K296" s="8"/>
      <c r="L296" s="42" t="str">
        <f aca="false">IF(OR(B296="",I296=""),"",ROUND((IF(J296="",AsOf,J296)-I296)/365.25,1))</f>
        <v/>
      </c>
      <c r="M296" s="8"/>
      <c r="N296" s="8"/>
      <c r="O296" s="8"/>
      <c r="P296" s="8"/>
      <c r="Q296" s="41"/>
      <c r="R296" s="43" t="str">
        <f aca="false">IF(OR(B296="",Q296=""),"",INT((AsOf-Q296)/365.25))</f>
        <v/>
      </c>
      <c r="S296" s="8"/>
      <c r="T296" s="40"/>
      <c r="U296" s="40"/>
      <c r="V296" s="40"/>
      <c r="W296" s="40"/>
      <c r="X296" s="8"/>
      <c r="Y296" s="8"/>
      <c r="Z296" s="8"/>
      <c r="AA296" s="8"/>
      <c r="AB296" s="8"/>
      <c r="AC296" s="8"/>
      <c r="AD296" s="8"/>
      <c r="AE296" s="40"/>
      <c r="AF296" s="8"/>
      <c r="AG296" s="40"/>
      <c r="AH296" s="40"/>
      <c r="AI296" s="8"/>
      <c r="AJ296" s="40"/>
      <c r="AK296" s="40"/>
      <c r="AL296" s="40"/>
      <c r="AM296" s="44"/>
      <c r="AN296" s="44"/>
      <c r="AO296" s="41"/>
      <c r="AP296" s="45" t="str">
        <f aca="false">IF(B296="","",IF(AND(ISNUMBER(AM296),ISNUMBER(AN296),AM296&gt;0,AN296&gt;0),AN296/AM296-1,""))</f>
        <v/>
      </c>
      <c r="AQ296" s="9" t="str">
        <f aca="false">IF(I296="","",(YEAR(I296)-IF(MONTH(I296)&lt;4,1,0))&amp;"-"&amp;RIGHT((YEAR(I296)-IF(MONTH(I296)&lt;4,1,0))+1,2))</f>
        <v/>
      </c>
      <c r="AR296" s="9" t="str">
        <f aca="false">IF(J296="","",(YEAR(J296)-IF(MONTH(J296)&lt;4,1,0))&amp;"-"&amp;RIGHT((YEAR(J296)-IF(MONTH(J296)&lt;4,1,0))+1,2))</f>
        <v/>
      </c>
      <c r="AS296" s="43" t="str">
        <f aca="false">IF(OR(B296="",Q296="",D296&lt;&gt;"Active"),"",DATE(YEAR(AsOf)+IF(DATE(YEAR(AsOf),MONTH(Q296),DAY(Q296))&lt;AsOf,1,0),MONTH(Q296),DAY(Q296))-AsOf)</f>
        <v/>
      </c>
      <c r="AT296" s="43" t="str">
        <f aca="false">IF(OR(B296="",I296="",D296&lt;&gt;"Active"),"",IF(YEAR(DATE(YEAR(AsOf)+IF(DATE(YEAR(AsOf),MONTH(I296),DAY(I296))&lt;AsOf,1,0),MONTH(I296),DAY(I296)))-YEAR(I296)&lt;1,"",DATE(YEAR(AsOf)+IF(DATE(YEAR(AsOf),MONTH(I296),DAY(I296))&lt;AsOf,1,0),MONTH(I296),DAY(I296))-AsOf))</f>
        <v/>
      </c>
      <c r="AU296" s="43" t="str">
        <f aca="false">IF(B296="","",IF(AV296="",0,LEN(AV296)-LEN(SUBSTITUTE(AV296,";",""))))</f>
        <v/>
      </c>
      <c r="AV296" s="9" t="str">
        <f aca="false">IF(B296="","",IF(COUNTIF($B$6:$B$505,B296)&gt;1,"Duplicate Emp Code; ","")&amp;IF(C296="","Name missing; ","")&amp;IF(I296="","DOJ missing; ","")&amp;IF(AND(J296&lt;&gt;"",I296&lt;&gt;"",J296&lt;I296),"Exit before DOJ; ","")&amp;IF(Q296="","DOB missing; ","")&amp;IF(T296="","Aadhaar missing; ",IF(LEN(T296)&lt;&gt;12,"Aadhaar not 12 digits; ",IF(COUNTIF($T$6:$T$505,T296)&gt;1,"Duplicate Aadhaar; ","")))&amp;IF(U296="","PAN missing; ",IF(LEN(U296)&lt;&gt;10,"PAN not 10 chars; ",""))&amp;IF(V296="","Mobile missing; ",IF(LEN(V296)&lt;&gt;10,"Mobile not 10 digits; ",""))&amp;IF(AG296="","Bank A/c missing; ","")&amp;IF(AH296="","IFSC missing; ",IF(LEN(AH296)&lt;&gt;11,"IFSC not 11 chars; ","")))</f>
        <v/>
      </c>
      <c r="AW296" s="46" t="str">
        <f aca="false">IF(AS296="","",AS296+ROW()/100000)</f>
        <v/>
      </c>
      <c r="AX296" s="46" t="str">
        <f aca="false">IF(AT296="","",AT296+ROW()/100000)</f>
        <v/>
      </c>
    </row>
    <row r="297" customFormat="false" ht="15" hidden="false" customHeight="false" outlineLevel="0" collapsed="false">
      <c r="A297" s="9" t="str">
        <f aca="false">IF(B297="","",ROW()-5)</f>
        <v/>
      </c>
      <c r="B297" s="40"/>
      <c r="C297" s="8"/>
      <c r="D297" s="9" t="str">
        <f aca="false">IF(B297="","",IF(J297="","Active","Exited"))</f>
        <v/>
      </c>
      <c r="E297" s="8"/>
      <c r="F297" s="8"/>
      <c r="G297" s="8"/>
      <c r="H297" s="9" t="str">
        <f aca="false">IF(OR(B297="",I297=""),"",IF(IF(J297="",AsOf,J297)-I297&gt;=Settings!$C$13,"Permanent","Probation"))</f>
        <v/>
      </c>
      <c r="I297" s="41"/>
      <c r="J297" s="41"/>
      <c r="K297" s="8"/>
      <c r="L297" s="42" t="str">
        <f aca="false">IF(OR(B297="",I297=""),"",ROUND((IF(J297="",AsOf,J297)-I297)/365.25,1))</f>
        <v/>
      </c>
      <c r="M297" s="8"/>
      <c r="N297" s="8"/>
      <c r="O297" s="8"/>
      <c r="P297" s="8"/>
      <c r="Q297" s="41"/>
      <c r="R297" s="43" t="str">
        <f aca="false">IF(OR(B297="",Q297=""),"",INT((AsOf-Q297)/365.25))</f>
        <v/>
      </c>
      <c r="S297" s="8"/>
      <c r="T297" s="40"/>
      <c r="U297" s="40"/>
      <c r="V297" s="40"/>
      <c r="W297" s="40"/>
      <c r="X297" s="8"/>
      <c r="Y297" s="8"/>
      <c r="Z297" s="8"/>
      <c r="AA297" s="8"/>
      <c r="AB297" s="8"/>
      <c r="AC297" s="8"/>
      <c r="AD297" s="8"/>
      <c r="AE297" s="40"/>
      <c r="AF297" s="8"/>
      <c r="AG297" s="40"/>
      <c r="AH297" s="40"/>
      <c r="AI297" s="8"/>
      <c r="AJ297" s="40"/>
      <c r="AK297" s="40"/>
      <c r="AL297" s="40"/>
      <c r="AM297" s="44"/>
      <c r="AN297" s="44"/>
      <c r="AO297" s="41"/>
      <c r="AP297" s="45" t="str">
        <f aca="false">IF(B297="","",IF(AND(ISNUMBER(AM297),ISNUMBER(AN297),AM297&gt;0,AN297&gt;0),AN297/AM297-1,""))</f>
        <v/>
      </c>
      <c r="AQ297" s="9" t="str">
        <f aca="false">IF(I297="","",(YEAR(I297)-IF(MONTH(I297)&lt;4,1,0))&amp;"-"&amp;RIGHT((YEAR(I297)-IF(MONTH(I297)&lt;4,1,0))+1,2))</f>
        <v/>
      </c>
      <c r="AR297" s="9" t="str">
        <f aca="false">IF(J297="","",(YEAR(J297)-IF(MONTH(J297)&lt;4,1,0))&amp;"-"&amp;RIGHT((YEAR(J297)-IF(MONTH(J297)&lt;4,1,0))+1,2))</f>
        <v/>
      </c>
      <c r="AS297" s="43" t="str">
        <f aca="false">IF(OR(B297="",Q297="",D297&lt;&gt;"Active"),"",DATE(YEAR(AsOf)+IF(DATE(YEAR(AsOf),MONTH(Q297),DAY(Q297))&lt;AsOf,1,0),MONTH(Q297),DAY(Q297))-AsOf)</f>
        <v/>
      </c>
      <c r="AT297" s="43" t="str">
        <f aca="false">IF(OR(B297="",I297="",D297&lt;&gt;"Active"),"",IF(YEAR(DATE(YEAR(AsOf)+IF(DATE(YEAR(AsOf),MONTH(I297),DAY(I297))&lt;AsOf,1,0),MONTH(I297),DAY(I297)))-YEAR(I297)&lt;1,"",DATE(YEAR(AsOf)+IF(DATE(YEAR(AsOf),MONTH(I297),DAY(I297))&lt;AsOf,1,0),MONTH(I297),DAY(I297))-AsOf))</f>
        <v/>
      </c>
      <c r="AU297" s="43" t="str">
        <f aca="false">IF(B297="","",IF(AV297="",0,LEN(AV297)-LEN(SUBSTITUTE(AV297,";",""))))</f>
        <v/>
      </c>
      <c r="AV297" s="9" t="str">
        <f aca="false">IF(B297="","",IF(COUNTIF($B$6:$B$505,B297)&gt;1,"Duplicate Emp Code; ","")&amp;IF(C297="","Name missing; ","")&amp;IF(I297="","DOJ missing; ","")&amp;IF(AND(J297&lt;&gt;"",I297&lt;&gt;"",J297&lt;I297),"Exit before DOJ; ","")&amp;IF(Q297="","DOB missing; ","")&amp;IF(T297="","Aadhaar missing; ",IF(LEN(T297)&lt;&gt;12,"Aadhaar not 12 digits; ",IF(COUNTIF($T$6:$T$505,T297)&gt;1,"Duplicate Aadhaar; ","")))&amp;IF(U297="","PAN missing; ",IF(LEN(U297)&lt;&gt;10,"PAN not 10 chars; ",""))&amp;IF(V297="","Mobile missing; ",IF(LEN(V297)&lt;&gt;10,"Mobile not 10 digits; ",""))&amp;IF(AG297="","Bank A/c missing; ","")&amp;IF(AH297="","IFSC missing; ",IF(LEN(AH297)&lt;&gt;11,"IFSC not 11 chars; ","")))</f>
        <v/>
      </c>
      <c r="AW297" s="46" t="str">
        <f aca="false">IF(AS297="","",AS297+ROW()/100000)</f>
        <v/>
      </c>
      <c r="AX297" s="46" t="str">
        <f aca="false">IF(AT297="","",AT297+ROW()/100000)</f>
        <v/>
      </c>
    </row>
    <row r="298" customFormat="false" ht="15" hidden="false" customHeight="false" outlineLevel="0" collapsed="false">
      <c r="A298" s="9" t="str">
        <f aca="false">IF(B298="","",ROW()-5)</f>
        <v/>
      </c>
      <c r="B298" s="40"/>
      <c r="C298" s="8"/>
      <c r="D298" s="9" t="str">
        <f aca="false">IF(B298="","",IF(J298="","Active","Exited"))</f>
        <v/>
      </c>
      <c r="E298" s="8"/>
      <c r="F298" s="8"/>
      <c r="G298" s="8"/>
      <c r="H298" s="9" t="str">
        <f aca="false">IF(OR(B298="",I298=""),"",IF(IF(J298="",AsOf,J298)-I298&gt;=Settings!$C$13,"Permanent","Probation"))</f>
        <v/>
      </c>
      <c r="I298" s="41"/>
      <c r="J298" s="41"/>
      <c r="K298" s="8"/>
      <c r="L298" s="42" t="str">
        <f aca="false">IF(OR(B298="",I298=""),"",ROUND((IF(J298="",AsOf,J298)-I298)/365.25,1))</f>
        <v/>
      </c>
      <c r="M298" s="8"/>
      <c r="N298" s="8"/>
      <c r="O298" s="8"/>
      <c r="P298" s="8"/>
      <c r="Q298" s="41"/>
      <c r="R298" s="43" t="str">
        <f aca="false">IF(OR(B298="",Q298=""),"",INT((AsOf-Q298)/365.25))</f>
        <v/>
      </c>
      <c r="S298" s="8"/>
      <c r="T298" s="40"/>
      <c r="U298" s="40"/>
      <c r="V298" s="40"/>
      <c r="W298" s="40"/>
      <c r="X298" s="8"/>
      <c r="Y298" s="8"/>
      <c r="Z298" s="8"/>
      <c r="AA298" s="8"/>
      <c r="AB298" s="8"/>
      <c r="AC298" s="8"/>
      <c r="AD298" s="8"/>
      <c r="AE298" s="40"/>
      <c r="AF298" s="8"/>
      <c r="AG298" s="40"/>
      <c r="AH298" s="40"/>
      <c r="AI298" s="8"/>
      <c r="AJ298" s="40"/>
      <c r="AK298" s="40"/>
      <c r="AL298" s="40"/>
      <c r="AM298" s="44"/>
      <c r="AN298" s="44"/>
      <c r="AO298" s="41"/>
      <c r="AP298" s="45" t="str">
        <f aca="false">IF(B298="","",IF(AND(ISNUMBER(AM298),ISNUMBER(AN298),AM298&gt;0,AN298&gt;0),AN298/AM298-1,""))</f>
        <v/>
      </c>
      <c r="AQ298" s="9" t="str">
        <f aca="false">IF(I298="","",(YEAR(I298)-IF(MONTH(I298)&lt;4,1,0))&amp;"-"&amp;RIGHT((YEAR(I298)-IF(MONTH(I298)&lt;4,1,0))+1,2))</f>
        <v/>
      </c>
      <c r="AR298" s="9" t="str">
        <f aca="false">IF(J298="","",(YEAR(J298)-IF(MONTH(J298)&lt;4,1,0))&amp;"-"&amp;RIGHT((YEAR(J298)-IF(MONTH(J298)&lt;4,1,0))+1,2))</f>
        <v/>
      </c>
      <c r="AS298" s="43" t="str">
        <f aca="false">IF(OR(B298="",Q298="",D298&lt;&gt;"Active"),"",DATE(YEAR(AsOf)+IF(DATE(YEAR(AsOf),MONTH(Q298),DAY(Q298))&lt;AsOf,1,0),MONTH(Q298),DAY(Q298))-AsOf)</f>
        <v/>
      </c>
      <c r="AT298" s="43" t="str">
        <f aca="false">IF(OR(B298="",I298="",D298&lt;&gt;"Active"),"",IF(YEAR(DATE(YEAR(AsOf)+IF(DATE(YEAR(AsOf),MONTH(I298),DAY(I298))&lt;AsOf,1,0),MONTH(I298),DAY(I298)))-YEAR(I298)&lt;1,"",DATE(YEAR(AsOf)+IF(DATE(YEAR(AsOf),MONTH(I298),DAY(I298))&lt;AsOf,1,0),MONTH(I298),DAY(I298))-AsOf))</f>
        <v/>
      </c>
      <c r="AU298" s="43" t="str">
        <f aca="false">IF(B298="","",IF(AV298="",0,LEN(AV298)-LEN(SUBSTITUTE(AV298,";",""))))</f>
        <v/>
      </c>
      <c r="AV298" s="9" t="str">
        <f aca="false">IF(B298="","",IF(COUNTIF($B$6:$B$505,B298)&gt;1,"Duplicate Emp Code; ","")&amp;IF(C298="","Name missing; ","")&amp;IF(I298="","DOJ missing; ","")&amp;IF(AND(J298&lt;&gt;"",I298&lt;&gt;"",J298&lt;I298),"Exit before DOJ; ","")&amp;IF(Q298="","DOB missing; ","")&amp;IF(T298="","Aadhaar missing; ",IF(LEN(T298)&lt;&gt;12,"Aadhaar not 12 digits; ",IF(COUNTIF($T$6:$T$505,T298)&gt;1,"Duplicate Aadhaar; ","")))&amp;IF(U298="","PAN missing; ",IF(LEN(U298)&lt;&gt;10,"PAN not 10 chars; ",""))&amp;IF(V298="","Mobile missing; ",IF(LEN(V298)&lt;&gt;10,"Mobile not 10 digits; ",""))&amp;IF(AG298="","Bank A/c missing; ","")&amp;IF(AH298="","IFSC missing; ",IF(LEN(AH298)&lt;&gt;11,"IFSC not 11 chars; ","")))</f>
        <v/>
      </c>
      <c r="AW298" s="46" t="str">
        <f aca="false">IF(AS298="","",AS298+ROW()/100000)</f>
        <v/>
      </c>
      <c r="AX298" s="46" t="str">
        <f aca="false">IF(AT298="","",AT298+ROW()/100000)</f>
        <v/>
      </c>
    </row>
    <row r="299" customFormat="false" ht="15" hidden="false" customHeight="false" outlineLevel="0" collapsed="false">
      <c r="A299" s="9" t="str">
        <f aca="false">IF(B299="","",ROW()-5)</f>
        <v/>
      </c>
      <c r="B299" s="40"/>
      <c r="C299" s="8"/>
      <c r="D299" s="9" t="str">
        <f aca="false">IF(B299="","",IF(J299="","Active","Exited"))</f>
        <v/>
      </c>
      <c r="E299" s="8"/>
      <c r="F299" s="8"/>
      <c r="G299" s="8"/>
      <c r="H299" s="9" t="str">
        <f aca="false">IF(OR(B299="",I299=""),"",IF(IF(J299="",AsOf,J299)-I299&gt;=Settings!$C$13,"Permanent","Probation"))</f>
        <v/>
      </c>
      <c r="I299" s="41"/>
      <c r="J299" s="41"/>
      <c r="K299" s="8"/>
      <c r="L299" s="42" t="str">
        <f aca="false">IF(OR(B299="",I299=""),"",ROUND((IF(J299="",AsOf,J299)-I299)/365.25,1))</f>
        <v/>
      </c>
      <c r="M299" s="8"/>
      <c r="N299" s="8"/>
      <c r="O299" s="8"/>
      <c r="P299" s="8"/>
      <c r="Q299" s="41"/>
      <c r="R299" s="43" t="str">
        <f aca="false">IF(OR(B299="",Q299=""),"",INT((AsOf-Q299)/365.25))</f>
        <v/>
      </c>
      <c r="S299" s="8"/>
      <c r="T299" s="40"/>
      <c r="U299" s="40"/>
      <c r="V299" s="40"/>
      <c r="W299" s="40"/>
      <c r="X299" s="8"/>
      <c r="Y299" s="8"/>
      <c r="Z299" s="8"/>
      <c r="AA299" s="8"/>
      <c r="AB299" s="8"/>
      <c r="AC299" s="8"/>
      <c r="AD299" s="8"/>
      <c r="AE299" s="40"/>
      <c r="AF299" s="8"/>
      <c r="AG299" s="40"/>
      <c r="AH299" s="40"/>
      <c r="AI299" s="8"/>
      <c r="AJ299" s="40"/>
      <c r="AK299" s="40"/>
      <c r="AL299" s="40"/>
      <c r="AM299" s="44"/>
      <c r="AN299" s="44"/>
      <c r="AO299" s="41"/>
      <c r="AP299" s="45" t="str">
        <f aca="false">IF(B299="","",IF(AND(ISNUMBER(AM299),ISNUMBER(AN299),AM299&gt;0,AN299&gt;0),AN299/AM299-1,""))</f>
        <v/>
      </c>
      <c r="AQ299" s="9" t="str">
        <f aca="false">IF(I299="","",(YEAR(I299)-IF(MONTH(I299)&lt;4,1,0))&amp;"-"&amp;RIGHT((YEAR(I299)-IF(MONTH(I299)&lt;4,1,0))+1,2))</f>
        <v/>
      </c>
      <c r="AR299" s="9" t="str">
        <f aca="false">IF(J299="","",(YEAR(J299)-IF(MONTH(J299)&lt;4,1,0))&amp;"-"&amp;RIGHT((YEAR(J299)-IF(MONTH(J299)&lt;4,1,0))+1,2))</f>
        <v/>
      </c>
      <c r="AS299" s="43" t="str">
        <f aca="false">IF(OR(B299="",Q299="",D299&lt;&gt;"Active"),"",DATE(YEAR(AsOf)+IF(DATE(YEAR(AsOf),MONTH(Q299),DAY(Q299))&lt;AsOf,1,0),MONTH(Q299),DAY(Q299))-AsOf)</f>
        <v/>
      </c>
      <c r="AT299" s="43" t="str">
        <f aca="false">IF(OR(B299="",I299="",D299&lt;&gt;"Active"),"",IF(YEAR(DATE(YEAR(AsOf)+IF(DATE(YEAR(AsOf),MONTH(I299),DAY(I299))&lt;AsOf,1,0),MONTH(I299),DAY(I299)))-YEAR(I299)&lt;1,"",DATE(YEAR(AsOf)+IF(DATE(YEAR(AsOf),MONTH(I299),DAY(I299))&lt;AsOf,1,0),MONTH(I299),DAY(I299))-AsOf))</f>
        <v/>
      </c>
      <c r="AU299" s="43" t="str">
        <f aca="false">IF(B299="","",IF(AV299="",0,LEN(AV299)-LEN(SUBSTITUTE(AV299,";",""))))</f>
        <v/>
      </c>
      <c r="AV299" s="9" t="str">
        <f aca="false">IF(B299="","",IF(COUNTIF($B$6:$B$505,B299)&gt;1,"Duplicate Emp Code; ","")&amp;IF(C299="","Name missing; ","")&amp;IF(I299="","DOJ missing; ","")&amp;IF(AND(J299&lt;&gt;"",I299&lt;&gt;"",J299&lt;I299),"Exit before DOJ; ","")&amp;IF(Q299="","DOB missing; ","")&amp;IF(T299="","Aadhaar missing; ",IF(LEN(T299)&lt;&gt;12,"Aadhaar not 12 digits; ",IF(COUNTIF($T$6:$T$505,T299)&gt;1,"Duplicate Aadhaar; ","")))&amp;IF(U299="","PAN missing; ",IF(LEN(U299)&lt;&gt;10,"PAN not 10 chars; ",""))&amp;IF(V299="","Mobile missing; ",IF(LEN(V299)&lt;&gt;10,"Mobile not 10 digits; ",""))&amp;IF(AG299="","Bank A/c missing; ","")&amp;IF(AH299="","IFSC missing; ",IF(LEN(AH299)&lt;&gt;11,"IFSC not 11 chars; ","")))</f>
        <v/>
      </c>
      <c r="AW299" s="46" t="str">
        <f aca="false">IF(AS299="","",AS299+ROW()/100000)</f>
        <v/>
      </c>
      <c r="AX299" s="46" t="str">
        <f aca="false">IF(AT299="","",AT299+ROW()/100000)</f>
        <v/>
      </c>
    </row>
    <row r="300" customFormat="false" ht="15" hidden="false" customHeight="false" outlineLevel="0" collapsed="false">
      <c r="A300" s="9" t="str">
        <f aca="false">IF(B300="","",ROW()-5)</f>
        <v/>
      </c>
      <c r="B300" s="40"/>
      <c r="C300" s="8"/>
      <c r="D300" s="9" t="str">
        <f aca="false">IF(B300="","",IF(J300="","Active","Exited"))</f>
        <v/>
      </c>
      <c r="E300" s="8"/>
      <c r="F300" s="8"/>
      <c r="G300" s="8"/>
      <c r="H300" s="9" t="str">
        <f aca="false">IF(OR(B300="",I300=""),"",IF(IF(J300="",AsOf,J300)-I300&gt;=Settings!$C$13,"Permanent","Probation"))</f>
        <v/>
      </c>
      <c r="I300" s="41"/>
      <c r="J300" s="41"/>
      <c r="K300" s="8"/>
      <c r="L300" s="42" t="str">
        <f aca="false">IF(OR(B300="",I300=""),"",ROUND((IF(J300="",AsOf,J300)-I300)/365.25,1))</f>
        <v/>
      </c>
      <c r="M300" s="8"/>
      <c r="N300" s="8"/>
      <c r="O300" s="8"/>
      <c r="P300" s="8"/>
      <c r="Q300" s="41"/>
      <c r="R300" s="43" t="str">
        <f aca="false">IF(OR(B300="",Q300=""),"",INT((AsOf-Q300)/365.25))</f>
        <v/>
      </c>
      <c r="S300" s="8"/>
      <c r="T300" s="40"/>
      <c r="U300" s="40"/>
      <c r="V300" s="40"/>
      <c r="W300" s="40"/>
      <c r="X300" s="8"/>
      <c r="Y300" s="8"/>
      <c r="Z300" s="8"/>
      <c r="AA300" s="8"/>
      <c r="AB300" s="8"/>
      <c r="AC300" s="8"/>
      <c r="AD300" s="8"/>
      <c r="AE300" s="40"/>
      <c r="AF300" s="8"/>
      <c r="AG300" s="40"/>
      <c r="AH300" s="40"/>
      <c r="AI300" s="8"/>
      <c r="AJ300" s="40"/>
      <c r="AK300" s="40"/>
      <c r="AL300" s="40"/>
      <c r="AM300" s="44"/>
      <c r="AN300" s="44"/>
      <c r="AO300" s="41"/>
      <c r="AP300" s="45" t="str">
        <f aca="false">IF(B300="","",IF(AND(ISNUMBER(AM300),ISNUMBER(AN300),AM300&gt;0,AN300&gt;0),AN300/AM300-1,""))</f>
        <v/>
      </c>
      <c r="AQ300" s="9" t="str">
        <f aca="false">IF(I300="","",(YEAR(I300)-IF(MONTH(I300)&lt;4,1,0))&amp;"-"&amp;RIGHT((YEAR(I300)-IF(MONTH(I300)&lt;4,1,0))+1,2))</f>
        <v/>
      </c>
      <c r="AR300" s="9" t="str">
        <f aca="false">IF(J300="","",(YEAR(J300)-IF(MONTH(J300)&lt;4,1,0))&amp;"-"&amp;RIGHT((YEAR(J300)-IF(MONTH(J300)&lt;4,1,0))+1,2))</f>
        <v/>
      </c>
      <c r="AS300" s="43" t="str">
        <f aca="false">IF(OR(B300="",Q300="",D300&lt;&gt;"Active"),"",DATE(YEAR(AsOf)+IF(DATE(YEAR(AsOf),MONTH(Q300),DAY(Q300))&lt;AsOf,1,0),MONTH(Q300),DAY(Q300))-AsOf)</f>
        <v/>
      </c>
      <c r="AT300" s="43" t="str">
        <f aca="false">IF(OR(B300="",I300="",D300&lt;&gt;"Active"),"",IF(YEAR(DATE(YEAR(AsOf)+IF(DATE(YEAR(AsOf),MONTH(I300),DAY(I300))&lt;AsOf,1,0),MONTH(I300),DAY(I300)))-YEAR(I300)&lt;1,"",DATE(YEAR(AsOf)+IF(DATE(YEAR(AsOf),MONTH(I300),DAY(I300))&lt;AsOf,1,0),MONTH(I300),DAY(I300))-AsOf))</f>
        <v/>
      </c>
      <c r="AU300" s="43" t="str">
        <f aca="false">IF(B300="","",IF(AV300="",0,LEN(AV300)-LEN(SUBSTITUTE(AV300,";",""))))</f>
        <v/>
      </c>
      <c r="AV300" s="9" t="str">
        <f aca="false">IF(B300="","",IF(COUNTIF($B$6:$B$505,B300)&gt;1,"Duplicate Emp Code; ","")&amp;IF(C300="","Name missing; ","")&amp;IF(I300="","DOJ missing; ","")&amp;IF(AND(J300&lt;&gt;"",I300&lt;&gt;"",J300&lt;I300),"Exit before DOJ; ","")&amp;IF(Q300="","DOB missing; ","")&amp;IF(T300="","Aadhaar missing; ",IF(LEN(T300)&lt;&gt;12,"Aadhaar not 12 digits; ",IF(COUNTIF($T$6:$T$505,T300)&gt;1,"Duplicate Aadhaar; ","")))&amp;IF(U300="","PAN missing; ",IF(LEN(U300)&lt;&gt;10,"PAN not 10 chars; ",""))&amp;IF(V300="","Mobile missing; ",IF(LEN(V300)&lt;&gt;10,"Mobile not 10 digits; ",""))&amp;IF(AG300="","Bank A/c missing; ","")&amp;IF(AH300="","IFSC missing; ",IF(LEN(AH300)&lt;&gt;11,"IFSC not 11 chars; ","")))</f>
        <v/>
      </c>
      <c r="AW300" s="46" t="str">
        <f aca="false">IF(AS300="","",AS300+ROW()/100000)</f>
        <v/>
      </c>
      <c r="AX300" s="46" t="str">
        <f aca="false">IF(AT300="","",AT300+ROW()/100000)</f>
        <v/>
      </c>
    </row>
    <row r="301" customFormat="false" ht="15" hidden="false" customHeight="false" outlineLevel="0" collapsed="false">
      <c r="A301" s="9" t="str">
        <f aca="false">IF(B301="","",ROW()-5)</f>
        <v/>
      </c>
      <c r="B301" s="40"/>
      <c r="C301" s="8"/>
      <c r="D301" s="9" t="str">
        <f aca="false">IF(B301="","",IF(J301="","Active","Exited"))</f>
        <v/>
      </c>
      <c r="E301" s="8"/>
      <c r="F301" s="8"/>
      <c r="G301" s="8"/>
      <c r="H301" s="9" t="str">
        <f aca="false">IF(OR(B301="",I301=""),"",IF(IF(J301="",AsOf,J301)-I301&gt;=Settings!$C$13,"Permanent","Probation"))</f>
        <v/>
      </c>
      <c r="I301" s="41"/>
      <c r="J301" s="41"/>
      <c r="K301" s="8"/>
      <c r="L301" s="42" t="str">
        <f aca="false">IF(OR(B301="",I301=""),"",ROUND((IF(J301="",AsOf,J301)-I301)/365.25,1))</f>
        <v/>
      </c>
      <c r="M301" s="8"/>
      <c r="N301" s="8"/>
      <c r="O301" s="8"/>
      <c r="P301" s="8"/>
      <c r="Q301" s="41"/>
      <c r="R301" s="43" t="str">
        <f aca="false">IF(OR(B301="",Q301=""),"",INT((AsOf-Q301)/365.25))</f>
        <v/>
      </c>
      <c r="S301" s="8"/>
      <c r="T301" s="40"/>
      <c r="U301" s="40"/>
      <c r="V301" s="40"/>
      <c r="W301" s="40"/>
      <c r="X301" s="8"/>
      <c r="Y301" s="8"/>
      <c r="Z301" s="8"/>
      <c r="AA301" s="8"/>
      <c r="AB301" s="8"/>
      <c r="AC301" s="8"/>
      <c r="AD301" s="8"/>
      <c r="AE301" s="40"/>
      <c r="AF301" s="8"/>
      <c r="AG301" s="40"/>
      <c r="AH301" s="40"/>
      <c r="AI301" s="8"/>
      <c r="AJ301" s="40"/>
      <c r="AK301" s="40"/>
      <c r="AL301" s="40"/>
      <c r="AM301" s="44"/>
      <c r="AN301" s="44"/>
      <c r="AO301" s="41"/>
      <c r="AP301" s="45" t="str">
        <f aca="false">IF(B301="","",IF(AND(ISNUMBER(AM301),ISNUMBER(AN301),AM301&gt;0,AN301&gt;0),AN301/AM301-1,""))</f>
        <v/>
      </c>
      <c r="AQ301" s="9" t="str">
        <f aca="false">IF(I301="","",(YEAR(I301)-IF(MONTH(I301)&lt;4,1,0))&amp;"-"&amp;RIGHT((YEAR(I301)-IF(MONTH(I301)&lt;4,1,0))+1,2))</f>
        <v/>
      </c>
      <c r="AR301" s="9" t="str">
        <f aca="false">IF(J301="","",(YEAR(J301)-IF(MONTH(J301)&lt;4,1,0))&amp;"-"&amp;RIGHT((YEAR(J301)-IF(MONTH(J301)&lt;4,1,0))+1,2))</f>
        <v/>
      </c>
      <c r="AS301" s="43" t="str">
        <f aca="false">IF(OR(B301="",Q301="",D301&lt;&gt;"Active"),"",DATE(YEAR(AsOf)+IF(DATE(YEAR(AsOf),MONTH(Q301),DAY(Q301))&lt;AsOf,1,0),MONTH(Q301),DAY(Q301))-AsOf)</f>
        <v/>
      </c>
      <c r="AT301" s="43" t="str">
        <f aca="false">IF(OR(B301="",I301="",D301&lt;&gt;"Active"),"",IF(YEAR(DATE(YEAR(AsOf)+IF(DATE(YEAR(AsOf),MONTH(I301),DAY(I301))&lt;AsOf,1,0),MONTH(I301),DAY(I301)))-YEAR(I301)&lt;1,"",DATE(YEAR(AsOf)+IF(DATE(YEAR(AsOf),MONTH(I301),DAY(I301))&lt;AsOf,1,0),MONTH(I301),DAY(I301))-AsOf))</f>
        <v/>
      </c>
      <c r="AU301" s="43" t="str">
        <f aca="false">IF(B301="","",IF(AV301="",0,LEN(AV301)-LEN(SUBSTITUTE(AV301,";",""))))</f>
        <v/>
      </c>
      <c r="AV301" s="9" t="str">
        <f aca="false">IF(B301="","",IF(COUNTIF($B$6:$B$505,B301)&gt;1,"Duplicate Emp Code; ","")&amp;IF(C301="","Name missing; ","")&amp;IF(I301="","DOJ missing; ","")&amp;IF(AND(J301&lt;&gt;"",I301&lt;&gt;"",J301&lt;I301),"Exit before DOJ; ","")&amp;IF(Q301="","DOB missing; ","")&amp;IF(T301="","Aadhaar missing; ",IF(LEN(T301)&lt;&gt;12,"Aadhaar not 12 digits; ",IF(COUNTIF($T$6:$T$505,T301)&gt;1,"Duplicate Aadhaar; ","")))&amp;IF(U301="","PAN missing; ",IF(LEN(U301)&lt;&gt;10,"PAN not 10 chars; ",""))&amp;IF(V301="","Mobile missing; ",IF(LEN(V301)&lt;&gt;10,"Mobile not 10 digits; ",""))&amp;IF(AG301="","Bank A/c missing; ","")&amp;IF(AH301="","IFSC missing; ",IF(LEN(AH301)&lt;&gt;11,"IFSC not 11 chars; ","")))</f>
        <v/>
      </c>
      <c r="AW301" s="46" t="str">
        <f aca="false">IF(AS301="","",AS301+ROW()/100000)</f>
        <v/>
      </c>
      <c r="AX301" s="46" t="str">
        <f aca="false">IF(AT301="","",AT301+ROW()/100000)</f>
        <v/>
      </c>
    </row>
    <row r="302" customFormat="false" ht="15" hidden="false" customHeight="false" outlineLevel="0" collapsed="false">
      <c r="A302" s="9" t="str">
        <f aca="false">IF(B302="","",ROW()-5)</f>
        <v/>
      </c>
      <c r="B302" s="40"/>
      <c r="C302" s="8"/>
      <c r="D302" s="9" t="str">
        <f aca="false">IF(B302="","",IF(J302="","Active","Exited"))</f>
        <v/>
      </c>
      <c r="E302" s="8"/>
      <c r="F302" s="8"/>
      <c r="G302" s="8"/>
      <c r="H302" s="9" t="str">
        <f aca="false">IF(OR(B302="",I302=""),"",IF(IF(J302="",AsOf,J302)-I302&gt;=Settings!$C$13,"Permanent","Probation"))</f>
        <v/>
      </c>
      <c r="I302" s="41"/>
      <c r="J302" s="41"/>
      <c r="K302" s="8"/>
      <c r="L302" s="42" t="str">
        <f aca="false">IF(OR(B302="",I302=""),"",ROUND((IF(J302="",AsOf,J302)-I302)/365.25,1))</f>
        <v/>
      </c>
      <c r="M302" s="8"/>
      <c r="N302" s="8"/>
      <c r="O302" s="8"/>
      <c r="P302" s="8"/>
      <c r="Q302" s="41"/>
      <c r="R302" s="43" t="str">
        <f aca="false">IF(OR(B302="",Q302=""),"",INT((AsOf-Q302)/365.25))</f>
        <v/>
      </c>
      <c r="S302" s="8"/>
      <c r="T302" s="40"/>
      <c r="U302" s="40"/>
      <c r="V302" s="40"/>
      <c r="W302" s="40"/>
      <c r="X302" s="8"/>
      <c r="Y302" s="8"/>
      <c r="Z302" s="8"/>
      <c r="AA302" s="8"/>
      <c r="AB302" s="8"/>
      <c r="AC302" s="8"/>
      <c r="AD302" s="8"/>
      <c r="AE302" s="40"/>
      <c r="AF302" s="8"/>
      <c r="AG302" s="40"/>
      <c r="AH302" s="40"/>
      <c r="AI302" s="8"/>
      <c r="AJ302" s="40"/>
      <c r="AK302" s="40"/>
      <c r="AL302" s="40"/>
      <c r="AM302" s="44"/>
      <c r="AN302" s="44"/>
      <c r="AO302" s="41"/>
      <c r="AP302" s="45" t="str">
        <f aca="false">IF(B302="","",IF(AND(ISNUMBER(AM302),ISNUMBER(AN302),AM302&gt;0,AN302&gt;0),AN302/AM302-1,""))</f>
        <v/>
      </c>
      <c r="AQ302" s="9" t="str">
        <f aca="false">IF(I302="","",(YEAR(I302)-IF(MONTH(I302)&lt;4,1,0))&amp;"-"&amp;RIGHT((YEAR(I302)-IF(MONTH(I302)&lt;4,1,0))+1,2))</f>
        <v/>
      </c>
      <c r="AR302" s="9" t="str">
        <f aca="false">IF(J302="","",(YEAR(J302)-IF(MONTH(J302)&lt;4,1,0))&amp;"-"&amp;RIGHT((YEAR(J302)-IF(MONTH(J302)&lt;4,1,0))+1,2))</f>
        <v/>
      </c>
      <c r="AS302" s="43" t="str">
        <f aca="false">IF(OR(B302="",Q302="",D302&lt;&gt;"Active"),"",DATE(YEAR(AsOf)+IF(DATE(YEAR(AsOf),MONTH(Q302),DAY(Q302))&lt;AsOf,1,0),MONTH(Q302),DAY(Q302))-AsOf)</f>
        <v/>
      </c>
      <c r="AT302" s="43" t="str">
        <f aca="false">IF(OR(B302="",I302="",D302&lt;&gt;"Active"),"",IF(YEAR(DATE(YEAR(AsOf)+IF(DATE(YEAR(AsOf),MONTH(I302),DAY(I302))&lt;AsOf,1,0),MONTH(I302),DAY(I302)))-YEAR(I302)&lt;1,"",DATE(YEAR(AsOf)+IF(DATE(YEAR(AsOf),MONTH(I302),DAY(I302))&lt;AsOf,1,0),MONTH(I302),DAY(I302))-AsOf))</f>
        <v/>
      </c>
      <c r="AU302" s="43" t="str">
        <f aca="false">IF(B302="","",IF(AV302="",0,LEN(AV302)-LEN(SUBSTITUTE(AV302,";",""))))</f>
        <v/>
      </c>
      <c r="AV302" s="9" t="str">
        <f aca="false">IF(B302="","",IF(COUNTIF($B$6:$B$505,B302)&gt;1,"Duplicate Emp Code; ","")&amp;IF(C302="","Name missing; ","")&amp;IF(I302="","DOJ missing; ","")&amp;IF(AND(J302&lt;&gt;"",I302&lt;&gt;"",J302&lt;I302),"Exit before DOJ; ","")&amp;IF(Q302="","DOB missing; ","")&amp;IF(T302="","Aadhaar missing; ",IF(LEN(T302)&lt;&gt;12,"Aadhaar not 12 digits; ",IF(COUNTIF($T$6:$T$505,T302)&gt;1,"Duplicate Aadhaar; ","")))&amp;IF(U302="","PAN missing; ",IF(LEN(U302)&lt;&gt;10,"PAN not 10 chars; ",""))&amp;IF(V302="","Mobile missing; ",IF(LEN(V302)&lt;&gt;10,"Mobile not 10 digits; ",""))&amp;IF(AG302="","Bank A/c missing; ","")&amp;IF(AH302="","IFSC missing; ",IF(LEN(AH302)&lt;&gt;11,"IFSC not 11 chars; ","")))</f>
        <v/>
      </c>
      <c r="AW302" s="46" t="str">
        <f aca="false">IF(AS302="","",AS302+ROW()/100000)</f>
        <v/>
      </c>
      <c r="AX302" s="46" t="str">
        <f aca="false">IF(AT302="","",AT302+ROW()/100000)</f>
        <v/>
      </c>
    </row>
    <row r="303" customFormat="false" ht="15" hidden="false" customHeight="false" outlineLevel="0" collapsed="false">
      <c r="A303" s="9" t="str">
        <f aca="false">IF(B303="","",ROW()-5)</f>
        <v/>
      </c>
      <c r="B303" s="40"/>
      <c r="C303" s="8"/>
      <c r="D303" s="9" t="str">
        <f aca="false">IF(B303="","",IF(J303="","Active","Exited"))</f>
        <v/>
      </c>
      <c r="E303" s="8"/>
      <c r="F303" s="8"/>
      <c r="G303" s="8"/>
      <c r="H303" s="9" t="str">
        <f aca="false">IF(OR(B303="",I303=""),"",IF(IF(J303="",AsOf,J303)-I303&gt;=Settings!$C$13,"Permanent","Probation"))</f>
        <v/>
      </c>
      <c r="I303" s="41"/>
      <c r="J303" s="41"/>
      <c r="K303" s="8"/>
      <c r="L303" s="42" t="str">
        <f aca="false">IF(OR(B303="",I303=""),"",ROUND((IF(J303="",AsOf,J303)-I303)/365.25,1))</f>
        <v/>
      </c>
      <c r="M303" s="8"/>
      <c r="N303" s="8"/>
      <c r="O303" s="8"/>
      <c r="P303" s="8"/>
      <c r="Q303" s="41"/>
      <c r="R303" s="43" t="str">
        <f aca="false">IF(OR(B303="",Q303=""),"",INT((AsOf-Q303)/365.25))</f>
        <v/>
      </c>
      <c r="S303" s="8"/>
      <c r="T303" s="40"/>
      <c r="U303" s="40"/>
      <c r="V303" s="40"/>
      <c r="W303" s="40"/>
      <c r="X303" s="8"/>
      <c r="Y303" s="8"/>
      <c r="Z303" s="8"/>
      <c r="AA303" s="8"/>
      <c r="AB303" s="8"/>
      <c r="AC303" s="8"/>
      <c r="AD303" s="8"/>
      <c r="AE303" s="40"/>
      <c r="AF303" s="8"/>
      <c r="AG303" s="40"/>
      <c r="AH303" s="40"/>
      <c r="AI303" s="8"/>
      <c r="AJ303" s="40"/>
      <c r="AK303" s="40"/>
      <c r="AL303" s="40"/>
      <c r="AM303" s="44"/>
      <c r="AN303" s="44"/>
      <c r="AO303" s="41"/>
      <c r="AP303" s="45" t="str">
        <f aca="false">IF(B303="","",IF(AND(ISNUMBER(AM303),ISNUMBER(AN303),AM303&gt;0,AN303&gt;0),AN303/AM303-1,""))</f>
        <v/>
      </c>
      <c r="AQ303" s="9" t="str">
        <f aca="false">IF(I303="","",(YEAR(I303)-IF(MONTH(I303)&lt;4,1,0))&amp;"-"&amp;RIGHT((YEAR(I303)-IF(MONTH(I303)&lt;4,1,0))+1,2))</f>
        <v/>
      </c>
      <c r="AR303" s="9" t="str">
        <f aca="false">IF(J303="","",(YEAR(J303)-IF(MONTH(J303)&lt;4,1,0))&amp;"-"&amp;RIGHT((YEAR(J303)-IF(MONTH(J303)&lt;4,1,0))+1,2))</f>
        <v/>
      </c>
      <c r="AS303" s="43" t="str">
        <f aca="false">IF(OR(B303="",Q303="",D303&lt;&gt;"Active"),"",DATE(YEAR(AsOf)+IF(DATE(YEAR(AsOf),MONTH(Q303),DAY(Q303))&lt;AsOf,1,0),MONTH(Q303),DAY(Q303))-AsOf)</f>
        <v/>
      </c>
      <c r="AT303" s="43" t="str">
        <f aca="false">IF(OR(B303="",I303="",D303&lt;&gt;"Active"),"",IF(YEAR(DATE(YEAR(AsOf)+IF(DATE(YEAR(AsOf),MONTH(I303),DAY(I303))&lt;AsOf,1,0),MONTH(I303),DAY(I303)))-YEAR(I303)&lt;1,"",DATE(YEAR(AsOf)+IF(DATE(YEAR(AsOf),MONTH(I303),DAY(I303))&lt;AsOf,1,0),MONTH(I303),DAY(I303))-AsOf))</f>
        <v/>
      </c>
      <c r="AU303" s="43" t="str">
        <f aca="false">IF(B303="","",IF(AV303="",0,LEN(AV303)-LEN(SUBSTITUTE(AV303,";",""))))</f>
        <v/>
      </c>
      <c r="AV303" s="9" t="str">
        <f aca="false">IF(B303="","",IF(COUNTIF($B$6:$B$505,B303)&gt;1,"Duplicate Emp Code; ","")&amp;IF(C303="","Name missing; ","")&amp;IF(I303="","DOJ missing; ","")&amp;IF(AND(J303&lt;&gt;"",I303&lt;&gt;"",J303&lt;I303),"Exit before DOJ; ","")&amp;IF(Q303="","DOB missing; ","")&amp;IF(T303="","Aadhaar missing; ",IF(LEN(T303)&lt;&gt;12,"Aadhaar not 12 digits; ",IF(COUNTIF($T$6:$T$505,T303)&gt;1,"Duplicate Aadhaar; ","")))&amp;IF(U303="","PAN missing; ",IF(LEN(U303)&lt;&gt;10,"PAN not 10 chars; ",""))&amp;IF(V303="","Mobile missing; ",IF(LEN(V303)&lt;&gt;10,"Mobile not 10 digits; ",""))&amp;IF(AG303="","Bank A/c missing; ","")&amp;IF(AH303="","IFSC missing; ",IF(LEN(AH303)&lt;&gt;11,"IFSC not 11 chars; ","")))</f>
        <v/>
      </c>
      <c r="AW303" s="46" t="str">
        <f aca="false">IF(AS303="","",AS303+ROW()/100000)</f>
        <v/>
      </c>
      <c r="AX303" s="46" t="str">
        <f aca="false">IF(AT303="","",AT303+ROW()/100000)</f>
        <v/>
      </c>
    </row>
    <row r="304" customFormat="false" ht="15" hidden="false" customHeight="false" outlineLevel="0" collapsed="false">
      <c r="A304" s="9" t="str">
        <f aca="false">IF(B304="","",ROW()-5)</f>
        <v/>
      </c>
      <c r="B304" s="40"/>
      <c r="C304" s="8"/>
      <c r="D304" s="9" t="str">
        <f aca="false">IF(B304="","",IF(J304="","Active","Exited"))</f>
        <v/>
      </c>
      <c r="E304" s="8"/>
      <c r="F304" s="8"/>
      <c r="G304" s="8"/>
      <c r="H304" s="9" t="str">
        <f aca="false">IF(OR(B304="",I304=""),"",IF(IF(J304="",AsOf,J304)-I304&gt;=Settings!$C$13,"Permanent","Probation"))</f>
        <v/>
      </c>
      <c r="I304" s="41"/>
      <c r="J304" s="41"/>
      <c r="K304" s="8"/>
      <c r="L304" s="42" t="str">
        <f aca="false">IF(OR(B304="",I304=""),"",ROUND((IF(J304="",AsOf,J304)-I304)/365.25,1))</f>
        <v/>
      </c>
      <c r="M304" s="8"/>
      <c r="N304" s="8"/>
      <c r="O304" s="8"/>
      <c r="P304" s="8"/>
      <c r="Q304" s="41"/>
      <c r="R304" s="43" t="str">
        <f aca="false">IF(OR(B304="",Q304=""),"",INT((AsOf-Q304)/365.25))</f>
        <v/>
      </c>
      <c r="S304" s="8"/>
      <c r="T304" s="40"/>
      <c r="U304" s="40"/>
      <c r="V304" s="40"/>
      <c r="W304" s="40"/>
      <c r="X304" s="8"/>
      <c r="Y304" s="8"/>
      <c r="Z304" s="8"/>
      <c r="AA304" s="8"/>
      <c r="AB304" s="8"/>
      <c r="AC304" s="8"/>
      <c r="AD304" s="8"/>
      <c r="AE304" s="40"/>
      <c r="AF304" s="8"/>
      <c r="AG304" s="40"/>
      <c r="AH304" s="40"/>
      <c r="AI304" s="8"/>
      <c r="AJ304" s="40"/>
      <c r="AK304" s="40"/>
      <c r="AL304" s="40"/>
      <c r="AM304" s="44"/>
      <c r="AN304" s="44"/>
      <c r="AO304" s="41"/>
      <c r="AP304" s="45" t="str">
        <f aca="false">IF(B304="","",IF(AND(ISNUMBER(AM304),ISNUMBER(AN304),AM304&gt;0,AN304&gt;0),AN304/AM304-1,""))</f>
        <v/>
      </c>
      <c r="AQ304" s="9" t="str">
        <f aca="false">IF(I304="","",(YEAR(I304)-IF(MONTH(I304)&lt;4,1,0))&amp;"-"&amp;RIGHT((YEAR(I304)-IF(MONTH(I304)&lt;4,1,0))+1,2))</f>
        <v/>
      </c>
      <c r="AR304" s="9" t="str">
        <f aca="false">IF(J304="","",(YEAR(J304)-IF(MONTH(J304)&lt;4,1,0))&amp;"-"&amp;RIGHT((YEAR(J304)-IF(MONTH(J304)&lt;4,1,0))+1,2))</f>
        <v/>
      </c>
      <c r="AS304" s="43" t="str">
        <f aca="false">IF(OR(B304="",Q304="",D304&lt;&gt;"Active"),"",DATE(YEAR(AsOf)+IF(DATE(YEAR(AsOf),MONTH(Q304),DAY(Q304))&lt;AsOf,1,0),MONTH(Q304),DAY(Q304))-AsOf)</f>
        <v/>
      </c>
      <c r="AT304" s="43" t="str">
        <f aca="false">IF(OR(B304="",I304="",D304&lt;&gt;"Active"),"",IF(YEAR(DATE(YEAR(AsOf)+IF(DATE(YEAR(AsOf),MONTH(I304),DAY(I304))&lt;AsOf,1,0),MONTH(I304),DAY(I304)))-YEAR(I304)&lt;1,"",DATE(YEAR(AsOf)+IF(DATE(YEAR(AsOf),MONTH(I304),DAY(I304))&lt;AsOf,1,0),MONTH(I304),DAY(I304))-AsOf))</f>
        <v/>
      </c>
      <c r="AU304" s="43" t="str">
        <f aca="false">IF(B304="","",IF(AV304="",0,LEN(AV304)-LEN(SUBSTITUTE(AV304,";",""))))</f>
        <v/>
      </c>
      <c r="AV304" s="9" t="str">
        <f aca="false">IF(B304="","",IF(COUNTIF($B$6:$B$505,B304)&gt;1,"Duplicate Emp Code; ","")&amp;IF(C304="","Name missing; ","")&amp;IF(I304="","DOJ missing; ","")&amp;IF(AND(J304&lt;&gt;"",I304&lt;&gt;"",J304&lt;I304),"Exit before DOJ; ","")&amp;IF(Q304="","DOB missing; ","")&amp;IF(T304="","Aadhaar missing; ",IF(LEN(T304)&lt;&gt;12,"Aadhaar not 12 digits; ",IF(COUNTIF($T$6:$T$505,T304)&gt;1,"Duplicate Aadhaar; ","")))&amp;IF(U304="","PAN missing; ",IF(LEN(U304)&lt;&gt;10,"PAN not 10 chars; ",""))&amp;IF(V304="","Mobile missing; ",IF(LEN(V304)&lt;&gt;10,"Mobile not 10 digits; ",""))&amp;IF(AG304="","Bank A/c missing; ","")&amp;IF(AH304="","IFSC missing; ",IF(LEN(AH304)&lt;&gt;11,"IFSC not 11 chars; ","")))</f>
        <v/>
      </c>
      <c r="AW304" s="46" t="str">
        <f aca="false">IF(AS304="","",AS304+ROW()/100000)</f>
        <v/>
      </c>
      <c r="AX304" s="46" t="str">
        <f aca="false">IF(AT304="","",AT304+ROW()/100000)</f>
        <v/>
      </c>
    </row>
    <row r="305" customFormat="false" ht="15" hidden="false" customHeight="false" outlineLevel="0" collapsed="false">
      <c r="A305" s="9" t="str">
        <f aca="false">IF(B305="","",ROW()-5)</f>
        <v/>
      </c>
      <c r="B305" s="40"/>
      <c r="C305" s="8"/>
      <c r="D305" s="9" t="str">
        <f aca="false">IF(B305="","",IF(J305="","Active","Exited"))</f>
        <v/>
      </c>
      <c r="E305" s="8"/>
      <c r="F305" s="8"/>
      <c r="G305" s="8"/>
      <c r="H305" s="9" t="str">
        <f aca="false">IF(OR(B305="",I305=""),"",IF(IF(J305="",AsOf,J305)-I305&gt;=Settings!$C$13,"Permanent","Probation"))</f>
        <v/>
      </c>
      <c r="I305" s="41"/>
      <c r="J305" s="41"/>
      <c r="K305" s="8"/>
      <c r="L305" s="42" t="str">
        <f aca="false">IF(OR(B305="",I305=""),"",ROUND((IF(J305="",AsOf,J305)-I305)/365.25,1))</f>
        <v/>
      </c>
      <c r="M305" s="8"/>
      <c r="N305" s="8"/>
      <c r="O305" s="8"/>
      <c r="P305" s="8"/>
      <c r="Q305" s="41"/>
      <c r="R305" s="43" t="str">
        <f aca="false">IF(OR(B305="",Q305=""),"",INT((AsOf-Q305)/365.25))</f>
        <v/>
      </c>
      <c r="S305" s="8"/>
      <c r="T305" s="40"/>
      <c r="U305" s="40"/>
      <c r="V305" s="40"/>
      <c r="W305" s="40"/>
      <c r="X305" s="8"/>
      <c r="Y305" s="8"/>
      <c r="Z305" s="8"/>
      <c r="AA305" s="8"/>
      <c r="AB305" s="8"/>
      <c r="AC305" s="8"/>
      <c r="AD305" s="8"/>
      <c r="AE305" s="40"/>
      <c r="AF305" s="8"/>
      <c r="AG305" s="40"/>
      <c r="AH305" s="40"/>
      <c r="AI305" s="8"/>
      <c r="AJ305" s="40"/>
      <c r="AK305" s="40"/>
      <c r="AL305" s="40"/>
      <c r="AM305" s="44"/>
      <c r="AN305" s="44"/>
      <c r="AO305" s="41"/>
      <c r="AP305" s="45" t="str">
        <f aca="false">IF(B305="","",IF(AND(ISNUMBER(AM305),ISNUMBER(AN305),AM305&gt;0,AN305&gt;0),AN305/AM305-1,""))</f>
        <v/>
      </c>
      <c r="AQ305" s="9" t="str">
        <f aca="false">IF(I305="","",(YEAR(I305)-IF(MONTH(I305)&lt;4,1,0))&amp;"-"&amp;RIGHT((YEAR(I305)-IF(MONTH(I305)&lt;4,1,0))+1,2))</f>
        <v/>
      </c>
      <c r="AR305" s="9" t="str">
        <f aca="false">IF(J305="","",(YEAR(J305)-IF(MONTH(J305)&lt;4,1,0))&amp;"-"&amp;RIGHT((YEAR(J305)-IF(MONTH(J305)&lt;4,1,0))+1,2))</f>
        <v/>
      </c>
      <c r="AS305" s="43" t="str">
        <f aca="false">IF(OR(B305="",Q305="",D305&lt;&gt;"Active"),"",DATE(YEAR(AsOf)+IF(DATE(YEAR(AsOf),MONTH(Q305),DAY(Q305))&lt;AsOf,1,0),MONTH(Q305),DAY(Q305))-AsOf)</f>
        <v/>
      </c>
      <c r="AT305" s="43" t="str">
        <f aca="false">IF(OR(B305="",I305="",D305&lt;&gt;"Active"),"",IF(YEAR(DATE(YEAR(AsOf)+IF(DATE(YEAR(AsOf),MONTH(I305),DAY(I305))&lt;AsOf,1,0),MONTH(I305),DAY(I305)))-YEAR(I305)&lt;1,"",DATE(YEAR(AsOf)+IF(DATE(YEAR(AsOf),MONTH(I305),DAY(I305))&lt;AsOf,1,0),MONTH(I305),DAY(I305))-AsOf))</f>
        <v/>
      </c>
      <c r="AU305" s="43" t="str">
        <f aca="false">IF(B305="","",IF(AV305="",0,LEN(AV305)-LEN(SUBSTITUTE(AV305,";",""))))</f>
        <v/>
      </c>
      <c r="AV305" s="9" t="str">
        <f aca="false">IF(B305="","",IF(COUNTIF($B$6:$B$505,B305)&gt;1,"Duplicate Emp Code; ","")&amp;IF(C305="","Name missing; ","")&amp;IF(I305="","DOJ missing; ","")&amp;IF(AND(J305&lt;&gt;"",I305&lt;&gt;"",J305&lt;I305),"Exit before DOJ; ","")&amp;IF(Q305="","DOB missing; ","")&amp;IF(T305="","Aadhaar missing; ",IF(LEN(T305)&lt;&gt;12,"Aadhaar not 12 digits; ",IF(COUNTIF($T$6:$T$505,T305)&gt;1,"Duplicate Aadhaar; ","")))&amp;IF(U305="","PAN missing; ",IF(LEN(U305)&lt;&gt;10,"PAN not 10 chars; ",""))&amp;IF(V305="","Mobile missing; ",IF(LEN(V305)&lt;&gt;10,"Mobile not 10 digits; ",""))&amp;IF(AG305="","Bank A/c missing; ","")&amp;IF(AH305="","IFSC missing; ",IF(LEN(AH305)&lt;&gt;11,"IFSC not 11 chars; ","")))</f>
        <v/>
      </c>
      <c r="AW305" s="46" t="str">
        <f aca="false">IF(AS305="","",AS305+ROW()/100000)</f>
        <v/>
      </c>
      <c r="AX305" s="46" t="str">
        <f aca="false">IF(AT305="","",AT305+ROW()/100000)</f>
        <v/>
      </c>
    </row>
    <row r="306" customFormat="false" ht="15" hidden="false" customHeight="false" outlineLevel="0" collapsed="false">
      <c r="A306" s="9" t="str">
        <f aca="false">IF(B306="","",ROW()-5)</f>
        <v/>
      </c>
      <c r="B306" s="40"/>
      <c r="C306" s="8"/>
      <c r="D306" s="9" t="str">
        <f aca="false">IF(B306="","",IF(J306="","Active","Exited"))</f>
        <v/>
      </c>
      <c r="E306" s="8"/>
      <c r="F306" s="8"/>
      <c r="G306" s="8"/>
      <c r="H306" s="9" t="str">
        <f aca="false">IF(OR(B306="",I306=""),"",IF(IF(J306="",AsOf,J306)-I306&gt;=Settings!$C$13,"Permanent","Probation"))</f>
        <v/>
      </c>
      <c r="I306" s="41"/>
      <c r="J306" s="41"/>
      <c r="K306" s="8"/>
      <c r="L306" s="42" t="str">
        <f aca="false">IF(OR(B306="",I306=""),"",ROUND((IF(J306="",AsOf,J306)-I306)/365.25,1))</f>
        <v/>
      </c>
      <c r="M306" s="8"/>
      <c r="N306" s="8"/>
      <c r="O306" s="8"/>
      <c r="P306" s="8"/>
      <c r="Q306" s="41"/>
      <c r="R306" s="43" t="str">
        <f aca="false">IF(OR(B306="",Q306=""),"",INT((AsOf-Q306)/365.25))</f>
        <v/>
      </c>
      <c r="S306" s="8"/>
      <c r="T306" s="40"/>
      <c r="U306" s="40"/>
      <c r="V306" s="40"/>
      <c r="W306" s="40"/>
      <c r="X306" s="8"/>
      <c r="Y306" s="8"/>
      <c r="Z306" s="8"/>
      <c r="AA306" s="8"/>
      <c r="AB306" s="8"/>
      <c r="AC306" s="8"/>
      <c r="AD306" s="8"/>
      <c r="AE306" s="40"/>
      <c r="AF306" s="8"/>
      <c r="AG306" s="40"/>
      <c r="AH306" s="40"/>
      <c r="AI306" s="8"/>
      <c r="AJ306" s="40"/>
      <c r="AK306" s="40"/>
      <c r="AL306" s="40"/>
      <c r="AM306" s="44"/>
      <c r="AN306" s="44"/>
      <c r="AO306" s="41"/>
      <c r="AP306" s="45" t="str">
        <f aca="false">IF(B306="","",IF(AND(ISNUMBER(AM306),ISNUMBER(AN306),AM306&gt;0,AN306&gt;0),AN306/AM306-1,""))</f>
        <v/>
      </c>
      <c r="AQ306" s="9" t="str">
        <f aca="false">IF(I306="","",(YEAR(I306)-IF(MONTH(I306)&lt;4,1,0))&amp;"-"&amp;RIGHT((YEAR(I306)-IF(MONTH(I306)&lt;4,1,0))+1,2))</f>
        <v/>
      </c>
      <c r="AR306" s="9" t="str">
        <f aca="false">IF(J306="","",(YEAR(J306)-IF(MONTH(J306)&lt;4,1,0))&amp;"-"&amp;RIGHT((YEAR(J306)-IF(MONTH(J306)&lt;4,1,0))+1,2))</f>
        <v/>
      </c>
      <c r="AS306" s="43" t="str">
        <f aca="false">IF(OR(B306="",Q306="",D306&lt;&gt;"Active"),"",DATE(YEAR(AsOf)+IF(DATE(YEAR(AsOf),MONTH(Q306),DAY(Q306))&lt;AsOf,1,0),MONTH(Q306),DAY(Q306))-AsOf)</f>
        <v/>
      </c>
      <c r="AT306" s="43" t="str">
        <f aca="false">IF(OR(B306="",I306="",D306&lt;&gt;"Active"),"",IF(YEAR(DATE(YEAR(AsOf)+IF(DATE(YEAR(AsOf),MONTH(I306),DAY(I306))&lt;AsOf,1,0),MONTH(I306),DAY(I306)))-YEAR(I306)&lt;1,"",DATE(YEAR(AsOf)+IF(DATE(YEAR(AsOf),MONTH(I306),DAY(I306))&lt;AsOf,1,0),MONTH(I306),DAY(I306))-AsOf))</f>
        <v/>
      </c>
      <c r="AU306" s="43" t="str">
        <f aca="false">IF(B306="","",IF(AV306="",0,LEN(AV306)-LEN(SUBSTITUTE(AV306,";",""))))</f>
        <v/>
      </c>
      <c r="AV306" s="9" t="str">
        <f aca="false">IF(B306="","",IF(COUNTIF($B$6:$B$505,B306)&gt;1,"Duplicate Emp Code; ","")&amp;IF(C306="","Name missing; ","")&amp;IF(I306="","DOJ missing; ","")&amp;IF(AND(J306&lt;&gt;"",I306&lt;&gt;"",J306&lt;I306),"Exit before DOJ; ","")&amp;IF(Q306="","DOB missing; ","")&amp;IF(T306="","Aadhaar missing; ",IF(LEN(T306)&lt;&gt;12,"Aadhaar not 12 digits; ",IF(COUNTIF($T$6:$T$505,T306)&gt;1,"Duplicate Aadhaar; ","")))&amp;IF(U306="","PAN missing; ",IF(LEN(U306)&lt;&gt;10,"PAN not 10 chars; ",""))&amp;IF(V306="","Mobile missing; ",IF(LEN(V306)&lt;&gt;10,"Mobile not 10 digits; ",""))&amp;IF(AG306="","Bank A/c missing; ","")&amp;IF(AH306="","IFSC missing; ",IF(LEN(AH306)&lt;&gt;11,"IFSC not 11 chars; ","")))</f>
        <v/>
      </c>
      <c r="AW306" s="46" t="str">
        <f aca="false">IF(AS306="","",AS306+ROW()/100000)</f>
        <v/>
      </c>
      <c r="AX306" s="46" t="str">
        <f aca="false">IF(AT306="","",AT306+ROW()/100000)</f>
        <v/>
      </c>
    </row>
    <row r="307" customFormat="false" ht="15" hidden="false" customHeight="false" outlineLevel="0" collapsed="false">
      <c r="A307" s="9" t="str">
        <f aca="false">IF(B307="","",ROW()-5)</f>
        <v/>
      </c>
      <c r="B307" s="40"/>
      <c r="C307" s="8"/>
      <c r="D307" s="9" t="str">
        <f aca="false">IF(B307="","",IF(J307="","Active","Exited"))</f>
        <v/>
      </c>
      <c r="E307" s="8"/>
      <c r="F307" s="8"/>
      <c r="G307" s="8"/>
      <c r="H307" s="9" t="str">
        <f aca="false">IF(OR(B307="",I307=""),"",IF(IF(J307="",AsOf,J307)-I307&gt;=Settings!$C$13,"Permanent","Probation"))</f>
        <v/>
      </c>
      <c r="I307" s="41"/>
      <c r="J307" s="41"/>
      <c r="K307" s="8"/>
      <c r="L307" s="42" t="str">
        <f aca="false">IF(OR(B307="",I307=""),"",ROUND((IF(J307="",AsOf,J307)-I307)/365.25,1))</f>
        <v/>
      </c>
      <c r="M307" s="8"/>
      <c r="N307" s="8"/>
      <c r="O307" s="8"/>
      <c r="P307" s="8"/>
      <c r="Q307" s="41"/>
      <c r="R307" s="43" t="str">
        <f aca="false">IF(OR(B307="",Q307=""),"",INT((AsOf-Q307)/365.25))</f>
        <v/>
      </c>
      <c r="S307" s="8"/>
      <c r="T307" s="40"/>
      <c r="U307" s="40"/>
      <c r="V307" s="40"/>
      <c r="W307" s="40"/>
      <c r="X307" s="8"/>
      <c r="Y307" s="8"/>
      <c r="Z307" s="8"/>
      <c r="AA307" s="8"/>
      <c r="AB307" s="8"/>
      <c r="AC307" s="8"/>
      <c r="AD307" s="8"/>
      <c r="AE307" s="40"/>
      <c r="AF307" s="8"/>
      <c r="AG307" s="40"/>
      <c r="AH307" s="40"/>
      <c r="AI307" s="8"/>
      <c r="AJ307" s="40"/>
      <c r="AK307" s="40"/>
      <c r="AL307" s="40"/>
      <c r="AM307" s="44"/>
      <c r="AN307" s="44"/>
      <c r="AO307" s="41"/>
      <c r="AP307" s="45" t="str">
        <f aca="false">IF(B307="","",IF(AND(ISNUMBER(AM307),ISNUMBER(AN307),AM307&gt;0,AN307&gt;0),AN307/AM307-1,""))</f>
        <v/>
      </c>
      <c r="AQ307" s="9" t="str">
        <f aca="false">IF(I307="","",(YEAR(I307)-IF(MONTH(I307)&lt;4,1,0))&amp;"-"&amp;RIGHT((YEAR(I307)-IF(MONTH(I307)&lt;4,1,0))+1,2))</f>
        <v/>
      </c>
      <c r="AR307" s="9" t="str">
        <f aca="false">IF(J307="","",(YEAR(J307)-IF(MONTH(J307)&lt;4,1,0))&amp;"-"&amp;RIGHT((YEAR(J307)-IF(MONTH(J307)&lt;4,1,0))+1,2))</f>
        <v/>
      </c>
      <c r="AS307" s="43" t="str">
        <f aca="false">IF(OR(B307="",Q307="",D307&lt;&gt;"Active"),"",DATE(YEAR(AsOf)+IF(DATE(YEAR(AsOf),MONTH(Q307),DAY(Q307))&lt;AsOf,1,0),MONTH(Q307),DAY(Q307))-AsOf)</f>
        <v/>
      </c>
      <c r="AT307" s="43" t="str">
        <f aca="false">IF(OR(B307="",I307="",D307&lt;&gt;"Active"),"",IF(YEAR(DATE(YEAR(AsOf)+IF(DATE(YEAR(AsOf),MONTH(I307),DAY(I307))&lt;AsOf,1,0),MONTH(I307),DAY(I307)))-YEAR(I307)&lt;1,"",DATE(YEAR(AsOf)+IF(DATE(YEAR(AsOf),MONTH(I307),DAY(I307))&lt;AsOf,1,0),MONTH(I307),DAY(I307))-AsOf))</f>
        <v/>
      </c>
      <c r="AU307" s="43" t="str">
        <f aca="false">IF(B307="","",IF(AV307="",0,LEN(AV307)-LEN(SUBSTITUTE(AV307,";",""))))</f>
        <v/>
      </c>
      <c r="AV307" s="9" t="str">
        <f aca="false">IF(B307="","",IF(COUNTIF($B$6:$B$505,B307)&gt;1,"Duplicate Emp Code; ","")&amp;IF(C307="","Name missing; ","")&amp;IF(I307="","DOJ missing; ","")&amp;IF(AND(J307&lt;&gt;"",I307&lt;&gt;"",J307&lt;I307),"Exit before DOJ; ","")&amp;IF(Q307="","DOB missing; ","")&amp;IF(T307="","Aadhaar missing; ",IF(LEN(T307)&lt;&gt;12,"Aadhaar not 12 digits; ",IF(COUNTIF($T$6:$T$505,T307)&gt;1,"Duplicate Aadhaar; ","")))&amp;IF(U307="","PAN missing; ",IF(LEN(U307)&lt;&gt;10,"PAN not 10 chars; ",""))&amp;IF(V307="","Mobile missing; ",IF(LEN(V307)&lt;&gt;10,"Mobile not 10 digits; ",""))&amp;IF(AG307="","Bank A/c missing; ","")&amp;IF(AH307="","IFSC missing; ",IF(LEN(AH307)&lt;&gt;11,"IFSC not 11 chars; ","")))</f>
        <v/>
      </c>
      <c r="AW307" s="46" t="str">
        <f aca="false">IF(AS307="","",AS307+ROW()/100000)</f>
        <v/>
      </c>
      <c r="AX307" s="46" t="str">
        <f aca="false">IF(AT307="","",AT307+ROW()/100000)</f>
        <v/>
      </c>
    </row>
    <row r="308" customFormat="false" ht="15" hidden="false" customHeight="false" outlineLevel="0" collapsed="false">
      <c r="A308" s="9" t="str">
        <f aca="false">IF(B308="","",ROW()-5)</f>
        <v/>
      </c>
      <c r="B308" s="40"/>
      <c r="C308" s="8"/>
      <c r="D308" s="9" t="str">
        <f aca="false">IF(B308="","",IF(J308="","Active","Exited"))</f>
        <v/>
      </c>
      <c r="E308" s="8"/>
      <c r="F308" s="8"/>
      <c r="G308" s="8"/>
      <c r="H308" s="9" t="str">
        <f aca="false">IF(OR(B308="",I308=""),"",IF(IF(J308="",AsOf,J308)-I308&gt;=Settings!$C$13,"Permanent","Probation"))</f>
        <v/>
      </c>
      <c r="I308" s="41"/>
      <c r="J308" s="41"/>
      <c r="K308" s="8"/>
      <c r="L308" s="42" t="str">
        <f aca="false">IF(OR(B308="",I308=""),"",ROUND((IF(J308="",AsOf,J308)-I308)/365.25,1))</f>
        <v/>
      </c>
      <c r="M308" s="8"/>
      <c r="N308" s="8"/>
      <c r="O308" s="8"/>
      <c r="P308" s="8"/>
      <c r="Q308" s="41"/>
      <c r="R308" s="43" t="str">
        <f aca="false">IF(OR(B308="",Q308=""),"",INT((AsOf-Q308)/365.25))</f>
        <v/>
      </c>
      <c r="S308" s="8"/>
      <c r="T308" s="40"/>
      <c r="U308" s="40"/>
      <c r="V308" s="40"/>
      <c r="W308" s="40"/>
      <c r="X308" s="8"/>
      <c r="Y308" s="8"/>
      <c r="Z308" s="8"/>
      <c r="AA308" s="8"/>
      <c r="AB308" s="8"/>
      <c r="AC308" s="8"/>
      <c r="AD308" s="8"/>
      <c r="AE308" s="40"/>
      <c r="AF308" s="8"/>
      <c r="AG308" s="40"/>
      <c r="AH308" s="40"/>
      <c r="AI308" s="8"/>
      <c r="AJ308" s="40"/>
      <c r="AK308" s="40"/>
      <c r="AL308" s="40"/>
      <c r="AM308" s="44"/>
      <c r="AN308" s="44"/>
      <c r="AO308" s="41"/>
      <c r="AP308" s="45" t="str">
        <f aca="false">IF(B308="","",IF(AND(ISNUMBER(AM308),ISNUMBER(AN308),AM308&gt;0,AN308&gt;0),AN308/AM308-1,""))</f>
        <v/>
      </c>
      <c r="AQ308" s="9" t="str">
        <f aca="false">IF(I308="","",(YEAR(I308)-IF(MONTH(I308)&lt;4,1,0))&amp;"-"&amp;RIGHT((YEAR(I308)-IF(MONTH(I308)&lt;4,1,0))+1,2))</f>
        <v/>
      </c>
      <c r="AR308" s="9" t="str">
        <f aca="false">IF(J308="","",(YEAR(J308)-IF(MONTH(J308)&lt;4,1,0))&amp;"-"&amp;RIGHT((YEAR(J308)-IF(MONTH(J308)&lt;4,1,0))+1,2))</f>
        <v/>
      </c>
      <c r="AS308" s="43" t="str">
        <f aca="false">IF(OR(B308="",Q308="",D308&lt;&gt;"Active"),"",DATE(YEAR(AsOf)+IF(DATE(YEAR(AsOf),MONTH(Q308),DAY(Q308))&lt;AsOf,1,0),MONTH(Q308),DAY(Q308))-AsOf)</f>
        <v/>
      </c>
      <c r="AT308" s="43" t="str">
        <f aca="false">IF(OR(B308="",I308="",D308&lt;&gt;"Active"),"",IF(YEAR(DATE(YEAR(AsOf)+IF(DATE(YEAR(AsOf),MONTH(I308),DAY(I308))&lt;AsOf,1,0),MONTH(I308),DAY(I308)))-YEAR(I308)&lt;1,"",DATE(YEAR(AsOf)+IF(DATE(YEAR(AsOf),MONTH(I308),DAY(I308))&lt;AsOf,1,0),MONTH(I308),DAY(I308))-AsOf))</f>
        <v/>
      </c>
      <c r="AU308" s="43" t="str">
        <f aca="false">IF(B308="","",IF(AV308="",0,LEN(AV308)-LEN(SUBSTITUTE(AV308,";",""))))</f>
        <v/>
      </c>
      <c r="AV308" s="9" t="str">
        <f aca="false">IF(B308="","",IF(COUNTIF($B$6:$B$505,B308)&gt;1,"Duplicate Emp Code; ","")&amp;IF(C308="","Name missing; ","")&amp;IF(I308="","DOJ missing; ","")&amp;IF(AND(J308&lt;&gt;"",I308&lt;&gt;"",J308&lt;I308),"Exit before DOJ; ","")&amp;IF(Q308="","DOB missing; ","")&amp;IF(T308="","Aadhaar missing; ",IF(LEN(T308)&lt;&gt;12,"Aadhaar not 12 digits; ",IF(COUNTIF($T$6:$T$505,T308)&gt;1,"Duplicate Aadhaar; ","")))&amp;IF(U308="","PAN missing; ",IF(LEN(U308)&lt;&gt;10,"PAN not 10 chars; ",""))&amp;IF(V308="","Mobile missing; ",IF(LEN(V308)&lt;&gt;10,"Mobile not 10 digits; ",""))&amp;IF(AG308="","Bank A/c missing; ","")&amp;IF(AH308="","IFSC missing; ",IF(LEN(AH308)&lt;&gt;11,"IFSC not 11 chars; ","")))</f>
        <v/>
      </c>
      <c r="AW308" s="46" t="str">
        <f aca="false">IF(AS308="","",AS308+ROW()/100000)</f>
        <v/>
      </c>
      <c r="AX308" s="46" t="str">
        <f aca="false">IF(AT308="","",AT308+ROW()/100000)</f>
        <v/>
      </c>
    </row>
    <row r="309" customFormat="false" ht="15" hidden="false" customHeight="false" outlineLevel="0" collapsed="false">
      <c r="A309" s="9" t="str">
        <f aca="false">IF(B309="","",ROW()-5)</f>
        <v/>
      </c>
      <c r="B309" s="40"/>
      <c r="C309" s="8"/>
      <c r="D309" s="9" t="str">
        <f aca="false">IF(B309="","",IF(J309="","Active","Exited"))</f>
        <v/>
      </c>
      <c r="E309" s="8"/>
      <c r="F309" s="8"/>
      <c r="G309" s="8"/>
      <c r="H309" s="9" t="str">
        <f aca="false">IF(OR(B309="",I309=""),"",IF(IF(J309="",AsOf,J309)-I309&gt;=Settings!$C$13,"Permanent","Probation"))</f>
        <v/>
      </c>
      <c r="I309" s="41"/>
      <c r="J309" s="41"/>
      <c r="K309" s="8"/>
      <c r="L309" s="42" t="str">
        <f aca="false">IF(OR(B309="",I309=""),"",ROUND((IF(J309="",AsOf,J309)-I309)/365.25,1))</f>
        <v/>
      </c>
      <c r="M309" s="8"/>
      <c r="N309" s="8"/>
      <c r="O309" s="8"/>
      <c r="P309" s="8"/>
      <c r="Q309" s="41"/>
      <c r="R309" s="43" t="str">
        <f aca="false">IF(OR(B309="",Q309=""),"",INT((AsOf-Q309)/365.25))</f>
        <v/>
      </c>
      <c r="S309" s="8"/>
      <c r="T309" s="40"/>
      <c r="U309" s="40"/>
      <c r="V309" s="40"/>
      <c r="W309" s="40"/>
      <c r="X309" s="8"/>
      <c r="Y309" s="8"/>
      <c r="Z309" s="8"/>
      <c r="AA309" s="8"/>
      <c r="AB309" s="8"/>
      <c r="AC309" s="8"/>
      <c r="AD309" s="8"/>
      <c r="AE309" s="40"/>
      <c r="AF309" s="8"/>
      <c r="AG309" s="40"/>
      <c r="AH309" s="40"/>
      <c r="AI309" s="8"/>
      <c r="AJ309" s="40"/>
      <c r="AK309" s="40"/>
      <c r="AL309" s="40"/>
      <c r="AM309" s="44"/>
      <c r="AN309" s="44"/>
      <c r="AO309" s="41"/>
      <c r="AP309" s="45" t="str">
        <f aca="false">IF(B309="","",IF(AND(ISNUMBER(AM309),ISNUMBER(AN309),AM309&gt;0,AN309&gt;0),AN309/AM309-1,""))</f>
        <v/>
      </c>
      <c r="AQ309" s="9" t="str">
        <f aca="false">IF(I309="","",(YEAR(I309)-IF(MONTH(I309)&lt;4,1,0))&amp;"-"&amp;RIGHT((YEAR(I309)-IF(MONTH(I309)&lt;4,1,0))+1,2))</f>
        <v/>
      </c>
      <c r="AR309" s="9" t="str">
        <f aca="false">IF(J309="","",(YEAR(J309)-IF(MONTH(J309)&lt;4,1,0))&amp;"-"&amp;RIGHT((YEAR(J309)-IF(MONTH(J309)&lt;4,1,0))+1,2))</f>
        <v/>
      </c>
      <c r="AS309" s="43" t="str">
        <f aca="false">IF(OR(B309="",Q309="",D309&lt;&gt;"Active"),"",DATE(YEAR(AsOf)+IF(DATE(YEAR(AsOf),MONTH(Q309),DAY(Q309))&lt;AsOf,1,0),MONTH(Q309),DAY(Q309))-AsOf)</f>
        <v/>
      </c>
      <c r="AT309" s="43" t="str">
        <f aca="false">IF(OR(B309="",I309="",D309&lt;&gt;"Active"),"",IF(YEAR(DATE(YEAR(AsOf)+IF(DATE(YEAR(AsOf),MONTH(I309),DAY(I309))&lt;AsOf,1,0),MONTH(I309),DAY(I309)))-YEAR(I309)&lt;1,"",DATE(YEAR(AsOf)+IF(DATE(YEAR(AsOf),MONTH(I309),DAY(I309))&lt;AsOf,1,0),MONTH(I309),DAY(I309))-AsOf))</f>
        <v/>
      </c>
      <c r="AU309" s="43" t="str">
        <f aca="false">IF(B309="","",IF(AV309="",0,LEN(AV309)-LEN(SUBSTITUTE(AV309,";",""))))</f>
        <v/>
      </c>
      <c r="AV309" s="9" t="str">
        <f aca="false">IF(B309="","",IF(COUNTIF($B$6:$B$505,B309)&gt;1,"Duplicate Emp Code; ","")&amp;IF(C309="","Name missing; ","")&amp;IF(I309="","DOJ missing; ","")&amp;IF(AND(J309&lt;&gt;"",I309&lt;&gt;"",J309&lt;I309),"Exit before DOJ; ","")&amp;IF(Q309="","DOB missing; ","")&amp;IF(T309="","Aadhaar missing; ",IF(LEN(T309)&lt;&gt;12,"Aadhaar not 12 digits; ",IF(COUNTIF($T$6:$T$505,T309)&gt;1,"Duplicate Aadhaar; ","")))&amp;IF(U309="","PAN missing; ",IF(LEN(U309)&lt;&gt;10,"PAN not 10 chars; ",""))&amp;IF(V309="","Mobile missing; ",IF(LEN(V309)&lt;&gt;10,"Mobile not 10 digits; ",""))&amp;IF(AG309="","Bank A/c missing; ","")&amp;IF(AH309="","IFSC missing; ",IF(LEN(AH309)&lt;&gt;11,"IFSC not 11 chars; ","")))</f>
        <v/>
      </c>
      <c r="AW309" s="46" t="str">
        <f aca="false">IF(AS309="","",AS309+ROW()/100000)</f>
        <v/>
      </c>
      <c r="AX309" s="46" t="str">
        <f aca="false">IF(AT309="","",AT309+ROW()/100000)</f>
        <v/>
      </c>
    </row>
    <row r="310" customFormat="false" ht="15" hidden="false" customHeight="false" outlineLevel="0" collapsed="false">
      <c r="A310" s="9" t="str">
        <f aca="false">IF(B310="","",ROW()-5)</f>
        <v/>
      </c>
      <c r="B310" s="40"/>
      <c r="C310" s="8"/>
      <c r="D310" s="9" t="str">
        <f aca="false">IF(B310="","",IF(J310="","Active","Exited"))</f>
        <v/>
      </c>
      <c r="E310" s="8"/>
      <c r="F310" s="8"/>
      <c r="G310" s="8"/>
      <c r="H310" s="9" t="str">
        <f aca="false">IF(OR(B310="",I310=""),"",IF(IF(J310="",AsOf,J310)-I310&gt;=Settings!$C$13,"Permanent","Probation"))</f>
        <v/>
      </c>
      <c r="I310" s="41"/>
      <c r="J310" s="41"/>
      <c r="K310" s="8"/>
      <c r="L310" s="42" t="str">
        <f aca="false">IF(OR(B310="",I310=""),"",ROUND((IF(J310="",AsOf,J310)-I310)/365.25,1))</f>
        <v/>
      </c>
      <c r="M310" s="8"/>
      <c r="N310" s="8"/>
      <c r="O310" s="8"/>
      <c r="P310" s="8"/>
      <c r="Q310" s="41"/>
      <c r="R310" s="43" t="str">
        <f aca="false">IF(OR(B310="",Q310=""),"",INT((AsOf-Q310)/365.25))</f>
        <v/>
      </c>
      <c r="S310" s="8"/>
      <c r="T310" s="40"/>
      <c r="U310" s="40"/>
      <c r="V310" s="40"/>
      <c r="W310" s="40"/>
      <c r="X310" s="8"/>
      <c r="Y310" s="8"/>
      <c r="Z310" s="8"/>
      <c r="AA310" s="8"/>
      <c r="AB310" s="8"/>
      <c r="AC310" s="8"/>
      <c r="AD310" s="8"/>
      <c r="AE310" s="40"/>
      <c r="AF310" s="8"/>
      <c r="AG310" s="40"/>
      <c r="AH310" s="40"/>
      <c r="AI310" s="8"/>
      <c r="AJ310" s="40"/>
      <c r="AK310" s="40"/>
      <c r="AL310" s="40"/>
      <c r="AM310" s="44"/>
      <c r="AN310" s="44"/>
      <c r="AO310" s="41"/>
      <c r="AP310" s="45" t="str">
        <f aca="false">IF(B310="","",IF(AND(ISNUMBER(AM310),ISNUMBER(AN310),AM310&gt;0,AN310&gt;0),AN310/AM310-1,""))</f>
        <v/>
      </c>
      <c r="AQ310" s="9" t="str">
        <f aca="false">IF(I310="","",(YEAR(I310)-IF(MONTH(I310)&lt;4,1,0))&amp;"-"&amp;RIGHT((YEAR(I310)-IF(MONTH(I310)&lt;4,1,0))+1,2))</f>
        <v/>
      </c>
      <c r="AR310" s="9" t="str">
        <f aca="false">IF(J310="","",(YEAR(J310)-IF(MONTH(J310)&lt;4,1,0))&amp;"-"&amp;RIGHT((YEAR(J310)-IF(MONTH(J310)&lt;4,1,0))+1,2))</f>
        <v/>
      </c>
      <c r="AS310" s="43" t="str">
        <f aca="false">IF(OR(B310="",Q310="",D310&lt;&gt;"Active"),"",DATE(YEAR(AsOf)+IF(DATE(YEAR(AsOf),MONTH(Q310),DAY(Q310))&lt;AsOf,1,0),MONTH(Q310),DAY(Q310))-AsOf)</f>
        <v/>
      </c>
      <c r="AT310" s="43" t="str">
        <f aca="false">IF(OR(B310="",I310="",D310&lt;&gt;"Active"),"",IF(YEAR(DATE(YEAR(AsOf)+IF(DATE(YEAR(AsOf),MONTH(I310),DAY(I310))&lt;AsOf,1,0),MONTH(I310),DAY(I310)))-YEAR(I310)&lt;1,"",DATE(YEAR(AsOf)+IF(DATE(YEAR(AsOf),MONTH(I310),DAY(I310))&lt;AsOf,1,0),MONTH(I310),DAY(I310))-AsOf))</f>
        <v/>
      </c>
      <c r="AU310" s="43" t="str">
        <f aca="false">IF(B310="","",IF(AV310="",0,LEN(AV310)-LEN(SUBSTITUTE(AV310,";",""))))</f>
        <v/>
      </c>
      <c r="AV310" s="9" t="str">
        <f aca="false">IF(B310="","",IF(COUNTIF($B$6:$B$505,B310)&gt;1,"Duplicate Emp Code; ","")&amp;IF(C310="","Name missing; ","")&amp;IF(I310="","DOJ missing; ","")&amp;IF(AND(J310&lt;&gt;"",I310&lt;&gt;"",J310&lt;I310),"Exit before DOJ; ","")&amp;IF(Q310="","DOB missing; ","")&amp;IF(T310="","Aadhaar missing; ",IF(LEN(T310)&lt;&gt;12,"Aadhaar not 12 digits; ",IF(COUNTIF($T$6:$T$505,T310)&gt;1,"Duplicate Aadhaar; ","")))&amp;IF(U310="","PAN missing; ",IF(LEN(U310)&lt;&gt;10,"PAN not 10 chars; ",""))&amp;IF(V310="","Mobile missing; ",IF(LEN(V310)&lt;&gt;10,"Mobile not 10 digits; ",""))&amp;IF(AG310="","Bank A/c missing; ","")&amp;IF(AH310="","IFSC missing; ",IF(LEN(AH310)&lt;&gt;11,"IFSC not 11 chars; ","")))</f>
        <v/>
      </c>
      <c r="AW310" s="46" t="str">
        <f aca="false">IF(AS310="","",AS310+ROW()/100000)</f>
        <v/>
      </c>
      <c r="AX310" s="46" t="str">
        <f aca="false">IF(AT310="","",AT310+ROW()/100000)</f>
        <v/>
      </c>
    </row>
    <row r="311" customFormat="false" ht="15" hidden="false" customHeight="false" outlineLevel="0" collapsed="false">
      <c r="A311" s="9" t="str">
        <f aca="false">IF(B311="","",ROW()-5)</f>
        <v/>
      </c>
      <c r="B311" s="40"/>
      <c r="C311" s="8"/>
      <c r="D311" s="9" t="str">
        <f aca="false">IF(B311="","",IF(J311="","Active","Exited"))</f>
        <v/>
      </c>
      <c r="E311" s="8"/>
      <c r="F311" s="8"/>
      <c r="G311" s="8"/>
      <c r="H311" s="9" t="str">
        <f aca="false">IF(OR(B311="",I311=""),"",IF(IF(J311="",AsOf,J311)-I311&gt;=Settings!$C$13,"Permanent","Probation"))</f>
        <v/>
      </c>
      <c r="I311" s="41"/>
      <c r="J311" s="41"/>
      <c r="K311" s="8"/>
      <c r="L311" s="42" t="str">
        <f aca="false">IF(OR(B311="",I311=""),"",ROUND((IF(J311="",AsOf,J311)-I311)/365.25,1))</f>
        <v/>
      </c>
      <c r="M311" s="8"/>
      <c r="N311" s="8"/>
      <c r="O311" s="8"/>
      <c r="P311" s="8"/>
      <c r="Q311" s="41"/>
      <c r="R311" s="43" t="str">
        <f aca="false">IF(OR(B311="",Q311=""),"",INT((AsOf-Q311)/365.25))</f>
        <v/>
      </c>
      <c r="S311" s="8"/>
      <c r="T311" s="40"/>
      <c r="U311" s="40"/>
      <c r="V311" s="40"/>
      <c r="W311" s="40"/>
      <c r="X311" s="8"/>
      <c r="Y311" s="8"/>
      <c r="Z311" s="8"/>
      <c r="AA311" s="8"/>
      <c r="AB311" s="8"/>
      <c r="AC311" s="8"/>
      <c r="AD311" s="8"/>
      <c r="AE311" s="40"/>
      <c r="AF311" s="8"/>
      <c r="AG311" s="40"/>
      <c r="AH311" s="40"/>
      <c r="AI311" s="8"/>
      <c r="AJ311" s="40"/>
      <c r="AK311" s="40"/>
      <c r="AL311" s="40"/>
      <c r="AM311" s="44"/>
      <c r="AN311" s="44"/>
      <c r="AO311" s="41"/>
      <c r="AP311" s="45" t="str">
        <f aca="false">IF(B311="","",IF(AND(ISNUMBER(AM311),ISNUMBER(AN311),AM311&gt;0,AN311&gt;0),AN311/AM311-1,""))</f>
        <v/>
      </c>
      <c r="AQ311" s="9" t="str">
        <f aca="false">IF(I311="","",(YEAR(I311)-IF(MONTH(I311)&lt;4,1,0))&amp;"-"&amp;RIGHT((YEAR(I311)-IF(MONTH(I311)&lt;4,1,0))+1,2))</f>
        <v/>
      </c>
      <c r="AR311" s="9" t="str">
        <f aca="false">IF(J311="","",(YEAR(J311)-IF(MONTH(J311)&lt;4,1,0))&amp;"-"&amp;RIGHT((YEAR(J311)-IF(MONTH(J311)&lt;4,1,0))+1,2))</f>
        <v/>
      </c>
      <c r="AS311" s="43" t="str">
        <f aca="false">IF(OR(B311="",Q311="",D311&lt;&gt;"Active"),"",DATE(YEAR(AsOf)+IF(DATE(YEAR(AsOf),MONTH(Q311),DAY(Q311))&lt;AsOf,1,0),MONTH(Q311),DAY(Q311))-AsOf)</f>
        <v/>
      </c>
      <c r="AT311" s="43" t="str">
        <f aca="false">IF(OR(B311="",I311="",D311&lt;&gt;"Active"),"",IF(YEAR(DATE(YEAR(AsOf)+IF(DATE(YEAR(AsOf),MONTH(I311),DAY(I311))&lt;AsOf,1,0),MONTH(I311),DAY(I311)))-YEAR(I311)&lt;1,"",DATE(YEAR(AsOf)+IF(DATE(YEAR(AsOf),MONTH(I311),DAY(I311))&lt;AsOf,1,0),MONTH(I311),DAY(I311))-AsOf))</f>
        <v/>
      </c>
      <c r="AU311" s="43" t="str">
        <f aca="false">IF(B311="","",IF(AV311="",0,LEN(AV311)-LEN(SUBSTITUTE(AV311,";",""))))</f>
        <v/>
      </c>
      <c r="AV311" s="9" t="str">
        <f aca="false">IF(B311="","",IF(COUNTIF($B$6:$B$505,B311)&gt;1,"Duplicate Emp Code; ","")&amp;IF(C311="","Name missing; ","")&amp;IF(I311="","DOJ missing; ","")&amp;IF(AND(J311&lt;&gt;"",I311&lt;&gt;"",J311&lt;I311),"Exit before DOJ; ","")&amp;IF(Q311="","DOB missing; ","")&amp;IF(T311="","Aadhaar missing; ",IF(LEN(T311)&lt;&gt;12,"Aadhaar not 12 digits; ",IF(COUNTIF($T$6:$T$505,T311)&gt;1,"Duplicate Aadhaar; ","")))&amp;IF(U311="","PAN missing; ",IF(LEN(U311)&lt;&gt;10,"PAN not 10 chars; ",""))&amp;IF(V311="","Mobile missing; ",IF(LEN(V311)&lt;&gt;10,"Mobile not 10 digits; ",""))&amp;IF(AG311="","Bank A/c missing; ","")&amp;IF(AH311="","IFSC missing; ",IF(LEN(AH311)&lt;&gt;11,"IFSC not 11 chars; ","")))</f>
        <v/>
      </c>
      <c r="AW311" s="46" t="str">
        <f aca="false">IF(AS311="","",AS311+ROW()/100000)</f>
        <v/>
      </c>
      <c r="AX311" s="46" t="str">
        <f aca="false">IF(AT311="","",AT311+ROW()/100000)</f>
        <v/>
      </c>
    </row>
    <row r="312" customFormat="false" ht="15" hidden="false" customHeight="false" outlineLevel="0" collapsed="false">
      <c r="A312" s="9" t="str">
        <f aca="false">IF(B312="","",ROW()-5)</f>
        <v/>
      </c>
      <c r="B312" s="40"/>
      <c r="C312" s="8"/>
      <c r="D312" s="9" t="str">
        <f aca="false">IF(B312="","",IF(J312="","Active","Exited"))</f>
        <v/>
      </c>
      <c r="E312" s="8"/>
      <c r="F312" s="8"/>
      <c r="G312" s="8"/>
      <c r="H312" s="9" t="str">
        <f aca="false">IF(OR(B312="",I312=""),"",IF(IF(J312="",AsOf,J312)-I312&gt;=Settings!$C$13,"Permanent","Probation"))</f>
        <v/>
      </c>
      <c r="I312" s="41"/>
      <c r="J312" s="41"/>
      <c r="K312" s="8"/>
      <c r="L312" s="42" t="str">
        <f aca="false">IF(OR(B312="",I312=""),"",ROUND((IF(J312="",AsOf,J312)-I312)/365.25,1))</f>
        <v/>
      </c>
      <c r="M312" s="8"/>
      <c r="N312" s="8"/>
      <c r="O312" s="8"/>
      <c r="P312" s="8"/>
      <c r="Q312" s="41"/>
      <c r="R312" s="43" t="str">
        <f aca="false">IF(OR(B312="",Q312=""),"",INT((AsOf-Q312)/365.25))</f>
        <v/>
      </c>
      <c r="S312" s="8"/>
      <c r="T312" s="40"/>
      <c r="U312" s="40"/>
      <c r="V312" s="40"/>
      <c r="W312" s="40"/>
      <c r="X312" s="8"/>
      <c r="Y312" s="8"/>
      <c r="Z312" s="8"/>
      <c r="AA312" s="8"/>
      <c r="AB312" s="8"/>
      <c r="AC312" s="8"/>
      <c r="AD312" s="8"/>
      <c r="AE312" s="40"/>
      <c r="AF312" s="8"/>
      <c r="AG312" s="40"/>
      <c r="AH312" s="40"/>
      <c r="AI312" s="8"/>
      <c r="AJ312" s="40"/>
      <c r="AK312" s="40"/>
      <c r="AL312" s="40"/>
      <c r="AM312" s="44"/>
      <c r="AN312" s="44"/>
      <c r="AO312" s="41"/>
      <c r="AP312" s="45" t="str">
        <f aca="false">IF(B312="","",IF(AND(ISNUMBER(AM312),ISNUMBER(AN312),AM312&gt;0,AN312&gt;0),AN312/AM312-1,""))</f>
        <v/>
      </c>
      <c r="AQ312" s="9" t="str">
        <f aca="false">IF(I312="","",(YEAR(I312)-IF(MONTH(I312)&lt;4,1,0))&amp;"-"&amp;RIGHT((YEAR(I312)-IF(MONTH(I312)&lt;4,1,0))+1,2))</f>
        <v/>
      </c>
      <c r="AR312" s="9" t="str">
        <f aca="false">IF(J312="","",(YEAR(J312)-IF(MONTH(J312)&lt;4,1,0))&amp;"-"&amp;RIGHT((YEAR(J312)-IF(MONTH(J312)&lt;4,1,0))+1,2))</f>
        <v/>
      </c>
      <c r="AS312" s="43" t="str">
        <f aca="false">IF(OR(B312="",Q312="",D312&lt;&gt;"Active"),"",DATE(YEAR(AsOf)+IF(DATE(YEAR(AsOf),MONTH(Q312),DAY(Q312))&lt;AsOf,1,0),MONTH(Q312),DAY(Q312))-AsOf)</f>
        <v/>
      </c>
      <c r="AT312" s="43" t="str">
        <f aca="false">IF(OR(B312="",I312="",D312&lt;&gt;"Active"),"",IF(YEAR(DATE(YEAR(AsOf)+IF(DATE(YEAR(AsOf),MONTH(I312),DAY(I312))&lt;AsOf,1,0),MONTH(I312),DAY(I312)))-YEAR(I312)&lt;1,"",DATE(YEAR(AsOf)+IF(DATE(YEAR(AsOf),MONTH(I312),DAY(I312))&lt;AsOf,1,0),MONTH(I312),DAY(I312))-AsOf))</f>
        <v/>
      </c>
      <c r="AU312" s="43" t="str">
        <f aca="false">IF(B312="","",IF(AV312="",0,LEN(AV312)-LEN(SUBSTITUTE(AV312,";",""))))</f>
        <v/>
      </c>
      <c r="AV312" s="9" t="str">
        <f aca="false">IF(B312="","",IF(COUNTIF($B$6:$B$505,B312)&gt;1,"Duplicate Emp Code; ","")&amp;IF(C312="","Name missing; ","")&amp;IF(I312="","DOJ missing; ","")&amp;IF(AND(J312&lt;&gt;"",I312&lt;&gt;"",J312&lt;I312),"Exit before DOJ; ","")&amp;IF(Q312="","DOB missing; ","")&amp;IF(T312="","Aadhaar missing; ",IF(LEN(T312)&lt;&gt;12,"Aadhaar not 12 digits; ",IF(COUNTIF($T$6:$T$505,T312)&gt;1,"Duplicate Aadhaar; ","")))&amp;IF(U312="","PAN missing; ",IF(LEN(U312)&lt;&gt;10,"PAN not 10 chars; ",""))&amp;IF(V312="","Mobile missing; ",IF(LEN(V312)&lt;&gt;10,"Mobile not 10 digits; ",""))&amp;IF(AG312="","Bank A/c missing; ","")&amp;IF(AH312="","IFSC missing; ",IF(LEN(AH312)&lt;&gt;11,"IFSC not 11 chars; ","")))</f>
        <v/>
      </c>
      <c r="AW312" s="46" t="str">
        <f aca="false">IF(AS312="","",AS312+ROW()/100000)</f>
        <v/>
      </c>
      <c r="AX312" s="46" t="str">
        <f aca="false">IF(AT312="","",AT312+ROW()/100000)</f>
        <v/>
      </c>
    </row>
    <row r="313" customFormat="false" ht="15" hidden="false" customHeight="false" outlineLevel="0" collapsed="false">
      <c r="A313" s="9" t="str">
        <f aca="false">IF(B313="","",ROW()-5)</f>
        <v/>
      </c>
      <c r="B313" s="40"/>
      <c r="C313" s="8"/>
      <c r="D313" s="9" t="str">
        <f aca="false">IF(B313="","",IF(J313="","Active","Exited"))</f>
        <v/>
      </c>
      <c r="E313" s="8"/>
      <c r="F313" s="8"/>
      <c r="G313" s="8"/>
      <c r="H313" s="9" t="str">
        <f aca="false">IF(OR(B313="",I313=""),"",IF(IF(J313="",AsOf,J313)-I313&gt;=Settings!$C$13,"Permanent","Probation"))</f>
        <v/>
      </c>
      <c r="I313" s="41"/>
      <c r="J313" s="41"/>
      <c r="K313" s="8"/>
      <c r="L313" s="42" t="str">
        <f aca="false">IF(OR(B313="",I313=""),"",ROUND((IF(J313="",AsOf,J313)-I313)/365.25,1))</f>
        <v/>
      </c>
      <c r="M313" s="8"/>
      <c r="N313" s="8"/>
      <c r="O313" s="8"/>
      <c r="P313" s="8"/>
      <c r="Q313" s="41"/>
      <c r="R313" s="43" t="str">
        <f aca="false">IF(OR(B313="",Q313=""),"",INT((AsOf-Q313)/365.25))</f>
        <v/>
      </c>
      <c r="S313" s="8"/>
      <c r="T313" s="40"/>
      <c r="U313" s="40"/>
      <c r="V313" s="40"/>
      <c r="W313" s="40"/>
      <c r="X313" s="8"/>
      <c r="Y313" s="8"/>
      <c r="Z313" s="8"/>
      <c r="AA313" s="8"/>
      <c r="AB313" s="8"/>
      <c r="AC313" s="8"/>
      <c r="AD313" s="8"/>
      <c r="AE313" s="40"/>
      <c r="AF313" s="8"/>
      <c r="AG313" s="40"/>
      <c r="AH313" s="40"/>
      <c r="AI313" s="8"/>
      <c r="AJ313" s="40"/>
      <c r="AK313" s="40"/>
      <c r="AL313" s="40"/>
      <c r="AM313" s="44"/>
      <c r="AN313" s="44"/>
      <c r="AO313" s="41"/>
      <c r="AP313" s="45" t="str">
        <f aca="false">IF(B313="","",IF(AND(ISNUMBER(AM313),ISNUMBER(AN313),AM313&gt;0,AN313&gt;0),AN313/AM313-1,""))</f>
        <v/>
      </c>
      <c r="AQ313" s="9" t="str">
        <f aca="false">IF(I313="","",(YEAR(I313)-IF(MONTH(I313)&lt;4,1,0))&amp;"-"&amp;RIGHT((YEAR(I313)-IF(MONTH(I313)&lt;4,1,0))+1,2))</f>
        <v/>
      </c>
      <c r="AR313" s="9" t="str">
        <f aca="false">IF(J313="","",(YEAR(J313)-IF(MONTH(J313)&lt;4,1,0))&amp;"-"&amp;RIGHT((YEAR(J313)-IF(MONTH(J313)&lt;4,1,0))+1,2))</f>
        <v/>
      </c>
      <c r="AS313" s="43" t="str">
        <f aca="false">IF(OR(B313="",Q313="",D313&lt;&gt;"Active"),"",DATE(YEAR(AsOf)+IF(DATE(YEAR(AsOf),MONTH(Q313),DAY(Q313))&lt;AsOf,1,0),MONTH(Q313),DAY(Q313))-AsOf)</f>
        <v/>
      </c>
      <c r="AT313" s="43" t="str">
        <f aca="false">IF(OR(B313="",I313="",D313&lt;&gt;"Active"),"",IF(YEAR(DATE(YEAR(AsOf)+IF(DATE(YEAR(AsOf),MONTH(I313),DAY(I313))&lt;AsOf,1,0),MONTH(I313),DAY(I313)))-YEAR(I313)&lt;1,"",DATE(YEAR(AsOf)+IF(DATE(YEAR(AsOf),MONTH(I313),DAY(I313))&lt;AsOf,1,0),MONTH(I313),DAY(I313))-AsOf))</f>
        <v/>
      </c>
      <c r="AU313" s="43" t="str">
        <f aca="false">IF(B313="","",IF(AV313="",0,LEN(AV313)-LEN(SUBSTITUTE(AV313,";",""))))</f>
        <v/>
      </c>
      <c r="AV313" s="9" t="str">
        <f aca="false">IF(B313="","",IF(COUNTIF($B$6:$B$505,B313)&gt;1,"Duplicate Emp Code; ","")&amp;IF(C313="","Name missing; ","")&amp;IF(I313="","DOJ missing; ","")&amp;IF(AND(J313&lt;&gt;"",I313&lt;&gt;"",J313&lt;I313),"Exit before DOJ; ","")&amp;IF(Q313="","DOB missing; ","")&amp;IF(T313="","Aadhaar missing; ",IF(LEN(T313)&lt;&gt;12,"Aadhaar not 12 digits; ",IF(COUNTIF($T$6:$T$505,T313)&gt;1,"Duplicate Aadhaar; ","")))&amp;IF(U313="","PAN missing; ",IF(LEN(U313)&lt;&gt;10,"PAN not 10 chars; ",""))&amp;IF(V313="","Mobile missing; ",IF(LEN(V313)&lt;&gt;10,"Mobile not 10 digits; ",""))&amp;IF(AG313="","Bank A/c missing; ","")&amp;IF(AH313="","IFSC missing; ",IF(LEN(AH313)&lt;&gt;11,"IFSC not 11 chars; ","")))</f>
        <v/>
      </c>
      <c r="AW313" s="46" t="str">
        <f aca="false">IF(AS313="","",AS313+ROW()/100000)</f>
        <v/>
      </c>
      <c r="AX313" s="46" t="str">
        <f aca="false">IF(AT313="","",AT313+ROW()/100000)</f>
        <v/>
      </c>
    </row>
    <row r="314" customFormat="false" ht="15" hidden="false" customHeight="false" outlineLevel="0" collapsed="false">
      <c r="A314" s="9" t="str">
        <f aca="false">IF(B314="","",ROW()-5)</f>
        <v/>
      </c>
      <c r="B314" s="40"/>
      <c r="C314" s="8"/>
      <c r="D314" s="9" t="str">
        <f aca="false">IF(B314="","",IF(J314="","Active","Exited"))</f>
        <v/>
      </c>
      <c r="E314" s="8"/>
      <c r="F314" s="8"/>
      <c r="G314" s="8"/>
      <c r="H314" s="9" t="str">
        <f aca="false">IF(OR(B314="",I314=""),"",IF(IF(J314="",AsOf,J314)-I314&gt;=Settings!$C$13,"Permanent","Probation"))</f>
        <v/>
      </c>
      <c r="I314" s="41"/>
      <c r="J314" s="41"/>
      <c r="K314" s="8"/>
      <c r="L314" s="42" t="str">
        <f aca="false">IF(OR(B314="",I314=""),"",ROUND((IF(J314="",AsOf,J314)-I314)/365.25,1))</f>
        <v/>
      </c>
      <c r="M314" s="8"/>
      <c r="N314" s="8"/>
      <c r="O314" s="8"/>
      <c r="P314" s="8"/>
      <c r="Q314" s="41"/>
      <c r="R314" s="43" t="str">
        <f aca="false">IF(OR(B314="",Q314=""),"",INT((AsOf-Q314)/365.25))</f>
        <v/>
      </c>
      <c r="S314" s="8"/>
      <c r="T314" s="40"/>
      <c r="U314" s="40"/>
      <c r="V314" s="40"/>
      <c r="W314" s="40"/>
      <c r="X314" s="8"/>
      <c r="Y314" s="8"/>
      <c r="Z314" s="8"/>
      <c r="AA314" s="8"/>
      <c r="AB314" s="8"/>
      <c r="AC314" s="8"/>
      <c r="AD314" s="8"/>
      <c r="AE314" s="40"/>
      <c r="AF314" s="8"/>
      <c r="AG314" s="40"/>
      <c r="AH314" s="40"/>
      <c r="AI314" s="8"/>
      <c r="AJ314" s="40"/>
      <c r="AK314" s="40"/>
      <c r="AL314" s="40"/>
      <c r="AM314" s="44"/>
      <c r="AN314" s="44"/>
      <c r="AO314" s="41"/>
      <c r="AP314" s="45" t="str">
        <f aca="false">IF(B314="","",IF(AND(ISNUMBER(AM314),ISNUMBER(AN314),AM314&gt;0,AN314&gt;0),AN314/AM314-1,""))</f>
        <v/>
      </c>
      <c r="AQ314" s="9" t="str">
        <f aca="false">IF(I314="","",(YEAR(I314)-IF(MONTH(I314)&lt;4,1,0))&amp;"-"&amp;RIGHT((YEAR(I314)-IF(MONTH(I314)&lt;4,1,0))+1,2))</f>
        <v/>
      </c>
      <c r="AR314" s="9" t="str">
        <f aca="false">IF(J314="","",(YEAR(J314)-IF(MONTH(J314)&lt;4,1,0))&amp;"-"&amp;RIGHT((YEAR(J314)-IF(MONTH(J314)&lt;4,1,0))+1,2))</f>
        <v/>
      </c>
      <c r="AS314" s="43" t="str">
        <f aca="false">IF(OR(B314="",Q314="",D314&lt;&gt;"Active"),"",DATE(YEAR(AsOf)+IF(DATE(YEAR(AsOf),MONTH(Q314),DAY(Q314))&lt;AsOf,1,0),MONTH(Q314),DAY(Q314))-AsOf)</f>
        <v/>
      </c>
      <c r="AT314" s="43" t="str">
        <f aca="false">IF(OR(B314="",I314="",D314&lt;&gt;"Active"),"",IF(YEAR(DATE(YEAR(AsOf)+IF(DATE(YEAR(AsOf),MONTH(I314),DAY(I314))&lt;AsOf,1,0),MONTH(I314),DAY(I314)))-YEAR(I314)&lt;1,"",DATE(YEAR(AsOf)+IF(DATE(YEAR(AsOf),MONTH(I314),DAY(I314))&lt;AsOf,1,0),MONTH(I314),DAY(I314))-AsOf))</f>
        <v/>
      </c>
      <c r="AU314" s="43" t="str">
        <f aca="false">IF(B314="","",IF(AV314="",0,LEN(AV314)-LEN(SUBSTITUTE(AV314,";",""))))</f>
        <v/>
      </c>
      <c r="AV314" s="9" t="str">
        <f aca="false">IF(B314="","",IF(COUNTIF($B$6:$B$505,B314)&gt;1,"Duplicate Emp Code; ","")&amp;IF(C314="","Name missing; ","")&amp;IF(I314="","DOJ missing; ","")&amp;IF(AND(J314&lt;&gt;"",I314&lt;&gt;"",J314&lt;I314),"Exit before DOJ; ","")&amp;IF(Q314="","DOB missing; ","")&amp;IF(T314="","Aadhaar missing; ",IF(LEN(T314)&lt;&gt;12,"Aadhaar not 12 digits; ",IF(COUNTIF($T$6:$T$505,T314)&gt;1,"Duplicate Aadhaar; ","")))&amp;IF(U314="","PAN missing; ",IF(LEN(U314)&lt;&gt;10,"PAN not 10 chars; ",""))&amp;IF(V314="","Mobile missing; ",IF(LEN(V314)&lt;&gt;10,"Mobile not 10 digits; ",""))&amp;IF(AG314="","Bank A/c missing; ","")&amp;IF(AH314="","IFSC missing; ",IF(LEN(AH314)&lt;&gt;11,"IFSC not 11 chars; ","")))</f>
        <v/>
      </c>
      <c r="AW314" s="46" t="str">
        <f aca="false">IF(AS314="","",AS314+ROW()/100000)</f>
        <v/>
      </c>
      <c r="AX314" s="46" t="str">
        <f aca="false">IF(AT314="","",AT314+ROW()/100000)</f>
        <v/>
      </c>
    </row>
    <row r="315" customFormat="false" ht="15" hidden="false" customHeight="false" outlineLevel="0" collapsed="false">
      <c r="A315" s="9" t="str">
        <f aca="false">IF(B315="","",ROW()-5)</f>
        <v/>
      </c>
      <c r="B315" s="40"/>
      <c r="C315" s="8"/>
      <c r="D315" s="9" t="str">
        <f aca="false">IF(B315="","",IF(J315="","Active","Exited"))</f>
        <v/>
      </c>
      <c r="E315" s="8"/>
      <c r="F315" s="8"/>
      <c r="G315" s="8"/>
      <c r="H315" s="9" t="str">
        <f aca="false">IF(OR(B315="",I315=""),"",IF(IF(J315="",AsOf,J315)-I315&gt;=Settings!$C$13,"Permanent","Probation"))</f>
        <v/>
      </c>
      <c r="I315" s="41"/>
      <c r="J315" s="41"/>
      <c r="K315" s="8"/>
      <c r="L315" s="42" t="str">
        <f aca="false">IF(OR(B315="",I315=""),"",ROUND((IF(J315="",AsOf,J315)-I315)/365.25,1))</f>
        <v/>
      </c>
      <c r="M315" s="8"/>
      <c r="N315" s="8"/>
      <c r="O315" s="8"/>
      <c r="P315" s="8"/>
      <c r="Q315" s="41"/>
      <c r="R315" s="43" t="str">
        <f aca="false">IF(OR(B315="",Q315=""),"",INT((AsOf-Q315)/365.25))</f>
        <v/>
      </c>
      <c r="S315" s="8"/>
      <c r="T315" s="40"/>
      <c r="U315" s="40"/>
      <c r="V315" s="40"/>
      <c r="W315" s="40"/>
      <c r="X315" s="8"/>
      <c r="Y315" s="8"/>
      <c r="Z315" s="8"/>
      <c r="AA315" s="8"/>
      <c r="AB315" s="8"/>
      <c r="AC315" s="8"/>
      <c r="AD315" s="8"/>
      <c r="AE315" s="40"/>
      <c r="AF315" s="8"/>
      <c r="AG315" s="40"/>
      <c r="AH315" s="40"/>
      <c r="AI315" s="8"/>
      <c r="AJ315" s="40"/>
      <c r="AK315" s="40"/>
      <c r="AL315" s="40"/>
      <c r="AM315" s="44"/>
      <c r="AN315" s="44"/>
      <c r="AO315" s="41"/>
      <c r="AP315" s="45" t="str">
        <f aca="false">IF(B315="","",IF(AND(ISNUMBER(AM315),ISNUMBER(AN315),AM315&gt;0,AN315&gt;0),AN315/AM315-1,""))</f>
        <v/>
      </c>
      <c r="AQ315" s="9" t="str">
        <f aca="false">IF(I315="","",(YEAR(I315)-IF(MONTH(I315)&lt;4,1,0))&amp;"-"&amp;RIGHT((YEAR(I315)-IF(MONTH(I315)&lt;4,1,0))+1,2))</f>
        <v/>
      </c>
      <c r="AR315" s="9" t="str">
        <f aca="false">IF(J315="","",(YEAR(J315)-IF(MONTH(J315)&lt;4,1,0))&amp;"-"&amp;RIGHT((YEAR(J315)-IF(MONTH(J315)&lt;4,1,0))+1,2))</f>
        <v/>
      </c>
      <c r="AS315" s="43" t="str">
        <f aca="false">IF(OR(B315="",Q315="",D315&lt;&gt;"Active"),"",DATE(YEAR(AsOf)+IF(DATE(YEAR(AsOf),MONTH(Q315),DAY(Q315))&lt;AsOf,1,0),MONTH(Q315),DAY(Q315))-AsOf)</f>
        <v/>
      </c>
      <c r="AT315" s="43" t="str">
        <f aca="false">IF(OR(B315="",I315="",D315&lt;&gt;"Active"),"",IF(YEAR(DATE(YEAR(AsOf)+IF(DATE(YEAR(AsOf),MONTH(I315),DAY(I315))&lt;AsOf,1,0),MONTH(I315),DAY(I315)))-YEAR(I315)&lt;1,"",DATE(YEAR(AsOf)+IF(DATE(YEAR(AsOf),MONTH(I315),DAY(I315))&lt;AsOf,1,0),MONTH(I315),DAY(I315))-AsOf))</f>
        <v/>
      </c>
      <c r="AU315" s="43" t="str">
        <f aca="false">IF(B315="","",IF(AV315="",0,LEN(AV315)-LEN(SUBSTITUTE(AV315,";",""))))</f>
        <v/>
      </c>
      <c r="AV315" s="9" t="str">
        <f aca="false">IF(B315="","",IF(COUNTIF($B$6:$B$505,B315)&gt;1,"Duplicate Emp Code; ","")&amp;IF(C315="","Name missing; ","")&amp;IF(I315="","DOJ missing; ","")&amp;IF(AND(J315&lt;&gt;"",I315&lt;&gt;"",J315&lt;I315),"Exit before DOJ; ","")&amp;IF(Q315="","DOB missing; ","")&amp;IF(T315="","Aadhaar missing; ",IF(LEN(T315)&lt;&gt;12,"Aadhaar not 12 digits; ",IF(COUNTIF($T$6:$T$505,T315)&gt;1,"Duplicate Aadhaar; ","")))&amp;IF(U315="","PAN missing; ",IF(LEN(U315)&lt;&gt;10,"PAN not 10 chars; ",""))&amp;IF(V315="","Mobile missing; ",IF(LEN(V315)&lt;&gt;10,"Mobile not 10 digits; ",""))&amp;IF(AG315="","Bank A/c missing; ","")&amp;IF(AH315="","IFSC missing; ",IF(LEN(AH315)&lt;&gt;11,"IFSC not 11 chars; ","")))</f>
        <v/>
      </c>
      <c r="AW315" s="46" t="str">
        <f aca="false">IF(AS315="","",AS315+ROW()/100000)</f>
        <v/>
      </c>
      <c r="AX315" s="46" t="str">
        <f aca="false">IF(AT315="","",AT315+ROW()/100000)</f>
        <v/>
      </c>
    </row>
    <row r="316" customFormat="false" ht="15" hidden="false" customHeight="false" outlineLevel="0" collapsed="false">
      <c r="A316" s="9" t="str">
        <f aca="false">IF(B316="","",ROW()-5)</f>
        <v/>
      </c>
      <c r="B316" s="40"/>
      <c r="C316" s="8"/>
      <c r="D316" s="9" t="str">
        <f aca="false">IF(B316="","",IF(J316="","Active","Exited"))</f>
        <v/>
      </c>
      <c r="E316" s="8"/>
      <c r="F316" s="8"/>
      <c r="G316" s="8"/>
      <c r="H316" s="9" t="str">
        <f aca="false">IF(OR(B316="",I316=""),"",IF(IF(J316="",AsOf,J316)-I316&gt;=Settings!$C$13,"Permanent","Probation"))</f>
        <v/>
      </c>
      <c r="I316" s="41"/>
      <c r="J316" s="41"/>
      <c r="K316" s="8"/>
      <c r="L316" s="42" t="str">
        <f aca="false">IF(OR(B316="",I316=""),"",ROUND((IF(J316="",AsOf,J316)-I316)/365.25,1))</f>
        <v/>
      </c>
      <c r="M316" s="8"/>
      <c r="N316" s="8"/>
      <c r="O316" s="8"/>
      <c r="P316" s="8"/>
      <c r="Q316" s="41"/>
      <c r="R316" s="43" t="str">
        <f aca="false">IF(OR(B316="",Q316=""),"",INT((AsOf-Q316)/365.25))</f>
        <v/>
      </c>
      <c r="S316" s="8"/>
      <c r="T316" s="40"/>
      <c r="U316" s="40"/>
      <c r="V316" s="40"/>
      <c r="W316" s="40"/>
      <c r="X316" s="8"/>
      <c r="Y316" s="8"/>
      <c r="Z316" s="8"/>
      <c r="AA316" s="8"/>
      <c r="AB316" s="8"/>
      <c r="AC316" s="8"/>
      <c r="AD316" s="8"/>
      <c r="AE316" s="40"/>
      <c r="AF316" s="8"/>
      <c r="AG316" s="40"/>
      <c r="AH316" s="40"/>
      <c r="AI316" s="8"/>
      <c r="AJ316" s="40"/>
      <c r="AK316" s="40"/>
      <c r="AL316" s="40"/>
      <c r="AM316" s="44"/>
      <c r="AN316" s="44"/>
      <c r="AO316" s="41"/>
      <c r="AP316" s="45" t="str">
        <f aca="false">IF(B316="","",IF(AND(ISNUMBER(AM316),ISNUMBER(AN316),AM316&gt;0,AN316&gt;0),AN316/AM316-1,""))</f>
        <v/>
      </c>
      <c r="AQ316" s="9" t="str">
        <f aca="false">IF(I316="","",(YEAR(I316)-IF(MONTH(I316)&lt;4,1,0))&amp;"-"&amp;RIGHT((YEAR(I316)-IF(MONTH(I316)&lt;4,1,0))+1,2))</f>
        <v/>
      </c>
      <c r="AR316" s="9" t="str">
        <f aca="false">IF(J316="","",(YEAR(J316)-IF(MONTH(J316)&lt;4,1,0))&amp;"-"&amp;RIGHT((YEAR(J316)-IF(MONTH(J316)&lt;4,1,0))+1,2))</f>
        <v/>
      </c>
      <c r="AS316" s="43" t="str">
        <f aca="false">IF(OR(B316="",Q316="",D316&lt;&gt;"Active"),"",DATE(YEAR(AsOf)+IF(DATE(YEAR(AsOf),MONTH(Q316),DAY(Q316))&lt;AsOf,1,0),MONTH(Q316),DAY(Q316))-AsOf)</f>
        <v/>
      </c>
      <c r="AT316" s="43" t="str">
        <f aca="false">IF(OR(B316="",I316="",D316&lt;&gt;"Active"),"",IF(YEAR(DATE(YEAR(AsOf)+IF(DATE(YEAR(AsOf),MONTH(I316),DAY(I316))&lt;AsOf,1,0),MONTH(I316),DAY(I316)))-YEAR(I316)&lt;1,"",DATE(YEAR(AsOf)+IF(DATE(YEAR(AsOf),MONTH(I316),DAY(I316))&lt;AsOf,1,0),MONTH(I316),DAY(I316))-AsOf))</f>
        <v/>
      </c>
      <c r="AU316" s="43" t="str">
        <f aca="false">IF(B316="","",IF(AV316="",0,LEN(AV316)-LEN(SUBSTITUTE(AV316,";",""))))</f>
        <v/>
      </c>
      <c r="AV316" s="9" t="str">
        <f aca="false">IF(B316="","",IF(COUNTIF($B$6:$B$505,B316)&gt;1,"Duplicate Emp Code; ","")&amp;IF(C316="","Name missing; ","")&amp;IF(I316="","DOJ missing; ","")&amp;IF(AND(J316&lt;&gt;"",I316&lt;&gt;"",J316&lt;I316),"Exit before DOJ; ","")&amp;IF(Q316="","DOB missing; ","")&amp;IF(T316="","Aadhaar missing; ",IF(LEN(T316)&lt;&gt;12,"Aadhaar not 12 digits; ",IF(COUNTIF($T$6:$T$505,T316)&gt;1,"Duplicate Aadhaar; ","")))&amp;IF(U316="","PAN missing; ",IF(LEN(U316)&lt;&gt;10,"PAN not 10 chars; ",""))&amp;IF(V316="","Mobile missing; ",IF(LEN(V316)&lt;&gt;10,"Mobile not 10 digits; ",""))&amp;IF(AG316="","Bank A/c missing; ","")&amp;IF(AH316="","IFSC missing; ",IF(LEN(AH316)&lt;&gt;11,"IFSC not 11 chars; ","")))</f>
        <v/>
      </c>
      <c r="AW316" s="46" t="str">
        <f aca="false">IF(AS316="","",AS316+ROW()/100000)</f>
        <v/>
      </c>
      <c r="AX316" s="46" t="str">
        <f aca="false">IF(AT316="","",AT316+ROW()/100000)</f>
        <v/>
      </c>
    </row>
    <row r="317" customFormat="false" ht="15" hidden="false" customHeight="false" outlineLevel="0" collapsed="false">
      <c r="A317" s="9" t="str">
        <f aca="false">IF(B317="","",ROW()-5)</f>
        <v/>
      </c>
      <c r="B317" s="40"/>
      <c r="C317" s="8"/>
      <c r="D317" s="9" t="str">
        <f aca="false">IF(B317="","",IF(J317="","Active","Exited"))</f>
        <v/>
      </c>
      <c r="E317" s="8"/>
      <c r="F317" s="8"/>
      <c r="G317" s="8"/>
      <c r="H317" s="9" t="str">
        <f aca="false">IF(OR(B317="",I317=""),"",IF(IF(J317="",AsOf,J317)-I317&gt;=Settings!$C$13,"Permanent","Probation"))</f>
        <v/>
      </c>
      <c r="I317" s="41"/>
      <c r="J317" s="41"/>
      <c r="K317" s="8"/>
      <c r="L317" s="42" t="str">
        <f aca="false">IF(OR(B317="",I317=""),"",ROUND((IF(J317="",AsOf,J317)-I317)/365.25,1))</f>
        <v/>
      </c>
      <c r="M317" s="8"/>
      <c r="N317" s="8"/>
      <c r="O317" s="8"/>
      <c r="P317" s="8"/>
      <c r="Q317" s="41"/>
      <c r="R317" s="43" t="str">
        <f aca="false">IF(OR(B317="",Q317=""),"",INT((AsOf-Q317)/365.25))</f>
        <v/>
      </c>
      <c r="S317" s="8"/>
      <c r="T317" s="40"/>
      <c r="U317" s="40"/>
      <c r="V317" s="40"/>
      <c r="W317" s="40"/>
      <c r="X317" s="8"/>
      <c r="Y317" s="8"/>
      <c r="Z317" s="8"/>
      <c r="AA317" s="8"/>
      <c r="AB317" s="8"/>
      <c r="AC317" s="8"/>
      <c r="AD317" s="8"/>
      <c r="AE317" s="40"/>
      <c r="AF317" s="8"/>
      <c r="AG317" s="40"/>
      <c r="AH317" s="40"/>
      <c r="AI317" s="8"/>
      <c r="AJ317" s="40"/>
      <c r="AK317" s="40"/>
      <c r="AL317" s="40"/>
      <c r="AM317" s="44"/>
      <c r="AN317" s="44"/>
      <c r="AO317" s="41"/>
      <c r="AP317" s="45" t="str">
        <f aca="false">IF(B317="","",IF(AND(ISNUMBER(AM317),ISNUMBER(AN317),AM317&gt;0,AN317&gt;0),AN317/AM317-1,""))</f>
        <v/>
      </c>
      <c r="AQ317" s="9" t="str">
        <f aca="false">IF(I317="","",(YEAR(I317)-IF(MONTH(I317)&lt;4,1,0))&amp;"-"&amp;RIGHT((YEAR(I317)-IF(MONTH(I317)&lt;4,1,0))+1,2))</f>
        <v/>
      </c>
      <c r="AR317" s="9" t="str">
        <f aca="false">IF(J317="","",(YEAR(J317)-IF(MONTH(J317)&lt;4,1,0))&amp;"-"&amp;RIGHT((YEAR(J317)-IF(MONTH(J317)&lt;4,1,0))+1,2))</f>
        <v/>
      </c>
      <c r="AS317" s="43" t="str">
        <f aca="false">IF(OR(B317="",Q317="",D317&lt;&gt;"Active"),"",DATE(YEAR(AsOf)+IF(DATE(YEAR(AsOf),MONTH(Q317),DAY(Q317))&lt;AsOf,1,0),MONTH(Q317),DAY(Q317))-AsOf)</f>
        <v/>
      </c>
      <c r="AT317" s="43" t="str">
        <f aca="false">IF(OR(B317="",I317="",D317&lt;&gt;"Active"),"",IF(YEAR(DATE(YEAR(AsOf)+IF(DATE(YEAR(AsOf),MONTH(I317),DAY(I317))&lt;AsOf,1,0),MONTH(I317),DAY(I317)))-YEAR(I317)&lt;1,"",DATE(YEAR(AsOf)+IF(DATE(YEAR(AsOf),MONTH(I317),DAY(I317))&lt;AsOf,1,0),MONTH(I317),DAY(I317))-AsOf))</f>
        <v/>
      </c>
      <c r="AU317" s="43" t="str">
        <f aca="false">IF(B317="","",IF(AV317="",0,LEN(AV317)-LEN(SUBSTITUTE(AV317,";",""))))</f>
        <v/>
      </c>
      <c r="AV317" s="9" t="str">
        <f aca="false">IF(B317="","",IF(COUNTIF($B$6:$B$505,B317)&gt;1,"Duplicate Emp Code; ","")&amp;IF(C317="","Name missing; ","")&amp;IF(I317="","DOJ missing; ","")&amp;IF(AND(J317&lt;&gt;"",I317&lt;&gt;"",J317&lt;I317),"Exit before DOJ; ","")&amp;IF(Q317="","DOB missing; ","")&amp;IF(T317="","Aadhaar missing; ",IF(LEN(T317)&lt;&gt;12,"Aadhaar not 12 digits; ",IF(COUNTIF($T$6:$T$505,T317)&gt;1,"Duplicate Aadhaar; ","")))&amp;IF(U317="","PAN missing; ",IF(LEN(U317)&lt;&gt;10,"PAN not 10 chars; ",""))&amp;IF(V317="","Mobile missing; ",IF(LEN(V317)&lt;&gt;10,"Mobile not 10 digits; ",""))&amp;IF(AG317="","Bank A/c missing; ","")&amp;IF(AH317="","IFSC missing; ",IF(LEN(AH317)&lt;&gt;11,"IFSC not 11 chars; ","")))</f>
        <v/>
      </c>
      <c r="AW317" s="46" t="str">
        <f aca="false">IF(AS317="","",AS317+ROW()/100000)</f>
        <v/>
      </c>
      <c r="AX317" s="46" t="str">
        <f aca="false">IF(AT317="","",AT317+ROW()/100000)</f>
        <v/>
      </c>
    </row>
    <row r="318" customFormat="false" ht="15" hidden="false" customHeight="false" outlineLevel="0" collapsed="false">
      <c r="A318" s="9" t="str">
        <f aca="false">IF(B318="","",ROW()-5)</f>
        <v/>
      </c>
      <c r="B318" s="40"/>
      <c r="C318" s="8"/>
      <c r="D318" s="9" t="str">
        <f aca="false">IF(B318="","",IF(J318="","Active","Exited"))</f>
        <v/>
      </c>
      <c r="E318" s="8"/>
      <c r="F318" s="8"/>
      <c r="G318" s="8"/>
      <c r="H318" s="9" t="str">
        <f aca="false">IF(OR(B318="",I318=""),"",IF(IF(J318="",AsOf,J318)-I318&gt;=Settings!$C$13,"Permanent","Probation"))</f>
        <v/>
      </c>
      <c r="I318" s="41"/>
      <c r="J318" s="41"/>
      <c r="K318" s="8"/>
      <c r="L318" s="42" t="str">
        <f aca="false">IF(OR(B318="",I318=""),"",ROUND((IF(J318="",AsOf,J318)-I318)/365.25,1))</f>
        <v/>
      </c>
      <c r="M318" s="8"/>
      <c r="N318" s="8"/>
      <c r="O318" s="8"/>
      <c r="P318" s="8"/>
      <c r="Q318" s="41"/>
      <c r="R318" s="43" t="str">
        <f aca="false">IF(OR(B318="",Q318=""),"",INT((AsOf-Q318)/365.25))</f>
        <v/>
      </c>
      <c r="S318" s="8"/>
      <c r="T318" s="40"/>
      <c r="U318" s="40"/>
      <c r="V318" s="40"/>
      <c r="W318" s="40"/>
      <c r="X318" s="8"/>
      <c r="Y318" s="8"/>
      <c r="Z318" s="8"/>
      <c r="AA318" s="8"/>
      <c r="AB318" s="8"/>
      <c r="AC318" s="8"/>
      <c r="AD318" s="8"/>
      <c r="AE318" s="40"/>
      <c r="AF318" s="8"/>
      <c r="AG318" s="40"/>
      <c r="AH318" s="40"/>
      <c r="AI318" s="8"/>
      <c r="AJ318" s="40"/>
      <c r="AK318" s="40"/>
      <c r="AL318" s="40"/>
      <c r="AM318" s="44"/>
      <c r="AN318" s="44"/>
      <c r="AO318" s="41"/>
      <c r="AP318" s="45" t="str">
        <f aca="false">IF(B318="","",IF(AND(ISNUMBER(AM318),ISNUMBER(AN318),AM318&gt;0,AN318&gt;0),AN318/AM318-1,""))</f>
        <v/>
      </c>
      <c r="AQ318" s="9" t="str">
        <f aca="false">IF(I318="","",(YEAR(I318)-IF(MONTH(I318)&lt;4,1,0))&amp;"-"&amp;RIGHT((YEAR(I318)-IF(MONTH(I318)&lt;4,1,0))+1,2))</f>
        <v/>
      </c>
      <c r="AR318" s="9" t="str">
        <f aca="false">IF(J318="","",(YEAR(J318)-IF(MONTH(J318)&lt;4,1,0))&amp;"-"&amp;RIGHT((YEAR(J318)-IF(MONTH(J318)&lt;4,1,0))+1,2))</f>
        <v/>
      </c>
      <c r="AS318" s="43" t="str">
        <f aca="false">IF(OR(B318="",Q318="",D318&lt;&gt;"Active"),"",DATE(YEAR(AsOf)+IF(DATE(YEAR(AsOf),MONTH(Q318),DAY(Q318))&lt;AsOf,1,0),MONTH(Q318),DAY(Q318))-AsOf)</f>
        <v/>
      </c>
      <c r="AT318" s="43" t="str">
        <f aca="false">IF(OR(B318="",I318="",D318&lt;&gt;"Active"),"",IF(YEAR(DATE(YEAR(AsOf)+IF(DATE(YEAR(AsOf),MONTH(I318),DAY(I318))&lt;AsOf,1,0),MONTH(I318),DAY(I318)))-YEAR(I318)&lt;1,"",DATE(YEAR(AsOf)+IF(DATE(YEAR(AsOf),MONTH(I318),DAY(I318))&lt;AsOf,1,0),MONTH(I318),DAY(I318))-AsOf))</f>
        <v/>
      </c>
      <c r="AU318" s="43" t="str">
        <f aca="false">IF(B318="","",IF(AV318="",0,LEN(AV318)-LEN(SUBSTITUTE(AV318,";",""))))</f>
        <v/>
      </c>
      <c r="AV318" s="9" t="str">
        <f aca="false">IF(B318="","",IF(COUNTIF($B$6:$B$505,B318)&gt;1,"Duplicate Emp Code; ","")&amp;IF(C318="","Name missing; ","")&amp;IF(I318="","DOJ missing; ","")&amp;IF(AND(J318&lt;&gt;"",I318&lt;&gt;"",J318&lt;I318),"Exit before DOJ; ","")&amp;IF(Q318="","DOB missing; ","")&amp;IF(T318="","Aadhaar missing; ",IF(LEN(T318)&lt;&gt;12,"Aadhaar not 12 digits; ",IF(COUNTIF($T$6:$T$505,T318)&gt;1,"Duplicate Aadhaar; ","")))&amp;IF(U318="","PAN missing; ",IF(LEN(U318)&lt;&gt;10,"PAN not 10 chars; ",""))&amp;IF(V318="","Mobile missing; ",IF(LEN(V318)&lt;&gt;10,"Mobile not 10 digits; ",""))&amp;IF(AG318="","Bank A/c missing; ","")&amp;IF(AH318="","IFSC missing; ",IF(LEN(AH318)&lt;&gt;11,"IFSC not 11 chars; ","")))</f>
        <v/>
      </c>
      <c r="AW318" s="46" t="str">
        <f aca="false">IF(AS318="","",AS318+ROW()/100000)</f>
        <v/>
      </c>
      <c r="AX318" s="46" t="str">
        <f aca="false">IF(AT318="","",AT318+ROW()/100000)</f>
        <v/>
      </c>
    </row>
    <row r="319" customFormat="false" ht="15" hidden="false" customHeight="false" outlineLevel="0" collapsed="false">
      <c r="A319" s="9" t="str">
        <f aca="false">IF(B319="","",ROW()-5)</f>
        <v/>
      </c>
      <c r="B319" s="40"/>
      <c r="C319" s="8"/>
      <c r="D319" s="9" t="str">
        <f aca="false">IF(B319="","",IF(J319="","Active","Exited"))</f>
        <v/>
      </c>
      <c r="E319" s="8"/>
      <c r="F319" s="8"/>
      <c r="G319" s="8"/>
      <c r="H319" s="9" t="str">
        <f aca="false">IF(OR(B319="",I319=""),"",IF(IF(J319="",AsOf,J319)-I319&gt;=Settings!$C$13,"Permanent","Probation"))</f>
        <v/>
      </c>
      <c r="I319" s="41"/>
      <c r="J319" s="41"/>
      <c r="K319" s="8"/>
      <c r="L319" s="42" t="str">
        <f aca="false">IF(OR(B319="",I319=""),"",ROUND((IF(J319="",AsOf,J319)-I319)/365.25,1))</f>
        <v/>
      </c>
      <c r="M319" s="8"/>
      <c r="N319" s="8"/>
      <c r="O319" s="8"/>
      <c r="P319" s="8"/>
      <c r="Q319" s="41"/>
      <c r="R319" s="43" t="str">
        <f aca="false">IF(OR(B319="",Q319=""),"",INT((AsOf-Q319)/365.25))</f>
        <v/>
      </c>
      <c r="S319" s="8"/>
      <c r="T319" s="40"/>
      <c r="U319" s="40"/>
      <c r="V319" s="40"/>
      <c r="W319" s="40"/>
      <c r="X319" s="8"/>
      <c r="Y319" s="8"/>
      <c r="Z319" s="8"/>
      <c r="AA319" s="8"/>
      <c r="AB319" s="8"/>
      <c r="AC319" s="8"/>
      <c r="AD319" s="8"/>
      <c r="AE319" s="40"/>
      <c r="AF319" s="8"/>
      <c r="AG319" s="40"/>
      <c r="AH319" s="40"/>
      <c r="AI319" s="8"/>
      <c r="AJ319" s="40"/>
      <c r="AK319" s="40"/>
      <c r="AL319" s="40"/>
      <c r="AM319" s="44"/>
      <c r="AN319" s="44"/>
      <c r="AO319" s="41"/>
      <c r="AP319" s="45" t="str">
        <f aca="false">IF(B319="","",IF(AND(ISNUMBER(AM319),ISNUMBER(AN319),AM319&gt;0,AN319&gt;0),AN319/AM319-1,""))</f>
        <v/>
      </c>
      <c r="AQ319" s="9" t="str">
        <f aca="false">IF(I319="","",(YEAR(I319)-IF(MONTH(I319)&lt;4,1,0))&amp;"-"&amp;RIGHT((YEAR(I319)-IF(MONTH(I319)&lt;4,1,0))+1,2))</f>
        <v/>
      </c>
      <c r="AR319" s="9" t="str">
        <f aca="false">IF(J319="","",(YEAR(J319)-IF(MONTH(J319)&lt;4,1,0))&amp;"-"&amp;RIGHT((YEAR(J319)-IF(MONTH(J319)&lt;4,1,0))+1,2))</f>
        <v/>
      </c>
      <c r="AS319" s="43" t="str">
        <f aca="false">IF(OR(B319="",Q319="",D319&lt;&gt;"Active"),"",DATE(YEAR(AsOf)+IF(DATE(YEAR(AsOf),MONTH(Q319),DAY(Q319))&lt;AsOf,1,0),MONTH(Q319),DAY(Q319))-AsOf)</f>
        <v/>
      </c>
      <c r="AT319" s="43" t="str">
        <f aca="false">IF(OR(B319="",I319="",D319&lt;&gt;"Active"),"",IF(YEAR(DATE(YEAR(AsOf)+IF(DATE(YEAR(AsOf),MONTH(I319),DAY(I319))&lt;AsOf,1,0),MONTH(I319),DAY(I319)))-YEAR(I319)&lt;1,"",DATE(YEAR(AsOf)+IF(DATE(YEAR(AsOf),MONTH(I319),DAY(I319))&lt;AsOf,1,0),MONTH(I319),DAY(I319))-AsOf))</f>
        <v/>
      </c>
      <c r="AU319" s="43" t="str">
        <f aca="false">IF(B319="","",IF(AV319="",0,LEN(AV319)-LEN(SUBSTITUTE(AV319,";",""))))</f>
        <v/>
      </c>
      <c r="AV319" s="9" t="str">
        <f aca="false">IF(B319="","",IF(COUNTIF($B$6:$B$505,B319)&gt;1,"Duplicate Emp Code; ","")&amp;IF(C319="","Name missing; ","")&amp;IF(I319="","DOJ missing; ","")&amp;IF(AND(J319&lt;&gt;"",I319&lt;&gt;"",J319&lt;I319),"Exit before DOJ; ","")&amp;IF(Q319="","DOB missing; ","")&amp;IF(T319="","Aadhaar missing; ",IF(LEN(T319)&lt;&gt;12,"Aadhaar not 12 digits; ",IF(COUNTIF($T$6:$T$505,T319)&gt;1,"Duplicate Aadhaar; ","")))&amp;IF(U319="","PAN missing; ",IF(LEN(U319)&lt;&gt;10,"PAN not 10 chars; ",""))&amp;IF(V319="","Mobile missing; ",IF(LEN(V319)&lt;&gt;10,"Mobile not 10 digits; ",""))&amp;IF(AG319="","Bank A/c missing; ","")&amp;IF(AH319="","IFSC missing; ",IF(LEN(AH319)&lt;&gt;11,"IFSC not 11 chars; ","")))</f>
        <v/>
      </c>
      <c r="AW319" s="46" t="str">
        <f aca="false">IF(AS319="","",AS319+ROW()/100000)</f>
        <v/>
      </c>
      <c r="AX319" s="46" t="str">
        <f aca="false">IF(AT319="","",AT319+ROW()/100000)</f>
        <v/>
      </c>
    </row>
    <row r="320" customFormat="false" ht="15" hidden="false" customHeight="false" outlineLevel="0" collapsed="false">
      <c r="A320" s="9" t="str">
        <f aca="false">IF(B320="","",ROW()-5)</f>
        <v/>
      </c>
      <c r="B320" s="40"/>
      <c r="C320" s="8"/>
      <c r="D320" s="9" t="str">
        <f aca="false">IF(B320="","",IF(J320="","Active","Exited"))</f>
        <v/>
      </c>
      <c r="E320" s="8"/>
      <c r="F320" s="8"/>
      <c r="G320" s="8"/>
      <c r="H320" s="9" t="str">
        <f aca="false">IF(OR(B320="",I320=""),"",IF(IF(J320="",AsOf,J320)-I320&gt;=Settings!$C$13,"Permanent","Probation"))</f>
        <v/>
      </c>
      <c r="I320" s="41"/>
      <c r="J320" s="41"/>
      <c r="K320" s="8"/>
      <c r="L320" s="42" t="str">
        <f aca="false">IF(OR(B320="",I320=""),"",ROUND((IF(J320="",AsOf,J320)-I320)/365.25,1))</f>
        <v/>
      </c>
      <c r="M320" s="8"/>
      <c r="N320" s="8"/>
      <c r="O320" s="8"/>
      <c r="P320" s="8"/>
      <c r="Q320" s="41"/>
      <c r="R320" s="43" t="str">
        <f aca="false">IF(OR(B320="",Q320=""),"",INT((AsOf-Q320)/365.25))</f>
        <v/>
      </c>
      <c r="S320" s="8"/>
      <c r="T320" s="40"/>
      <c r="U320" s="40"/>
      <c r="V320" s="40"/>
      <c r="W320" s="40"/>
      <c r="X320" s="8"/>
      <c r="Y320" s="8"/>
      <c r="Z320" s="8"/>
      <c r="AA320" s="8"/>
      <c r="AB320" s="8"/>
      <c r="AC320" s="8"/>
      <c r="AD320" s="8"/>
      <c r="AE320" s="40"/>
      <c r="AF320" s="8"/>
      <c r="AG320" s="40"/>
      <c r="AH320" s="40"/>
      <c r="AI320" s="8"/>
      <c r="AJ320" s="40"/>
      <c r="AK320" s="40"/>
      <c r="AL320" s="40"/>
      <c r="AM320" s="44"/>
      <c r="AN320" s="44"/>
      <c r="AO320" s="41"/>
      <c r="AP320" s="45" t="str">
        <f aca="false">IF(B320="","",IF(AND(ISNUMBER(AM320),ISNUMBER(AN320),AM320&gt;0,AN320&gt;0),AN320/AM320-1,""))</f>
        <v/>
      </c>
      <c r="AQ320" s="9" t="str">
        <f aca="false">IF(I320="","",(YEAR(I320)-IF(MONTH(I320)&lt;4,1,0))&amp;"-"&amp;RIGHT((YEAR(I320)-IF(MONTH(I320)&lt;4,1,0))+1,2))</f>
        <v/>
      </c>
      <c r="AR320" s="9" t="str">
        <f aca="false">IF(J320="","",(YEAR(J320)-IF(MONTH(J320)&lt;4,1,0))&amp;"-"&amp;RIGHT((YEAR(J320)-IF(MONTH(J320)&lt;4,1,0))+1,2))</f>
        <v/>
      </c>
      <c r="AS320" s="43" t="str">
        <f aca="false">IF(OR(B320="",Q320="",D320&lt;&gt;"Active"),"",DATE(YEAR(AsOf)+IF(DATE(YEAR(AsOf),MONTH(Q320),DAY(Q320))&lt;AsOf,1,0),MONTH(Q320),DAY(Q320))-AsOf)</f>
        <v/>
      </c>
      <c r="AT320" s="43" t="str">
        <f aca="false">IF(OR(B320="",I320="",D320&lt;&gt;"Active"),"",IF(YEAR(DATE(YEAR(AsOf)+IF(DATE(YEAR(AsOf),MONTH(I320),DAY(I320))&lt;AsOf,1,0),MONTH(I320),DAY(I320)))-YEAR(I320)&lt;1,"",DATE(YEAR(AsOf)+IF(DATE(YEAR(AsOf),MONTH(I320),DAY(I320))&lt;AsOf,1,0),MONTH(I320),DAY(I320))-AsOf))</f>
        <v/>
      </c>
      <c r="AU320" s="43" t="str">
        <f aca="false">IF(B320="","",IF(AV320="",0,LEN(AV320)-LEN(SUBSTITUTE(AV320,";",""))))</f>
        <v/>
      </c>
      <c r="AV320" s="9" t="str">
        <f aca="false">IF(B320="","",IF(COUNTIF($B$6:$B$505,B320)&gt;1,"Duplicate Emp Code; ","")&amp;IF(C320="","Name missing; ","")&amp;IF(I320="","DOJ missing; ","")&amp;IF(AND(J320&lt;&gt;"",I320&lt;&gt;"",J320&lt;I320),"Exit before DOJ; ","")&amp;IF(Q320="","DOB missing; ","")&amp;IF(T320="","Aadhaar missing; ",IF(LEN(T320)&lt;&gt;12,"Aadhaar not 12 digits; ",IF(COUNTIF($T$6:$T$505,T320)&gt;1,"Duplicate Aadhaar; ","")))&amp;IF(U320="","PAN missing; ",IF(LEN(U320)&lt;&gt;10,"PAN not 10 chars; ",""))&amp;IF(V320="","Mobile missing; ",IF(LEN(V320)&lt;&gt;10,"Mobile not 10 digits; ",""))&amp;IF(AG320="","Bank A/c missing; ","")&amp;IF(AH320="","IFSC missing; ",IF(LEN(AH320)&lt;&gt;11,"IFSC not 11 chars; ","")))</f>
        <v/>
      </c>
      <c r="AW320" s="46" t="str">
        <f aca="false">IF(AS320="","",AS320+ROW()/100000)</f>
        <v/>
      </c>
      <c r="AX320" s="46" t="str">
        <f aca="false">IF(AT320="","",AT320+ROW()/100000)</f>
        <v/>
      </c>
    </row>
    <row r="321" customFormat="false" ht="15" hidden="false" customHeight="false" outlineLevel="0" collapsed="false">
      <c r="A321" s="9" t="str">
        <f aca="false">IF(B321="","",ROW()-5)</f>
        <v/>
      </c>
      <c r="B321" s="40"/>
      <c r="C321" s="8"/>
      <c r="D321" s="9" t="str">
        <f aca="false">IF(B321="","",IF(J321="","Active","Exited"))</f>
        <v/>
      </c>
      <c r="E321" s="8"/>
      <c r="F321" s="8"/>
      <c r="G321" s="8"/>
      <c r="H321" s="9" t="str">
        <f aca="false">IF(OR(B321="",I321=""),"",IF(IF(J321="",AsOf,J321)-I321&gt;=Settings!$C$13,"Permanent","Probation"))</f>
        <v/>
      </c>
      <c r="I321" s="41"/>
      <c r="J321" s="41"/>
      <c r="K321" s="8"/>
      <c r="L321" s="42" t="str">
        <f aca="false">IF(OR(B321="",I321=""),"",ROUND((IF(J321="",AsOf,J321)-I321)/365.25,1))</f>
        <v/>
      </c>
      <c r="M321" s="8"/>
      <c r="N321" s="8"/>
      <c r="O321" s="8"/>
      <c r="P321" s="8"/>
      <c r="Q321" s="41"/>
      <c r="R321" s="43" t="str">
        <f aca="false">IF(OR(B321="",Q321=""),"",INT((AsOf-Q321)/365.25))</f>
        <v/>
      </c>
      <c r="S321" s="8"/>
      <c r="T321" s="40"/>
      <c r="U321" s="40"/>
      <c r="V321" s="40"/>
      <c r="W321" s="40"/>
      <c r="X321" s="8"/>
      <c r="Y321" s="8"/>
      <c r="Z321" s="8"/>
      <c r="AA321" s="8"/>
      <c r="AB321" s="8"/>
      <c r="AC321" s="8"/>
      <c r="AD321" s="8"/>
      <c r="AE321" s="40"/>
      <c r="AF321" s="8"/>
      <c r="AG321" s="40"/>
      <c r="AH321" s="40"/>
      <c r="AI321" s="8"/>
      <c r="AJ321" s="40"/>
      <c r="AK321" s="40"/>
      <c r="AL321" s="40"/>
      <c r="AM321" s="44"/>
      <c r="AN321" s="44"/>
      <c r="AO321" s="41"/>
      <c r="AP321" s="45" t="str">
        <f aca="false">IF(B321="","",IF(AND(ISNUMBER(AM321),ISNUMBER(AN321),AM321&gt;0,AN321&gt;0),AN321/AM321-1,""))</f>
        <v/>
      </c>
      <c r="AQ321" s="9" t="str">
        <f aca="false">IF(I321="","",(YEAR(I321)-IF(MONTH(I321)&lt;4,1,0))&amp;"-"&amp;RIGHT((YEAR(I321)-IF(MONTH(I321)&lt;4,1,0))+1,2))</f>
        <v/>
      </c>
      <c r="AR321" s="9" t="str">
        <f aca="false">IF(J321="","",(YEAR(J321)-IF(MONTH(J321)&lt;4,1,0))&amp;"-"&amp;RIGHT((YEAR(J321)-IF(MONTH(J321)&lt;4,1,0))+1,2))</f>
        <v/>
      </c>
      <c r="AS321" s="43" t="str">
        <f aca="false">IF(OR(B321="",Q321="",D321&lt;&gt;"Active"),"",DATE(YEAR(AsOf)+IF(DATE(YEAR(AsOf),MONTH(Q321),DAY(Q321))&lt;AsOf,1,0),MONTH(Q321),DAY(Q321))-AsOf)</f>
        <v/>
      </c>
      <c r="AT321" s="43" t="str">
        <f aca="false">IF(OR(B321="",I321="",D321&lt;&gt;"Active"),"",IF(YEAR(DATE(YEAR(AsOf)+IF(DATE(YEAR(AsOf),MONTH(I321),DAY(I321))&lt;AsOf,1,0),MONTH(I321),DAY(I321)))-YEAR(I321)&lt;1,"",DATE(YEAR(AsOf)+IF(DATE(YEAR(AsOf),MONTH(I321),DAY(I321))&lt;AsOf,1,0),MONTH(I321),DAY(I321))-AsOf))</f>
        <v/>
      </c>
      <c r="AU321" s="43" t="str">
        <f aca="false">IF(B321="","",IF(AV321="",0,LEN(AV321)-LEN(SUBSTITUTE(AV321,";",""))))</f>
        <v/>
      </c>
      <c r="AV321" s="9" t="str">
        <f aca="false">IF(B321="","",IF(COUNTIF($B$6:$B$505,B321)&gt;1,"Duplicate Emp Code; ","")&amp;IF(C321="","Name missing; ","")&amp;IF(I321="","DOJ missing; ","")&amp;IF(AND(J321&lt;&gt;"",I321&lt;&gt;"",J321&lt;I321),"Exit before DOJ; ","")&amp;IF(Q321="","DOB missing; ","")&amp;IF(T321="","Aadhaar missing; ",IF(LEN(T321)&lt;&gt;12,"Aadhaar not 12 digits; ",IF(COUNTIF($T$6:$T$505,T321)&gt;1,"Duplicate Aadhaar; ","")))&amp;IF(U321="","PAN missing; ",IF(LEN(U321)&lt;&gt;10,"PAN not 10 chars; ",""))&amp;IF(V321="","Mobile missing; ",IF(LEN(V321)&lt;&gt;10,"Mobile not 10 digits; ",""))&amp;IF(AG321="","Bank A/c missing; ","")&amp;IF(AH321="","IFSC missing; ",IF(LEN(AH321)&lt;&gt;11,"IFSC not 11 chars; ","")))</f>
        <v/>
      </c>
      <c r="AW321" s="46" t="str">
        <f aca="false">IF(AS321="","",AS321+ROW()/100000)</f>
        <v/>
      </c>
      <c r="AX321" s="46" t="str">
        <f aca="false">IF(AT321="","",AT321+ROW()/100000)</f>
        <v/>
      </c>
    </row>
    <row r="322" customFormat="false" ht="15" hidden="false" customHeight="false" outlineLevel="0" collapsed="false">
      <c r="A322" s="9" t="str">
        <f aca="false">IF(B322="","",ROW()-5)</f>
        <v/>
      </c>
      <c r="B322" s="40"/>
      <c r="C322" s="8"/>
      <c r="D322" s="9" t="str">
        <f aca="false">IF(B322="","",IF(J322="","Active","Exited"))</f>
        <v/>
      </c>
      <c r="E322" s="8"/>
      <c r="F322" s="8"/>
      <c r="G322" s="8"/>
      <c r="H322" s="9" t="str">
        <f aca="false">IF(OR(B322="",I322=""),"",IF(IF(J322="",AsOf,J322)-I322&gt;=Settings!$C$13,"Permanent","Probation"))</f>
        <v/>
      </c>
      <c r="I322" s="41"/>
      <c r="J322" s="41"/>
      <c r="K322" s="8"/>
      <c r="L322" s="42" t="str">
        <f aca="false">IF(OR(B322="",I322=""),"",ROUND((IF(J322="",AsOf,J322)-I322)/365.25,1))</f>
        <v/>
      </c>
      <c r="M322" s="8"/>
      <c r="N322" s="8"/>
      <c r="O322" s="8"/>
      <c r="P322" s="8"/>
      <c r="Q322" s="41"/>
      <c r="R322" s="43" t="str">
        <f aca="false">IF(OR(B322="",Q322=""),"",INT((AsOf-Q322)/365.25))</f>
        <v/>
      </c>
      <c r="S322" s="8"/>
      <c r="T322" s="40"/>
      <c r="U322" s="40"/>
      <c r="V322" s="40"/>
      <c r="W322" s="40"/>
      <c r="X322" s="8"/>
      <c r="Y322" s="8"/>
      <c r="Z322" s="8"/>
      <c r="AA322" s="8"/>
      <c r="AB322" s="8"/>
      <c r="AC322" s="8"/>
      <c r="AD322" s="8"/>
      <c r="AE322" s="40"/>
      <c r="AF322" s="8"/>
      <c r="AG322" s="40"/>
      <c r="AH322" s="40"/>
      <c r="AI322" s="8"/>
      <c r="AJ322" s="40"/>
      <c r="AK322" s="40"/>
      <c r="AL322" s="40"/>
      <c r="AM322" s="44"/>
      <c r="AN322" s="44"/>
      <c r="AO322" s="41"/>
      <c r="AP322" s="45" t="str">
        <f aca="false">IF(B322="","",IF(AND(ISNUMBER(AM322),ISNUMBER(AN322),AM322&gt;0,AN322&gt;0),AN322/AM322-1,""))</f>
        <v/>
      </c>
      <c r="AQ322" s="9" t="str">
        <f aca="false">IF(I322="","",(YEAR(I322)-IF(MONTH(I322)&lt;4,1,0))&amp;"-"&amp;RIGHT((YEAR(I322)-IF(MONTH(I322)&lt;4,1,0))+1,2))</f>
        <v/>
      </c>
      <c r="AR322" s="9" t="str">
        <f aca="false">IF(J322="","",(YEAR(J322)-IF(MONTH(J322)&lt;4,1,0))&amp;"-"&amp;RIGHT((YEAR(J322)-IF(MONTH(J322)&lt;4,1,0))+1,2))</f>
        <v/>
      </c>
      <c r="AS322" s="43" t="str">
        <f aca="false">IF(OR(B322="",Q322="",D322&lt;&gt;"Active"),"",DATE(YEAR(AsOf)+IF(DATE(YEAR(AsOf),MONTH(Q322),DAY(Q322))&lt;AsOf,1,0),MONTH(Q322),DAY(Q322))-AsOf)</f>
        <v/>
      </c>
      <c r="AT322" s="43" t="str">
        <f aca="false">IF(OR(B322="",I322="",D322&lt;&gt;"Active"),"",IF(YEAR(DATE(YEAR(AsOf)+IF(DATE(YEAR(AsOf),MONTH(I322),DAY(I322))&lt;AsOf,1,0),MONTH(I322),DAY(I322)))-YEAR(I322)&lt;1,"",DATE(YEAR(AsOf)+IF(DATE(YEAR(AsOf),MONTH(I322),DAY(I322))&lt;AsOf,1,0),MONTH(I322),DAY(I322))-AsOf))</f>
        <v/>
      </c>
      <c r="AU322" s="43" t="str">
        <f aca="false">IF(B322="","",IF(AV322="",0,LEN(AV322)-LEN(SUBSTITUTE(AV322,";",""))))</f>
        <v/>
      </c>
      <c r="AV322" s="9" t="str">
        <f aca="false">IF(B322="","",IF(COUNTIF($B$6:$B$505,B322)&gt;1,"Duplicate Emp Code; ","")&amp;IF(C322="","Name missing; ","")&amp;IF(I322="","DOJ missing; ","")&amp;IF(AND(J322&lt;&gt;"",I322&lt;&gt;"",J322&lt;I322),"Exit before DOJ; ","")&amp;IF(Q322="","DOB missing; ","")&amp;IF(T322="","Aadhaar missing; ",IF(LEN(T322)&lt;&gt;12,"Aadhaar not 12 digits; ",IF(COUNTIF($T$6:$T$505,T322)&gt;1,"Duplicate Aadhaar; ","")))&amp;IF(U322="","PAN missing; ",IF(LEN(U322)&lt;&gt;10,"PAN not 10 chars; ",""))&amp;IF(V322="","Mobile missing; ",IF(LEN(V322)&lt;&gt;10,"Mobile not 10 digits; ",""))&amp;IF(AG322="","Bank A/c missing; ","")&amp;IF(AH322="","IFSC missing; ",IF(LEN(AH322)&lt;&gt;11,"IFSC not 11 chars; ","")))</f>
        <v/>
      </c>
      <c r="AW322" s="46" t="str">
        <f aca="false">IF(AS322="","",AS322+ROW()/100000)</f>
        <v/>
      </c>
      <c r="AX322" s="46" t="str">
        <f aca="false">IF(AT322="","",AT322+ROW()/100000)</f>
        <v/>
      </c>
    </row>
    <row r="323" customFormat="false" ht="15" hidden="false" customHeight="false" outlineLevel="0" collapsed="false">
      <c r="A323" s="9" t="str">
        <f aca="false">IF(B323="","",ROW()-5)</f>
        <v/>
      </c>
      <c r="B323" s="40"/>
      <c r="C323" s="8"/>
      <c r="D323" s="9" t="str">
        <f aca="false">IF(B323="","",IF(J323="","Active","Exited"))</f>
        <v/>
      </c>
      <c r="E323" s="8"/>
      <c r="F323" s="8"/>
      <c r="G323" s="8"/>
      <c r="H323" s="9" t="str">
        <f aca="false">IF(OR(B323="",I323=""),"",IF(IF(J323="",AsOf,J323)-I323&gt;=Settings!$C$13,"Permanent","Probation"))</f>
        <v/>
      </c>
      <c r="I323" s="41"/>
      <c r="J323" s="41"/>
      <c r="K323" s="8"/>
      <c r="L323" s="42" t="str">
        <f aca="false">IF(OR(B323="",I323=""),"",ROUND((IF(J323="",AsOf,J323)-I323)/365.25,1))</f>
        <v/>
      </c>
      <c r="M323" s="8"/>
      <c r="N323" s="8"/>
      <c r="O323" s="8"/>
      <c r="P323" s="8"/>
      <c r="Q323" s="41"/>
      <c r="R323" s="43" t="str">
        <f aca="false">IF(OR(B323="",Q323=""),"",INT((AsOf-Q323)/365.25))</f>
        <v/>
      </c>
      <c r="S323" s="8"/>
      <c r="T323" s="40"/>
      <c r="U323" s="40"/>
      <c r="V323" s="40"/>
      <c r="W323" s="40"/>
      <c r="X323" s="8"/>
      <c r="Y323" s="8"/>
      <c r="Z323" s="8"/>
      <c r="AA323" s="8"/>
      <c r="AB323" s="8"/>
      <c r="AC323" s="8"/>
      <c r="AD323" s="8"/>
      <c r="AE323" s="40"/>
      <c r="AF323" s="8"/>
      <c r="AG323" s="40"/>
      <c r="AH323" s="40"/>
      <c r="AI323" s="8"/>
      <c r="AJ323" s="40"/>
      <c r="AK323" s="40"/>
      <c r="AL323" s="40"/>
      <c r="AM323" s="44"/>
      <c r="AN323" s="44"/>
      <c r="AO323" s="41"/>
      <c r="AP323" s="45" t="str">
        <f aca="false">IF(B323="","",IF(AND(ISNUMBER(AM323),ISNUMBER(AN323),AM323&gt;0,AN323&gt;0),AN323/AM323-1,""))</f>
        <v/>
      </c>
      <c r="AQ323" s="9" t="str">
        <f aca="false">IF(I323="","",(YEAR(I323)-IF(MONTH(I323)&lt;4,1,0))&amp;"-"&amp;RIGHT((YEAR(I323)-IF(MONTH(I323)&lt;4,1,0))+1,2))</f>
        <v/>
      </c>
      <c r="AR323" s="9" t="str">
        <f aca="false">IF(J323="","",(YEAR(J323)-IF(MONTH(J323)&lt;4,1,0))&amp;"-"&amp;RIGHT((YEAR(J323)-IF(MONTH(J323)&lt;4,1,0))+1,2))</f>
        <v/>
      </c>
      <c r="AS323" s="43" t="str">
        <f aca="false">IF(OR(B323="",Q323="",D323&lt;&gt;"Active"),"",DATE(YEAR(AsOf)+IF(DATE(YEAR(AsOf),MONTH(Q323),DAY(Q323))&lt;AsOf,1,0),MONTH(Q323),DAY(Q323))-AsOf)</f>
        <v/>
      </c>
      <c r="AT323" s="43" t="str">
        <f aca="false">IF(OR(B323="",I323="",D323&lt;&gt;"Active"),"",IF(YEAR(DATE(YEAR(AsOf)+IF(DATE(YEAR(AsOf),MONTH(I323),DAY(I323))&lt;AsOf,1,0),MONTH(I323),DAY(I323)))-YEAR(I323)&lt;1,"",DATE(YEAR(AsOf)+IF(DATE(YEAR(AsOf),MONTH(I323),DAY(I323))&lt;AsOf,1,0),MONTH(I323),DAY(I323))-AsOf))</f>
        <v/>
      </c>
      <c r="AU323" s="43" t="str">
        <f aca="false">IF(B323="","",IF(AV323="",0,LEN(AV323)-LEN(SUBSTITUTE(AV323,";",""))))</f>
        <v/>
      </c>
      <c r="AV323" s="9" t="str">
        <f aca="false">IF(B323="","",IF(COUNTIF($B$6:$B$505,B323)&gt;1,"Duplicate Emp Code; ","")&amp;IF(C323="","Name missing; ","")&amp;IF(I323="","DOJ missing; ","")&amp;IF(AND(J323&lt;&gt;"",I323&lt;&gt;"",J323&lt;I323),"Exit before DOJ; ","")&amp;IF(Q323="","DOB missing; ","")&amp;IF(T323="","Aadhaar missing; ",IF(LEN(T323)&lt;&gt;12,"Aadhaar not 12 digits; ",IF(COUNTIF($T$6:$T$505,T323)&gt;1,"Duplicate Aadhaar; ","")))&amp;IF(U323="","PAN missing; ",IF(LEN(U323)&lt;&gt;10,"PAN not 10 chars; ",""))&amp;IF(V323="","Mobile missing; ",IF(LEN(V323)&lt;&gt;10,"Mobile not 10 digits; ",""))&amp;IF(AG323="","Bank A/c missing; ","")&amp;IF(AH323="","IFSC missing; ",IF(LEN(AH323)&lt;&gt;11,"IFSC not 11 chars; ","")))</f>
        <v/>
      </c>
      <c r="AW323" s="46" t="str">
        <f aca="false">IF(AS323="","",AS323+ROW()/100000)</f>
        <v/>
      </c>
      <c r="AX323" s="46" t="str">
        <f aca="false">IF(AT323="","",AT323+ROW()/100000)</f>
        <v/>
      </c>
    </row>
    <row r="324" customFormat="false" ht="15" hidden="false" customHeight="false" outlineLevel="0" collapsed="false">
      <c r="A324" s="9" t="str">
        <f aca="false">IF(B324="","",ROW()-5)</f>
        <v/>
      </c>
      <c r="B324" s="40"/>
      <c r="C324" s="8"/>
      <c r="D324" s="9" t="str">
        <f aca="false">IF(B324="","",IF(J324="","Active","Exited"))</f>
        <v/>
      </c>
      <c r="E324" s="8"/>
      <c r="F324" s="8"/>
      <c r="G324" s="8"/>
      <c r="H324" s="9" t="str">
        <f aca="false">IF(OR(B324="",I324=""),"",IF(IF(J324="",AsOf,J324)-I324&gt;=Settings!$C$13,"Permanent","Probation"))</f>
        <v/>
      </c>
      <c r="I324" s="41"/>
      <c r="J324" s="41"/>
      <c r="K324" s="8"/>
      <c r="L324" s="42" t="str">
        <f aca="false">IF(OR(B324="",I324=""),"",ROUND((IF(J324="",AsOf,J324)-I324)/365.25,1))</f>
        <v/>
      </c>
      <c r="M324" s="8"/>
      <c r="N324" s="8"/>
      <c r="O324" s="8"/>
      <c r="P324" s="8"/>
      <c r="Q324" s="41"/>
      <c r="R324" s="43" t="str">
        <f aca="false">IF(OR(B324="",Q324=""),"",INT((AsOf-Q324)/365.25))</f>
        <v/>
      </c>
      <c r="S324" s="8"/>
      <c r="T324" s="40"/>
      <c r="U324" s="40"/>
      <c r="V324" s="40"/>
      <c r="W324" s="40"/>
      <c r="X324" s="8"/>
      <c r="Y324" s="8"/>
      <c r="Z324" s="8"/>
      <c r="AA324" s="8"/>
      <c r="AB324" s="8"/>
      <c r="AC324" s="8"/>
      <c r="AD324" s="8"/>
      <c r="AE324" s="40"/>
      <c r="AF324" s="8"/>
      <c r="AG324" s="40"/>
      <c r="AH324" s="40"/>
      <c r="AI324" s="8"/>
      <c r="AJ324" s="40"/>
      <c r="AK324" s="40"/>
      <c r="AL324" s="40"/>
      <c r="AM324" s="44"/>
      <c r="AN324" s="44"/>
      <c r="AO324" s="41"/>
      <c r="AP324" s="45" t="str">
        <f aca="false">IF(B324="","",IF(AND(ISNUMBER(AM324),ISNUMBER(AN324),AM324&gt;0,AN324&gt;0),AN324/AM324-1,""))</f>
        <v/>
      </c>
      <c r="AQ324" s="9" t="str">
        <f aca="false">IF(I324="","",(YEAR(I324)-IF(MONTH(I324)&lt;4,1,0))&amp;"-"&amp;RIGHT((YEAR(I324)-IF(MONTH(I324)&lt;4,1,0))+1,2))</f>
        <v/>
      </c>
      <c r="AR324" s="9" t="str">
        <f aca="false">IF(J324="","",(YEAR(J324)-IF(MONTH(J324)&lt;4,1,0))&amp;"-"&amp;RIGHT((YEAR(J324)-IF(MONTH(J324)&lt;4,1,0))+1,2))</f>
        <v/>
      </c>
      <c r="AS324" s="43" t="str">
        <f aca="false">IF(OR(B324="",Q324="",D324&lt;&gt;"Active"),"",DATE(YEAR(AsOf)+IF(DATE(YEAR(AsOf),MONTH(Q324),DAY(Q324))&lt;AsOf,1,0),MONTH(Q324),DAY(Q324))-AsOf)</f>
        <v/>
      </c>
      <c r="AT324" s="43" t="str">
        <f aca="false">IF(OR(B324="",I324="",D324&lt;&gt;"Active"),"",IF(YEAR(DATE(YEAR(AsOf)+IF(DATE(YEAR(AsOf),MONTH(I324),DAY(I324))&lt;AsOf,1,0),MONTH(I324),DAY(I324)))-YEAR(I324)&lt;1,"",DATE(YEAR(AsOf)+IF(DATE(YEAR(AsOf),MONTH(I324),DAY(I324))&lt;AsOf,1,0),MONTH(I324),DAY(I324))-AsOf))</f>
        <v/>
      </c>
      <c r="AU324" s="43" t="str">
        <f aca="false">IF(B324="","",IF(AV324="",0,LEN(AV324)-LEN(SUBSTITUTE(AV324,";",""))))</f>
        <v/>
      </c>
      <c r="AV324" s="9" t="str">
        <f aca="false">IF(B324="","",IF(COUNTIF($B$6:$B$505,B324)&gt;1,"Duplicate Emp Code; ","")&amp;IF(C324="","Name missing; ","")&amp;IF(I324="","DOJ missing; ","")&amp;IF(AND(J324&lt;&gt;"",I324&lt;&gt;"",J324&lt;I324),"Exit before DOJ; ","")&amp;IF(Q324="","DOB missing; ","")&amp;IF(T324="","Aadhaar missing; ",IF(LEN(T324)&lt;&gt;12,"Aadhaar not 12 digits; ",IF(COUNTIF($T$6:$T$505,T324)&gt;1,"Duplicate Aadhaar; ","")))&amp;IF(U324="","PAN missing; ",IF(LEN(U324)&lt;&gt;10,"PAN not 10 chars; ",""))&amp;IF(V324="","Mobile missing; ",IF(LEN(V324)&lt;&gt;10,"Mobile not 10 digits; ",""))&amp;IF(AG324="","Bank A/c missing; ","")&amp;IF(AH324="","IFSC missing; ",IF(LEN(AH324)&lt;&gt;11,"IFSC not 11 chars; ","")))</f>
        <v/>
      </c>
      <c r="AW324" s="46" t="str">
        <f aca="false">IF(AS324="","",AS324+ROW()/100000)</f>
        <v/>
      </c>
      <c r="AX324" s="46" t="str">
        <f aca="false">IF(AT324="","",AT324+ROW()/100000)</f>
        <v/>
      </c>
    </row>
    <row r="325" customFormat="false" ht="15" hidden="false" customHeight="false" outlineLevel="0" collapsed="false">
      <c r="A325" s="9" t="str">
        <f aca="false">IF(B325="","",ROW()-5)</f>
        <v/>
      </c>
      <c r="B325" s="40"/>
      <c r="C325" s="8"/>
      <c r="D325" s="9" t="str">
        <f aca="false">IF(B325="","",IF(J325="","Active","Exited"))</f>
        <v/>
      </c>
      <c r="E325" s="8"/>
      <c r="F325" s="8"/>
      <c r="G325" s="8"/>
      <c r="H325" s="9" t="str">
        <f aca="false">IF(OR(B325="",I325=""),"",IF(IF(J325="",AsOf,J325)-I325&gt;=Settings!$C$13,"Permanent","Probation"))</f>
        <v/>
      </c>
      <c r="I325" s="41"/>
      <c r="J325" s="41"/>
      <c r="K325" s="8"/>
      <c r="L325" s="42" t="str">
        <f aca="false">IF(OR(B325="",I325=""),"",ROUND((IF(J325="",AsOf,J325)-I325)/365.25,1))</f>
        <v/>
      </c>
      <c r="M325" s="8"/>
      <c r="N325" s="8"/>
      <c r="O325" s="8"/>
      <c r="P325" s="8"/>
      <c r="Q325" s="41"/>
      <c r="R325" s="43" t="str">
        <f aca="false">IF(OR(B325="",Q325=""),"",INT((AsOf-Q325)/365.25))</f>
        <v/>
      </c>
      <c r="S325" s="8"/>
      <c r="T325" s="40"/>
      <c r="U325" s="40"/>
      <c r="V325" s="40"/>
      <c r="W325" s="40"/>
      <c r="X325" s="8"/>
      <c r="Y325" s="8"/>
      <c r="Z325" s="8"/>
      <c r="AA325" s="8"/>
      <c r="AB325" s="8"/>
      <c r="AC325" s="8"/>
      <c r="AD325" s="8"/>
      <c r="AE325" s="40"/>
      <c r="AF325" s="8"/>
      <c r="AG325" s="40"/>
      <c r="AH325" s="40"/>
      <c r="AI325" s="8"/>
      <c r="AJ325" s="40"/>
      <c r="AK325" s="40"/>
      <c r="AL325" s="40"/>
      <c r="AM325" s="44"/>
      <c r="AN325" s="44"/>
      <c r="AO325" s="41"/>
      <c r="AP325" s="45" t="str">
        <f aca="false">IF(B325="","",IF(AND(ISNUMBER(AM325),ISNUMBER(AN325),AM325&gt;0,AN325&gt;0),AN325/AM325-1,""))</f>
        <v/>
      </c>
      <c r="AQ325" s="9" t="str">
        <f aca="false">IF(I325="","",(YEAR(I325)-IF(MONTH(I325)&lt;4,1,0))&amp;"-"&amp;RIGHT((YEAR(I325)-IF(MONTH(I325)&lt;4,1,0))+1,2))</f>
        <v/>
      </c>
      <c r="AR325" s="9" t="str">
        <f aca="false">IF(J325="","",(YEAR(J325)-IF(MONTH(J325)&lt;4,1,0))&amp;"-"&amp;RIGHT((YEAR(J325)-IF(MONTH(J325)&lt;4,1,0))+1,2))</f>
        <v/>
      </c>
      <c r="AS325" s="43" t="str">
        <f aca="false">IF(OR(B325="",Q325="",D325&lt;&gt;"Active"),"",DATE(YEAR(AsOf)+IF(DATE(YEAR(AsOf),MONTH(Q325),DAY(Q325))&lt;AsOf,1,0),MONTH(Q325),DAY(Q325))-AsOf)</f>
        <v/>
      </c>
      <c r="AT325" s="43" t="str">
        <f aca="false">IF(OR(B325="",I325="",D325&lt;&gt;"Active"),"",IF(YEAR(DATE(YEAR(AsOf)+IF(DATE(YEAR(AsOf),MONTH(I325),DAY(I325))&lt;AsOf,1,0),MONTH(I325),DAY(I325)))-YEAR(I325)&lt;1,"",DATE(YEAR(AsOf)+IF(DATE(YEAR(AsOf),MONTH(I325),DAY(I325))&lt;AsOf,1,0),MONTH(I325),DAY(I325))-AsOf))</f>
        <v/>
      </c>
      <c r="AU325" s="43" t="str">
        <f aca="false">IF(B325="","",IF(AV325="",0,LEN(AV325)-LEN(SUBSTITUTE(AV325,";",""))))</f>
        <v/>
      </c>
      <c r="AV325" s="9" t="str">
        <f aca="false">IF(B325="","",IF(COUNTIF($B$6:$B$505,B325)&gt;1,"Duplicate Emp Code; ","")&amp;IF(C325="","Name missing; ","")&amp;IF(I325="","DOJ missing; ","")&amp;IF(AND(J325&lt;&gt;"",I325&lt;&gt;"",J325&lt;I325),"Exit before DOJ; ","")&amp;IF(Q325="","DOB missing; ","")&amp;IF(T325="","Aadhaar missing; ",IF(LEN(T325)&lt;&gt;12,"Aadhaar not 12 digits; ",IF(COUNTIF($T$6:$T$505,T325)&gt;1,"Duplicate Aadhaar; ","")))&amp;IF(U325="","PAN missing; ",IF(LEN(U325)&lt;&gt;10,"PAN not 10 chars; ",""))&amp;IF(V325="","Mobile missing; ",IF(LEN(V325)&lt;&gt;10,"Mobile not 10 digits; ",""))&amp;IF(AG325="","Bank A/c missing; ","")&amp;IF(AH325="","IFSC missing; ",IF(LEN(AH325)&lt;&gt;11,"IFSC not 11 chars; ","")))</f>
        <v/>
      </c>
      <c r="AW325" s="46" t="str">
        <f aca="false">IF(AS325="","",AS325+ROW()/100000)</f>
        <v/>
      </c>
      <c r="AX325" s="46" t="str">
        <f aca="false">IF(AT325="","",AT325+ROW()/100000)</f>
        <v/>
      </c>
    </row>
    <row r="326" customFormat="false" ht="15" hidden="false" customHeight="false" outlineLevel="0" collapsed="false">
      <c r="A326" s="9" t="str">
        <f aca="false">IF(B326="","",ROW()-5)</f>
        <v/>
      </c>
      <c r="B326" s="40"/>
      <c r="C326" s="8"/>
      <c r="D326" s="9" t="str">
        <f aca="false">IF(B326="","",IF(J326="","Active","Exited"))</f>
        <v/>
      </c>
      <c r="E326" s="8"/>
      <c r="F326" s="8"/>
      <c r="G326" s="8"/>
      <c r="H326" s="9" t="str">
        <f aca="false">IF(OR(B326="",I326=""),"",IF(IF(J326="",AsOf,J326)-I326&gt;=Settings!$C$13,"Permanent","Probation"))</f>
        <v/>
      </c>
      <c r="I326" s="41"/>
      <c r="J326" s="41"/>
      <c r="K326" s="8"/>
      <c r="L326" s="42" t="str">
        <f aca="false">IF(OR(B326="",I326=""),"",ROUND((IF(J326="",AsOf,J326)-I326)/365.25,1))</f>
        <v/>
      </c>
      <c r="M326" s="8"/>
      <c r="N326" s="8"/>
      <c r="O326" s="8"/>
      <c r="P326" s="8"/>
      <c r="Q326" s="41"/>
      <c r="R326" s="43" t="str">
        <f aca="false">IF(OR(B326="",Q326=""),"",INT((AsOf-Q326)/365.25))</f>
        <v/>
      </c>
      <c r="S326" s="8"/>
      <c r="T326" s="40"/>
      <c r="U326" s="40"/>
      <c r="V326" s="40"/>
      <c r="W326" s="40"/>
      <c r="X326" s="8"/>
      <c r="Y326" s="8"/>
      <c r="Z326" s="8"/>
      <c r="AA326" s="8"/>
      <c r="AB326" s="8"/>
      <c r="AC326" s="8"/>
      <c r="AD326" s="8"/>
      <c r="AE326" s="40"/>
      <c r="AF326" s="8"/>
      <c r="AG326" s="40"/>
      <c r="AH326" s="40"/>
      <c r="AI326" s="8"/>
      <c r="AJ326" s="40"/>
      <c r="AK326" s="40"/>
      <c r="AL326" s="40"/>
      <c r="AM326" s="44"/>
      <c r="AN326" s="44"/>
      <c r="AO326" s="41"/>
      <c r="AP326" s="45" t="str">
        <f aca="false">IF(B326="","",IF(AND(ISNUMBER(AM326),ISNUMBER(AN326),AM326&gt;0,AN326&gt;0),AN326/AM326-1,""))</f>
        <v/>
      </c>
      <c r="AQ326" s="9" t="str">
        <f aca="false">IF(I326="","",(YEAR(I326)-IF(MONTH(I326)&lt;4,1,0))&amp;"-"&amp;RIGHT((YEAR(I326)-IF(MONTH(I326)&lt;4,1,0))+1,2))</f>
        <v/>
      </c>
      <c r="AR326" s="9" t="str">
        <f aca="false">IF(J326="","",(YEAR(J326)-IF(MONTH(J326)&lt;4,1,0))&amp;"-"&amp;RIGHT((YEAR(J326)-IF(MONTH(J326)&lt;4,1,0))+1,2))</f>
        <v/>
      </c>
      <c r="AS326" s="43" t="str">
        <f aca="false">IF(OR(B326="",Q326="",D326&lt;&gt;"Active"),"",DATE(YEAR(AsOf)+IF(DATE(YEAR(AsOf),MONTH(Q326),DAY(Q326))&lt;AsOf,1,0),MONTH(Q326),DAY(Q326))-AsOf)</f>
        <v/>
      </c>
      <c r="AT326" s="43" t="str">
        <f aca="false">IF(OR(B326="",I326="",D326&lt;&gt;"Active"),"",IF(YEAR(DATE(YEAR(AsOf)+IF(DATE(YEAR(AsOf),MONTH(I326),DAY(I326))&lt;AsOf,1,0),MONTH(I326),DAY(I326)))-YEAR(I326)&lt;1,"",DATE(YEAR(AsOf)+IF(DATE(YEAR(AsOf),MONTH(I326),DAY(I326))&lt;AsOf,1,0),MONTH(I326),DAY(I326))-AsOf))</f>
        <v/>
      </c>
      <c r="AU326" s="43" t="str">
        <f aca="false">IF(B326="","",IF(AV326="",0,LEN(AV326)-LEN(SUBSTITUTE(AV326,";",""))))</f>
        <v/>
      </c>
      <c r="AV326" s="9" t="str">
        <f aca="false">IF(B326="","",IF(COUNTIF($B$6:$B$505,B326)&gt;1,"Duplicate Emp Code; ","")&amp;IF(C326="","Name missing; ","")&amp;IF(I326="","DOJ missing; ","")&amp;IF(AND(J326&lt;&gt;"",I326&lt;&gt;"",J326&lt;I326),"Exit before DOJ; ","")&amp;IF(Q326="","DOB missing; ","")&amp;IF(T326="","Aadhaar missing; ",IF(LEN(T326)&lt;&gt;12,"Aadhaar not 12 digits; ",IF(COUNTIF($T$6:$T$505,T326)&gt;1,"Duplicate Aadhaar; ","")))&amp;IF(U326="","PAN missing; ",IF(LEN(U326)&lt;&gt;10,"PAN not 10 chars; ",""))&amp;IF(V326="","Mobile missing; ",IF(LEN(V326)&lt;&gt;10,"Mobile not 10 digits; ",""))&amp;IF(AG326="","Bank A/c missing; ","")&amp;IF(AH326="","IFSC missing; ",IF(LEN(AH326)&lt;&gt;11,"IFSC not 11 chars; ","")))</f>
        <v/>
      </c>
      <c r="AW326" s="46" t="str">
        <f aca="false">IF(AS326="","",AS326+ROW()/100000)</f>
        <v/>
      </c>
      <c r="AX326" s="46" t="str">
        <f aca="false">IF(AT326="","",AT326+ROW()/100000)</f>
        <v/>
      </c>
    </row>
    <row r="327" customFormat="false" ht="15" hidden="false" customHeight="false" outlineLevel="0" collapsed="false">
      <c r="A327" s="9" t="str">
        <f aca="false">IF(B327="","",ROW()-5)</f>
        <v/>
      </c>
      <c r="B327" s="40"/>
      <c r="C327" s="8"/>
      <c r="D327" s="9" t="str">
        <f aca="false">IF(B327="","",IF(J327="","Active","Exited"))</f>
        <v/>
      </c>
      <c r="E327" s="8"/>
      <c r="F327" s="8"/>
      <c r="G327" s="8"/>
      <c r="H327" s="9" t="str">
        <f aca="false">IF(OR(B327="",I327=""),"",IF(IF(J327="",AsOf,J327)-I327&gt;=Settings!$C$13,"Permanent","Probation"))</f>
        <v/>
      </c>
      <c r="I327" s="41"/>
      <c r="J327" s="41"/>
      <c r="K327" s="8"/>
      <c r="L327" s="42" t="str">
        <f aca="false">IF(OR(B327="",I327=""),"",ROUND((IF(J327="",AsOf,J327)-I327)/365.25,1))</f>
        <v/>
      </c>
      <c r="M327" s="8"/>
      <c r="N327" s="8"/>
      <c r="O327" s="8"/>
      <c r="P327" s="8"/>
      <c r="Q327" s="41"/>
      <c r="R327" s="43" t="str">
        <f aca="false">IF(OR(B327="",Q327=""),"",INT((AsOf-Q327)/365.25))</f>
        <v/>
      </c>
      <c r="S327" s="8"/>
      <c r="T327" s="40"/>
      <c r="U327" s="40"/>
      <c r="V327" s="40"/>
      <c r="W327" s="40"/>
      <c r="X327" s="8"/>
      <c r="Y327" s="8"/>
      <c r="Z327" s="8"/>
      <c r="AA327" s="8"/>
      <c r="AB327" s="8"/>
      <c r="AC327" s="8"/>
      <c r="AD327" s="8"/>
      <c r="AE327" s="40"/>
      <c r="AF327" s="8"/>
      <c r="AG327" s="40"/>
      <c r="AH327" s="40"/>
      <c r="AI327" s="8"/>
      <c r="AJ327" s="40"/>
      <c r="AK327" s="40"/>
      <c r="AL327" s="40"/>
      <c r="AM327" s="44"/>
      <c r="AN327" s="44"/>
      <c r="AO327" s="41"/>
      <c r="AP327" s="45" t="str">
        <f aca="false">IF(B327="","",IF(AND(ISNUMBER(AM327),ISNUMBER(AN327),AM327&gt;0,AN327&gt;0),AN327/AM327-1,""))</f>
        <v/>
      </c>
      <c r="AQ327" s="9" t="str">
        <f aca="false">IF(I327="","",(YEAR(I327)-IF(MONTH(I327)&lt;4,1,0))&amp;"-"&amp;RIGHT((YEAR(I327)-IF(MONTH(I327)&lt;4,1,0))+1,2))</f>
        <v/>
      </c>
      <c r="AR327" s="9" t="str">
        <f aca="false">IF(J327="","",(YEAR(J327)-IF(MONTH(J327)&lt;4,1,0))&amp;"-"&amp;RIGHT((YEAR(J327)-IF(MONTH(J327)&lt;4,1,0))+1,2))</f>
        <v/>
      </c>
      <c r="AS327" s="43" t="str">
        <f aca="false">IF(OR(B327="",Q327="",D327&lt;&gt;"Active"),"",DATE(YEAR(AsOf)+IF(DATE(YEAR(AsOf),MONTH(Q327),DAY(Q327))&lt;AsOf,1,0),MONTH(Q327),DAY(Q327))-AsOf)</f>
        <v/>
      </c>
      <c r="AT327" s="43" t="str">
        <f aca="false">IF(OR(B327="",I327="",D327&lt;&gt;"Active"),"",IF(YEAR(DATE(YEAR(AsOf)+IF(DATE(YEAR(AsOf),MONTH(I327),DAY(I327))&lt;AsOf,1,0),MONTH(I327),DAY(I327)))-YEAR(I327)&lt;1,"",DATE(YEAR(AsOf)+IF(DATE(YEAR(AsOf),MONTH(I327),DAY(I327))&lt;AsOf,1,0),MONTH(I327),DAY(I327))-AsOf))</f>
        <v/>
      </c>
      <c r="AU327" s="43" t="str">
        <f aca="false">IF(B327="","",IF(AV327="",0,LEN(AV327)-LEN(SUBSTITUTE(AV327,";",""))))</f>
        <v/>
      </c>
      <c r="AV327" s="9" t="str">
        <f aca="false">IF(B327="","",IF(COUNTIF($B$6:$B$505,B327)&gt;1,"Duplicate Emp Code; ","")&amp;IF(C327="","Name missing; ","")&amp;IF(I327="","DOJ missing; ","")&amp;IF(AND(J327&lt;&gt;"",I327&lt;&gt;"",J327&lt;I327),"Exit before DOJ; ","")&amp;IF(Q327="","DOB missing; ","")&amp;IF(T327="","Aadhaar missing; ",IF(LEN(T327)&lt;&gt;12,"Aadhaar not 12 digits; ",IF(COUNTIF($T$6:$T$505,T327)&gt;1,"Duplicate Aadhaar; ","")))&amp;IF(U327="","PAN missing; ",IF(LEN(U327)&lt;&gt;10,"PAN not 10 chars; ",""))&amp;IF(V327="","Mobile missing; ",IF(LEN(V327)&lt;&gt;10,"Mobile not 10 digits; ",""))&amp;IF(AG327="","Bank A/c missing; ","")&amp;IF(AH327="","IFSC missing; ",IF(LEN(AH327)&lt;&gt;11,"IFSC not 11 chars; ","")))</f>
        <v/>
      </c>
      <c r="AW327" s="46" t="str">
        <f aca="false">IF(AS327="","",AS327+ROW()/100000)</f>
        <v/>
      </c>
      <c r="AX327" s="46" t="str">
        <f aca="false">IF(AT327="","",AT327+ROW()/100000)</f>
        <v/>
      </c>
    </row>
    <row r="328" customFormat="false" ht="15" hidden="false" customHeight="false" outlineLevel="0" collapsed="false">
      <c r="A328" s="9" t="str">
        <f aca="false">IF(B328="","",ROW()-5)</f>
        <v/>
      </c>
      <c r="B328" s="40"/>
      <c r="C328" s="8"/>
      <c r="D328" s="9" t="str">
        <f aca="false">IF(B328="","",IF(J328="","Active","Exited"))</f>
        <v/>
      </c>
      <c r="E328" s="8"/>
      <c r="F328" s="8"/>
      <c r="G328" s="8"/>
      <c r="H328" s="9" t="str">
        <f aca="false">IF(OR(B328="",I328=""),"",IF(IF(J328="",AsOf,J328)-I328&gt;=Settings!$C$13,"Permanent","Probation"))</f>
        <v/>
      </c>
      <c r="I328" s="41"/>
      <c r="J328" s="41"/>
      <c r="K328" s="8"/>
      <c r="L328" s="42" t="str">
        <f aca="false">IF(OR(B328="",I328=""),"",ROUND((IF(J328="",AsOf,J328)-I328)/365.25,1))</f>
        <v/>
      </c>
      <c r="M328" s="8"/>
      <c r="N328" s="8"/>
      <c r="O328" s="8"/>
      <c r="P328" s="8"/>
      <c r="Q328" s="41"/>
      <c r="R328" s="43" t="str">
        <f aca="false">IF(OR(B328="",Q328=""),"",INT((AsOf-Q328)/365.25))</f>
        <v/>
      </c>
      <c r="S328" s="8"/>
      <c r="T328" s="40"/>
      <c r="U328" s="40"/>
      <c r="V328" s="40"/>
      <c r="W328" s="40"/>
      <c r="X328" s="8"/>
      <c r="Y328" s="8"/>
      <c r="Z328" s="8"/>
      <c r="AA328" s="8"/>
      <c r="AB328" s="8"/>
      <c r="AC328" s="8"/>
      <c r="AD328" s="8"/>
      <c r="AE328" s="40"/>
      <c r="AF328" s="8"/>
      <c r="AG328" s="40"/>
      <c r="AH328" s="40"/>
      <c r="AI328" s="8"/>
      <c r="AJ328" s="40"/>
      <c r="AK328" s="40"/>
      <c r="AL328" s="40"/>
      <c r="AM328" s="44"/>
      <c r="AN328" s="44"/>
      <c r="AO328" s="41"/>
      <c r="AP328" s="45" t="str">
        <f aca="false">IF(B328="","",IF(AND(ISNUMBER(AM328),ISNUMBER(AN328),AM328&gt;0,AN328&gt;0),AN328/AM328-1,""))</f>
        <v/>
      </c>
      <c r="AQ328" s="9" t="str">
        <f aca="false">IF(I328="","",(YEAR(I328)-IF(MONTH(I328)&lt;4,1,0))&amp;"-"&amp;RIGHT((YEAR(I328)-IF(MONTH(I328)&lt;4,1,0))+1,2))</f>
        <v/>
      </c>
      <c r="AR328" s="9" t="str">
        <f aca="false">IF(J328="","",(YEAR(J328)-IF(MONTH(J328)&lt;4,1,0))&amp;"-"&amp;RIGHT((YEAR(J328)-IF(MONTH(J328)&lt;4,1,0))+1,2))</f>
        <v/>
      </c>
      <c r="AS328" s="43" t="str">
        <f aca="false">IF(OR(B328="",Q328="",D328&lt;&gt;"Active"),"",DATE(YEAR(AsOf)+IF(DATE(YEAR(AsOf),MONTH(Q328),DAY(Q328))&lt;AsOf,1,0),MONTH(Q328),DAY(Q328))-AsOf)</f>
        <v/>
      </c>
      <c r="AT328" s="43" t="str">
        <f aca="false">IF(OR(B328="",I328="",D328&lt;&gt;"Active"),"",IF(YEAR(DATE(YEAR(AsOf)+IF(DATE(YEAR(AsOf),MONTH(I328),DAY(I328))&lt;AsOf,1,0),MONTH(I328),DAY(I328)))-YEAR(I328)&lt;1,"",DATE(YEAR(AsOf)+IF(DATE(YEAR(AsOf),MONTH(I328),DAY(I328))&lt;AsOf,1,0),MONTH(I328),DAY(I328))-AsOf))</f>
        <v/>
      </c>
      <c r="AU328" s="43" t="str">
        <f aca="false">IF(B328="","",IF(AV328="",0,LEN(AV328)-LEN(SUBSTITUTE(AV328,";",""))))</f>
        <v/>
      </c>
      <c r="AV328" s="9" t="str">
        <f aca="false">IF(B328="","",IF(COUNTIF($B$6:$B$505,B328)&gt;1,"Duplicate Emp Code; ","")&amp;IF(C328="","Name missing; ","")&amp;IF(I328="","DOJ missing; ","")&amp;IF(AND(J328&lt;&gt;"",I328&lt;&gt;"",J328&lt;I328),"Exit before DOJ; ","")&amp;IF(Q328="","DOB missing; ","")&amp;IF(T328="","Aadhaar missing; ",IF(LEN(T328)&lt;&gt;12,"Aadhaar not 12 digits; ",IF(COUNTIF($T$6:$T$505,T328)&gt;1,"Duplicate Aadhaar; ","")))&amp;IF(U328="","PAN missing; ",IF(LEN(U328)&lt;&gt;10,"PAN not 10 chars; ",""))&amp;IF(V328="","Mobile missing; ",IF(LEN(V328)&lt;&gt;10,"Mobile not 10 digits; ",""))&amp;IF(AG328="","Bank A/c missing; ","")&amp;IF(AH328="","IFSC missing; ",IF(LEN(AH328)&lt;&gt;11,"IFSC not 11 chars; ","")))</f>
        <v/>
      </c>
      <c r="AW328" s="46" t="str">
        <f aca="false">IF(AS328="","",AS328+ROW()/100000)</f>
        <v/>
      </c>
      <c r="AX328" s="46" t="str">
        <f aca="false">IF(AT328="","",AT328+ROW()/100000)</f>
        <v/>
      </c>
    </row>
    <row r="329" customFormat="false" ht="15" hidden="false" customHeight="false" outlineLevel="0" collapsed="false">
      <c r="A329" s="9" t="str">
        <f aca="false">IF(B329="","",ROW()-5)</f>
        <v/>
      </c>
      <c r="B329" s="40"/>
      <c r="C329" s="8"/>
      <c r="D329" s="9" t="str">
        <f aca="false">IF(B329="","",IF(J329="","Active","Exited"))</f>
        <v/>
      </c>
      <c r="E329" s="8"/>
      <c r="F329" s="8"/>
      <c r="G329" s="8"/>
      <c r="H329" s="9" t="str">
        <f aca="false">IF(OR(B329="",I329=""),"",IF(IF(J329="",AsOf,J329)-I329&gt;=Settings!$C$13,"Permanent","Probation"))</f>
        <v/>
      </c>
      <c r="I329" s="41"/>
      <c r="J329" s="41"/>
      <c r="K329" s="8"/>
      <c r="L329" s="42" t="str">
        <f aca="false">IF(OR(B329="",I329=""),"",ROUND((IF(J329="",AsOf,J329)-I329)/365.25,1))</f>
        <v/>
      </c>
      <c r="M329" s="8"/>
      <c r="N329" s="8"/>
      <c r="O329" s="8"/>
      <c r="P329" s="8"/>
      <c r="Q329" s="41"/>
      <c r="R329" s="43" t="str">
        <f aca="false">IF(OR(B329="",Q329=""),"",INT((AsOf-Q329)/365.25))</f>
        <v/>
      </c>
      <c r="S329" s="8"/>
      <c r="T329" s="40"/>
      <c r="U329" s="40"/>
      <c r="V329" s="40"/>
      <c r="W329" s="40"/>
      <c r="X329" s="8"/>
      <c r="Y329" s="8"/>
      <c r="Z329" s="8"/>
      <c r="AA329" s="8"/>
      <c r="AB329" s="8"/>
      <c r="AC329" s="8"/>
      <c r="AD329" s="8"/>
      <c r="AE329" s="40"/>
      <c r="AF329" s="8"/>
      <c r="AG329" s="40"/>
      <c r="AH329" s="40"/>
      <c r="AI329" s="8"/>
      <c r="AJ329" s="40"/>
      <c r="AK329" s="40"/>
      <c r="AL329" s="40"/>
      <c r="AM329" s="44"/>
      <c r="AN329" s="44"/>
      <c r="AO329" s="41"/>
      <c r="AP329" s="45" t="str">
        <f aca="false">IF(B329="","",IF(AND(ISNUMBER(AM329),ISNUMBER(AN329),AM329&gt;0,AN329&gt;0),AN329/AM329-1,""))</f>
        <v/>
      </c>
      <c r="AQ329" s="9" t="str">
        <f aca="false">IF(I329="","",(YEAR(I329)-IF(MONTH(I329)&lt;4,1,0))&amp;"-"&amp;RIGHT((YEAR(I329)-IF(MONTH(I329)&lt;4,1,0))+1,2))</f>
        <v/>
      </c>
      <c r="AR329" s="9" t="str">
        <f aca="false">IF(J329="","",(YEAR(J329)-IF(MONTH(J329)&lt;4,1,0))&amp;"-"&amp;RIGHT((YEAR(J329)-IF(MONTH(J329)&lt;4,1,0))+1,2))</f>
        <v/>
      </c>
      <c r="AS329" s="43" t="str">
        <f aca="false">IF(OR(B329="",Q329="",D329&lt;&gt;"Active"),"",DATE(YEAR(AsOf)+IF(DATE(YEAR(AsOf),MONTH(Q329),DAY(Q329))&lt;AsOf,1,0),MONTH(Q329),DAY(Q329))-AsOf)</f>
        <v/>
      </c>
      <c r="AT329" s="43" t="str">
        <f aca="false">IF(OR(B329="",I329="",D329&lt;&gt;"Active"),"",IF(YEAR(DATE(YEAR(AsOf)+IF(DATE(YEAR(AsOf),MONTH(I329),DAY(I329))&lt;AsOf,1,0),MONTH(I329),DAY(I329)))-YEAR(I329)&lt;1,"",DATE(YEAR(AsOf)+IF(DATE(YEAR(AsOf),MONTH(I329),DAY(I329))&lt;AsOf,1,0),MONTH(I329),DAY(I329))-AsOf))</f>
        <v/>
      </c>
      <c r="AU329" s="43" t="str">
        <f aca="false">IF(B329="","",IF(AV329="",0,LEN(AV329)-LEN(SUBSTITUTE(AV329,";",""))))</f>
        <v/>
      </c>
      <c r="AV329" s="9" t="str">
        <f aca="false">IF(B329="","",IF(COUNTIF($B$6:$B$505,B329)&gt;1,"Duplicate Emp Code; ","")&amp;IF(C329="","Name missing; ","")&amp;IF(I329="","DOJ missing; ","")&amp;IF(AND(J329&lt;&gt;"",I329&lt;&gt;"",J329&lt;I329),"Exit before DOJ; ","")&amp;IF(Q329="","DOB missing; ","")&amp;IF(T329="","Aadhaar missing; ",IF(LEN(T329)&lt;&gt;12,"Aadhaar not 12 digits; ",IF(COUNTIF($T$6:$T$505,T329)&gt;1,"Duplicate Aadhaar; ","")))&amp;IF(U329="","PAN missing; ",IF(LEN(U329)&lt;&gt;10,"PAN not 10 chars; ",""))&amp;IF(V329="","Mobile missing; ",IF(LEN(V329)&lt;&gt;10,"Mobile not 10 digits; ",""))&amp;IF(AG329="","Bank A/c missing; ","")&amp;IF(AH329="","IFSC missing; ",IF(LEN(AH329)&lt;&gt;11,"IFSC not 11 chars; ","")))</f>
        <v/>
      </c>
      <c r="AW329" s="46" t="str">
        <f aca="false">IF(AS329="","",AS329+ROW()/100000)</f>
        <v/>
      </c>
      <c r="AX329" s="46" t="str">
        <f aca="false">IF(AT329="","",AT329+ROW()/100000)</f>
        <v/>
      </c>
    </row>
    <row r="330" customFormat="false" ht="15" hidden="false" customHeight="false" outlineLevel="0" collapsed="false">
      <c r="A330" s="9" t="str">
        <f aca="false">IF(B330="","",ROW()-5)</f>
        <v/>
      </c>
      <c r="B330" s="40"/>
      <c r="C330" s="8"/>
      <c r="D330" s="9" t="str">
        <f aca="false">IF(B330="","",IF(J330="","Active","Exited"))</f>
        <v/>
      </c>
      <c r="E330" s="8"/>
      <c r="F330" s="8"/>
      <c r="G330" s="8"/>
      <c r="H330" s="9" t="str">
        <f aca="false">IF(OR(B330="",I330=""),"",IF(IF(J330="",AsOf,J330)-I330&gt;=Settings!$C$13,"Permanent","Probation"))</f>
        <v/>
      </c>
      <c r="I330" s="41"/>
      <c r="J330" s="41"/>
      <c r="K330" s="8"/>
      <c r="L330" s="42" t="str">
        <f aca="false">IF(OR(B330="",I330=""),"",ROUND((IF(J330="",AsOf,J330)-I330)/365.25,1))</f>
        <v/>
      </c>
      <c r="M330" s="8"/>
      <c r="N330" s="8"/>
      <c r="O330" s="8"/>
      <c r="P330" s="8"/>
      <c r="Q330" s="41"/>
      <c r="R330" s="43" t="str">
        <f aca="false">IF(OR(B330="",Q330=""),"",INT((AsOf-Q330)/365.25))</f>
        <v/>
      </c>
      <c r="S330" s="8"/>
      <c r="T330" s="40"/>
      <c r="U330" s="40"/>
      <c r="V330" s="40"/>
      <c r="W330" s="40"/>
      <c r="X330" s="8"/>
      <c r="Y330" s="8"/>
      <c r="Z330" s="8"/>
      <c r="AA330" s="8"/>
      <c r="AB330" s="8"/>
      <c r="AC330" s="8"/>
      <c r="AD330" s="8"/>
      <c r="AE330" s="40"/>
      <c r="AF330" s="8"/>
      <c r="AG330" s="40"/>
      <c r="AH330" s="40"/>
      <c r="AI330" s="8"/>
      <c r="AJ330" s="40"/>
      <c r="AK330" s="40"/>
      <c r="AL330" s="40"/>
      <c r="AM330" s="44"/>
      <c r="AN330" s="44"/>
      <c r="AO330" s="41"/>
      <c r="AP330" s="45" t="str">
        <f aca="false">IF(B330="","",IF(AND(ISNUMBER(AM330),ISNUMBER(AN330),AM330&gt;0,AN330&gt;0),AN330/AM330-1,""))</f>
        <v/>
      </c>
      <c r="AQ330" s="9" t="str">
        <f aca="false">IF(I330="","",(YEAR(I330)-IF(MONTH(I330)&lt;4,1,0))&amp;"-"&amp;RIGHT((YEAR(I330)-IF(MONTH(I330)&lt;4,1,0))+1,2))</f>
        <v/>
      </c>
      <c r="AR330" s="9" t="str">
        <f aca="false">IF(J330="","",(YEAR(J330)-IF(MONTH(J330)&lt;4,1,0))&amp;"-"&amp;RIGHT((YEAR(J330)-IF(MONTH(J330)&lt;4,1,0))+1,2))</f>
        <v/>
      </c>
      <c r="AS330" s="43" t="str">
        <f aca="false">IF(OR(B330="",Q330="",D330&lt;&gt;"Active"),"",DATE(YEAR(AsOf)+IF(DATE(YEAR(AsOf),MONTH(Q330),DAY(Q330))&lt;AsOf,1,0),MONTH(Q330),DAY(Q330))-AsOf)</f>
        <v/>
      </c>
      <c r="AT330" s="43" t="str">
        <f aca="false">IF(OR(B330="",I330="",D330&lt;&gt;"Active"),"",IF(YEAR(DATE(YEAR(AsOf)+IF(DATE(YEAR(AsOf),MONTH(I330),DAY(I330))&lt;AsOf,1,0),MONTH(I330),DAY(I330)))-YEAR(I330)&lt;1,"",DATE(YEAR(AsOf)+IF(DATE(YEAR(AsOf),MONTH(I330),DAY(I330))&lt;AsOf,1,0),MONTH(I330),DAY(I330))-AsOf))</f>
        <v/>
      </c>
      <c r="AU330" s="43" t="str">
        <f aca="false">IF(B330="","",IF(AV330="",0,LEN(AV330)-LEN(SUBSTITUTE(AV330,";",""))))</f>
        <v/>
      </c>
      <c r="AV330" s="9" t="str">
        <f aca="false">IF(B330="","",IF(COUNTIF($B$6:$B$505,B330)&gt;1,"Duplicate Emp Code; ","")&amp;IF(C330="","Name missing; ","")&amp;IF(I330="","DOJ missing; ","")&amp;IF(AND(J330&lt;&gt;"",I330&lt;&gt;"",J330&lt;I330),"Exit before DOJ; ","")&amp;IF(Q330="","DOB missing; ","")&amp;IF(T330="","Aadhaar missing; ",IF(LEN(T330)&lt;&gt;12,"Aadhaar not 12 digits; ",IF(COUNTIF($T$6:$T$505,T330)&gt;1,"Duplicate Aadhaar; ","")))&amp;IF(U330="","PAN missing; ",IF(LEN(U330)&lt;&gt;10,"PAN not 10 chars; ",""))&amp;IF(V330="","Mobile missing; ",IF(LEN(V330)&lt;&gt;10,"Mobile not 10 digits; ",""))&amp;IF(AG330="","Bank A/c missing; ","")&amp;IF(AH330="","IFSC missing; ",IF(LEN(AH330)&lt;&gt;11,"IFSC not 11 chars; ","")))</f>
        <v/>
      </c>
      <c r="AW330" s="46" t="str">
        <f aca="false">IF(AS330="","",AS330+ROW()/100000)</f>
        <v/>
      </c>
      <c r="AX330" s="46" t="str">
        <f aca="false">IF(AT330="","",AT330+ROW()/100000)</f>
        <v/>
      </c>
    </row>
    <row r="331" customFormat="false" ht="15" hidden="false" customHeight="false" outlineLevel="0" collapsed="false">
      <c r="A331" s="9" t="str">
        <f aca="false">IF(B331="","",ROW()-5)</f>
        <v/>
      </c>
      <c r="B331" s="40"/>
      <c r="C331" s="8"/>
      <c r="D331" s="9" t="str">
        <f aca="false">IF(B331="","",IF(J331="","Active","Exited"))</f>
        <v/>
      </c>
      <c r="E331" s="8"/>
      <c r="F331" s="8"/>
      <c r="G331" s="8"/>
      <c r="H331" s="9" t="str">
        <f aca="false">IF(OR(B331="",I331=""),"",IF(IF(J331="",AsOf,J331)-I331&gt;=Settings!$C$13,"Permanent","Probation"))</f>
        <v/>
      </c>
      <c r="I331" s="41"/>
      <c r="J331" s="41"/>
      <c r="K331" s="8"/>
      <c r="L331" s="42" t="str">
        <f aca="false">IF(OR(B331="",I331=""),"",ROUND((IF(J331="",AsOf,J331)-I331)/365.25,1))</f>
        <v/>
      </c>
      <c r="M331" s="8"/>
      <c r="N331" s="8"/>
      <c r="O331" s="8"/>
      <c r="P331" s="8"/>
      <c r="Q331" s="41"/>
      <c r="R331" s="43" t="str">
        <f aca="false">IF(OR(B331="",Q331=""),"",INT((AsOf-Q331)/365.25))</f>
        <v/>
      </c>
      <c r="S331" s="8"/>
      <c r="T331" s="40"/>
      <c r="U331" s="40"/>
      <c r="V331" s="40"/>
      <c r="W331" s="40"/>
      <c r="X331" s="8"/>
      <c r="Y331" s="8"/>
      <c r="Z331" s="8"/>
      <c r="AA331" s="8"/>
      <c r="AB331" s="8"/>
      <c r="AC331" s="8"/>
      <c r="AD331" s="8"/>
      <c r="AE331" s="40"/>
      <c r="AF331" s="8"/>
      <c r="AG331" s="40"/>
      <c r="AH331" s="40"/>
      <c r="AI331" s="8"/>
      <c r="AJ331" s="40"/>
      <c r="AK331" s="40"/>
      <c r="AL331" s="40"/>
      <c r="AM331" s="44"/>
      <c r="AN331" s="44"/>
      <c r="AO331" s="41"/>
      <c r="AP331" s="45" t="str">
        <f aca="false">IF(B331="","",IF(AND(ISNUMBER(AM331),ISNUMBER(AN331),AM331&gt;0,AN331&gt;0),AN331/AM331-1,""))</f>
        <v/>
      </c>
      <c r="AQ331" s="9" t="str">
        <f aca="false">IF(I331="","",(YEAR(I331)-IF(MONTH(I331)&lt;4,1,0))&amp;"-"&amp;RIGHT((YEAR(I331)-IF(MONTH(I331)&lt;4,1,0))+1,2))</f>
        <v/>
      </c>
      <c r="AR331" s="9" t="str">
        <f aca="false">IF(J331="","",(YEAR(J331)-IF(MONTH(J331)&lt;4,1,0))&amp;"-"&amp;RIGHT((YEAR(J331)-IF(MONTH(J331)&lt;4,1,0))+1,2))</f>
        <v/>
      </c>
      <c r="AS331" s="43" t="str">
        <f aca="false">IF(OR(B331="",Q331="",D331&lt;&gt;"Active"),"",DATE(YEAR(AsOf)+IF(DATE(YEAR(AsOf),MONTH(Q331),DAY(Q331))&lt;AsOf,1,0),MONTH(Q331),DAY(Q331))-AsOf)</f>
        <v/>
      </c>
      <c r="AT331" s="43" t="str">
        <f aca="false">IF(OR(B331="",I331="",D331&lt;&gt;"Active"),"",IF(YEAR(DATE(YEAR(AsOf)+IF(DATE(YEAR(AsOf),MONTH(I331),DAY(I331))&lt;AsOf,1,0),MONTH(I331),DAY(I331)))-YEAR(I331)&lt;1,"",DATE(YEAR(AsOf)+IF(DATE(YEAR(AsOf),MONTH(I331),DAY(I331))&lt;AsOf,1,0),MONTH(I331),DAY(I331))-AsOf))</f>
        <v/>
      </c>
      <c r="AU331" s="43" t="str">
        <f aca="false">IF(B331="","",IF(AV331="",0,LEN(AV331)-LEN(SUBSTITUTE(AV331,";",""))))</f>
        <v/>
      </c>
      <c r="AV331" s="9" t="str">
        <f aca="false">IF(B331="","",IF(COUNTIF($B$6:$B$505,B331)&gt;1,"Duplicate Emp Code; ","")&amp;IF(C331="","Name missing; ","")&amp;IF(I331="","DOJ missing; ","")&amp;IF(AND(J331&lt;&gt;"",I331&lt;&gt;"",J331&lt;I331),"Exit before DOJ; ","")&amp;IF(Q331="","DOB missing; ","")&amp;IF(T331="","Aadhaar missing; ",IF(LEN(T331)&lt;&gt;12,"Aadhaar not 12 digits; ",IF(COUNTIF($T$6:$T$505,T331)&gt;1,"Duplicate Aadhaar; ","")))&amp;IF(U331="","PAN missing; ",IF(LEN(U331)&lt;&gt;10,"PAN not 10 chars; ",""))&amp;IF(V331="","Mobile missing; ",IF(LEN(V331)&lt;&gt;10,"Mobile not 10 digits; ",""))&amp;IF(AG331="","Bank A/c missing; ","")&amp;IF(AH331="","IFSC missing; ",IF(LEN(AH331)&lt;&gt;11,"IFSC not 11 chars; ","")))</f>
        <v/>
      </c>
      <c r="AW331" s="46" t="str">
        <f aca="false">IF(AS331="","",AS331+ROW()/100000)</f>
        <v/>
      </c>
      <c r="AX331" s="46" t="str">
        <f aca="false">IF(AT331="","",AT331+ROW()/100000)</f>
        <v/>
      </c>
    </row>
    <row r="332" customFormat="false" ht="15" hidden="false" customHeight="false" outlineLevel="0" collapsed="false">
      <c r="A332" s="9" t="str">
        <f aca="false">IF(B332="","",ROW()-5)</f>
        <v/>
      </c>
      <c r="B332" s="40"/>
      <c r="C332" s="8"/>
      <c r="D332" s="9" t="str">
        <f aca="false">IF(B332="","",IF(J332="","Active","Exited"))</f>
        <v/>
      </c>
      <c r="E332" s="8"/>
      <c r="F332" s="8"/>
      <c r="G332" s="8"/>
      <c r="H332" s="9" t="str">
        <f aca="false">IF(OR(B332="",I332=""),"",IF(IF(J332="",AsOf,J332)-I332&gt;=Settings!$C$13,"Permanent","Probation"))</f>
        <v/>
      </c>
      <c r="I332" s="41"/>
      <c r="J332" s="41"/>
      <c r="K332" s="8"/>
      <c r="L332" s="42" t="str">
        <f aca="false">IF(OR(B332="",I332=""),"",ROUND((IF(J332="",AsOf,J332)-I332)/365.25,1))</f>
        <v/>
      </c>
      <c r="M332" s="8"/>
      <c r="N332" s="8"/>
      <c r="O332" s="8"/>
      <c r="P332" s="8"/>
      <c r="Q332" s="41"/>
      <c r="R332" s="43" t="str">
        <f aca="false">IF(OR(B332="",Q332=""),"",INT((AsOf-Q332)/365.25))</f>
        <v/>
      </c>
      <c r="S332" s="8"/>
      <c r="T332" s="40"/>
      <c r="U332" s="40"/>
      <c r="V332" s="40"/>
      <c r="W332" s="40"/>
      <c r="X332" s="8"/>
      <c r="Y332" s="8"/>
      <c r="Z332" s="8"/>
      <c r="AA332" s="8"/>
      <c r="AB332" s="8"/>
      <c r="AC332" s="8"/>
      <c r="AD332" s="8"/>
      <c r="AE332" s="40"/>
      <c r="AF332" s="8"/>
      <c r="AG332" s="40"/>
      <c r="AH332" s="40"/>
      <c r="AI332" s="8"/>
      <c r="AJ332" s="40"/>
      <c r="AK332" s="40"/>
      <c r="AL332" s="40"/>
      <c r="AM332" s="44"/>
      <c r="AN332" s="44"/>
      <c r="AO332" s="41"/>
      <c r="AP332" s="45" t="str">
        <f aca="false">IF(B332="","",IF(AND(ISNUMBER(AM332),ISNUMBER(AN332),AM332&gt;0,AN332&gt;0),AN332/AM332-1,""))</f>
        <v/>
      </c>
      <c r="AQ332" s="9" t="str">
        <f aca="false">IF(I332="","",(YEAR(I332)-IF(MONTH(I332)&lt;4,1,0))&amp;"-"&amp;RIGHT((YEAR(I332)-IF(MONTH(I332)&lt;4,1,0))+1,2))</f>
        <v/>
      </c>
      <c r="AR332" s="9" t="str">
        <f aca="false">IF(J332="","",(YEAR(J332)-IF(MONTH(J332)&lt;4,1,0))&amp;"-"&amp;RIGHT((YEAR(J332)-IF(MONTH(J332)&lt;4,1,0))+1,2))</f>
        <v/>
      </c>
      <c r="AS332" s="43" t="str">
        <f aca="false">IF(OR(B332="",Q332="",D332&lt;&gt;"Active"),"",DATE(YEAR(AsOf)+IF(DATE(YEAR(AsOf),MONTH(Q332),DAY(Q332))&lt;AsOf,1,0),MONTH(Q332),DAY(Q332))-AsOf)</f>
        <v/>
      </c>
      <c r="AT332" s="43" t="str">
        <f aca="false">IF(OR(B332="",I332="",D332&lt;&gt;"Active"),"",IF(YEAR(DATE(YEAR(AsOf)+IF(DATE(YEAR(AsOf),MONTH(I332),DAY(I332))&lt;AsOf,1,0),MONTH(I332),DAY(I332)))-YEAR(I332)&lt;1,"",DATE(YEAR(AsOf)+IF(DATE(YEAR(AsOf),MONTH(I332),DAY(I332))&lt;AsOf,1,0),MONTH(I332),DAY(I332))-AsOf))</f>
        <v/>
      </c>
      <c r="AU332" s="43" t="str">
        <f aca="false">IF(B332="","",IF(AV332="",0,LEN(AV332)-LEN(SUBSTITUTE(AV332,";",""))))</f>
        <v/>
      </c>
      <c r="AV332" s="9" t="str">
        <f aca="false">IF(B332="","",IF(COUNTIF($B$6:$B$505,B332)&gt;1,"Duplicate Emp Code; ","")&amp;IF(C332="","Name missing; ","")&amp;IF(I332="","DOJ missing; ","")&amp;IF(AND(J332&lt;&gt;"",I332&lt;&gt;"",J332&lt;I332),"Exit before DOJ; ","")&amp;IF(Q332="","DOB missing; ","")&amp;IF(T332="","Aadhaar missing; ",IF(LEN(T332)&lt;&gt;12,"Aadhaar not 12 digits; ",IF(COUNTIF($T$6:$T$505,T332)&gt;1,"Duplicate Aadhaar; ","")))&amp;IF(U332="","PAN missing; ",IF(LEN(U332)&lt;&gt;10,"PAN not 10 chars; ",""))&amp;IF(V332="","Mobile missing; ",IF(LEN(V332)&lt;&gt;10,"Mobile not 10 digits; ",""))&amp;IF(AG332="","Bank A/c missing; ","")&amp;IF(AH332="","IFSC missing; ",IF(LEN(AH332)&lt;&gt;11,"IFSC not 11 chars; ","")))</f>
        <v/>
      </c>
      <c r="AW332" s="46" t="str">
        <f aca="false">IF(AS332="","",AS332+ROW()/100000)</f>
        <v/>
      </c>
      <c r="AX332" s="46" t="str">
        <f aca="false">IF(AT332="","",AT332+ROW()/100000)</f>
        <v/>
      </c>
    </row>
    <row r="333" customFormat="false" ht="15" hidden="false" customHeight="false" outlineLevel="0" collapsed="false">
      <c r="A333" s="9" t="str">
        <f aca="false">IF(B333="","",ROW()-5)</f>
        <v/>
      </c>
      <c r="B333" s="40"/>
      <c r="C333" s="8"/>
      <c r="D333" s="9" t="str">
        <f aca="false">IF(B333="","",IF(J333="","Active","Exited"))</f>
        <v/>
      </c>
      <c r="E333" s="8"/>
      <c r="F333" s="8"/>
      <c r="G333" s="8"/>
      <c r="H333" s="9" t="str">
        <f aca="false">IF(OR(B333="",I333=""),"",IF(IF(J333="",AsOf,J333)-I333&gt;=Settings!$C$13,"Permanent","Probation"))</f>
        <v/>
      </c>
      <c r="I333" s="41"/>
      <c r="J333" s="41"/>
      <c r="K333" s="8"/>
      <c r="L333" s="42" t="str">
        <f aca="false">IF(OR(B333="",I333=""),"",ROUND((IF(J333="",AsOf,J333)-I333)/365.25,1))</f>
        <v/>
      </c>
      <c r="M333" s="8"/>
      <c r="N333" s="8"/>
      <c r="O333" s="8"/>
      <c r="P333" s="8"/>
      <c r="Q333" s="41"/>
      <c r="R333" s="43" t="str">
        <f aca="false">IF(OR(B333="",Q333=""),"",INT((AsOf-Q333)/365.25))</f>
        <v/>
      </c>
      <c r="S333" s="8"/>
      <c r="T333" s="40"/>
      <c r="U333" s="40"/>
      <c r="V333" s="40"/>
      <c r="W333" s="40"/>
      <c r="X333" s="8"/>
      <c r="Y333" s="8"/>
      <c r="Z333" s="8"/>
      <c r="AA333" s="8"/>
      <c r="AB333" s="8"/>
      <c r="AC333" s="8"/>
      <c r="AD333" s="8"/>
      <c r="AE333" s="40"/>
      <c r="AF333" s="8"/>
      <c r="AG333" s="40"/>
      <c r="AH333" s="40"/>
      <c r="AI333" s="8"/>
      <c r="AJ333" s="40"/>
      <c r="AK333" s="40"/>
      <c r="AL333" s="40"/>
      <c r="AM333" s="44"/>
      <c r="AN333" s="44"/>
      <c r="AO333" s="41"/>
      <c r="AP333" s="45" t="str">
        <f aca="false">IF(B333="","",IF(AND(ISNUMBER(AM333),ISNUMBER(AN333),AM333&gt;0,AN333&gt;0),AN333/AM333-1,""))</f>
        <v/>
      </c>
      <c r="AQ333" s="9" t="str">
        <f aca="false">IF(I333="","",(YEAR(I333)-IF(MONTH(I333)&lt;4,1,0))&amp;"-"&amp;RIGHT((YEAR(I333)-IF(MONTH(I333)&lt;4,1,0))+1,2))</f>
        <v/>
      </c>
      <c r="AR333" s="9" t="str">
        <f aca="false">IF(J333="","",(YEAR(J333)-IF(MONTH(J333)&lt;4,1,0))&amp;"-"&amp;RIGHT((YEAR(J333)-IF(MONTH(J333)&lt;4,1,0))+1,2))</f>
        <v/>
      </c>
      <c r="AS333" s="43" t="str">
        <f aca="false">IF(OR(B333="",Q333="",D333&lt;&gt;"Active"),"",DATE(YEAR(AsOf)+IF(DATE(YEAR(AsOf),MONTH(Q333),DAY(Q333))&lt;AsOf,1,0),MONTH(Q333),DAY(Q333))-AsOf)</f>
        <v/>
      </c>
      <c r="AT333" s="43" t="str">
        <f aca="false">IF(OR(B333="",I333="",D333&lt;&gt;"Active"),"",IF(YEAR(DATE(YEAR(AsOf)+IF(DATE(YEAR(AsOf),MONTH(I333),DAY(I333))&lt;AsOf,1,0),MONTH(I333),DAY(I333)))-YEAR(I333)&lt;1,"",DATE(YEAR(AsOf)+IF(DATE(YEAR(AsOf),MONTH(I333),DAY(I333))&lt;AsOf,1,0),MONTH(I333),DAY(I333))-AsOf))</f>
        <v/>
      </c>
      <c r="AU333" s="43" t="str">
        <f aca="false">IF(B333="","",IF(AV333="",0,LEN(AV333)-LEN(SUBSTITUTE(AV333,";",""))))</f>
        <v/>
      </c>
      <c r="AV333" s="9" t="str">
        <f aca="false">IF(B333="","",IF(COUNTIF($B$6:$B$505,B333)&gt;1,"Duplicate Emp Code; ","")&amp;IF(C333="","Name missing; ","")&amp;IF(I333="","DOJ missing; ","")&amp;IF(AND(J333&lt;&gt;"",I333&lt;&gt;"",J333&lt;I333),"Exit before DOJ; ","")&amp;IF(Q333="","DOB missing; ","")&amp;IF(T333="","Aadhaar missing; ",IF(LEN(T333)&lt;&gt;12,"Aadhaar not 12 digits; ",IF(COUNTIF($T$6:$T$505,T333)&gt;1,"Duplicate Aadhaar; ","")))&amp;IF(U333="","PAN missing; ",IF(LEN(U333)&lt;&gt;10,"PAN not 10 chars; ",""))&amp;IF(V333="","Mobile missing; ",IF(LEN(V333)&lt;&gt;10,"Mobile not 10 digits; ",""))&amp;IF(AG333="","Bank A/c missing; ","")&amp;IF(AH333="","IFSC missing; ",IF(LEN(AH333)&lt;&gt;11,"IFSC not 11 chars; ","")))</f>
        <v/>
      </c>
      <c r="AW333" s="46" t="str">
        <f aca="false">IF(AS333="","",AS333+ROW()/100000)</f>
        <v/>
      </c>
      <c r="AX333" s="46" t="str">
        <f aca="false">IF(AT333="","",AT333+ROW()/100000)</f>
        <v/>
      </c>
    </row>
    <row r="334" customFormat="false" ht="15" hidden="false" customHeight="false" outlineLevel="0" collapsed="false">
      <c r="A334" s="9" t="str">
        <f aca="false">IF(B334="","",ROW()-5)</f>
        <v/>
      </c>
      <c r="B334" s="40"/>
      <c r="C334" s="8"/>
      <c r="D334" s="9" t="str">
        <f aca="false">IF(B334="","",IF(J334="","Active","Exited"))</f>
        <v/>
      </c>
      <c r="E334" s="8"/>
      <c r="F334" s="8"/>
      <c r="G334" s="8"/>
      <c r="H334" s="9" t="str">
        <f aca="false">IF(OR(B334="",I334=""),"",IF(IF(J334="",AsOf,J334)-I334&gt;=Settings!$C$13,"Permanent","Probation"))</f>
        <v/>
      </c>
      <c r="I334" s="41"/>
      <c r="J334" s="41"/>
      <c r="K334" s="8"/>
      <c r="L334" s="42" t="str">
        <f aca="false">IF(OR(B334="",I334=""),"",ROUND((IF(J334="",AsOf,J334)-I334)/365.25,1))</f>
        <v/>
      </c>
      <c r="M334" s="8"/>
      <c r="N334" s="8"/>
      <c r="O334" s="8"/>
      <c r="P334" s="8"/>
      <c r="Q334" s="41"/>
      <c r="R334" s="43" t="str">
        <f aca="false">IF(OR(B334="",Q334=""),"",INT((AsOf-Q334)/365.25))</f>
        <v/>
      </c>
      <c r="S334" s="8"/>
      <c r="T334" s="40"/>
      <c r="U334" s="40"/>
      <c r="V334" s="40"/>
      <c r="W334" s="40"/>
      <c r="X334" s="8"/>
      <c r="Y334" s="8"/>
      <c r="Z334" s="8"/>
      <c r="AA334" s="8"/>
      <c r="AB334" s="8"/>
      <c r="AC334" s="8"/>
      <c r="AD334" s="8"/>
      <c r="AE334" s="40"/>
      <c r="AF334" s="8"/>
      <c r="AG334" s="40"/>
      <c r="AH334" s="40"/>
      <c r="AI334" s="8"/>
      <c r="AJ334" s="40"/>
      <c r="AK334" s="40"/>
      <c r="AL334" s="40"/>
      <c r="AM334" s="44"/>
      <c r="AN334" s="44"/>
      <c r="AO334" s="41"/>
      <c r="AP334" s="45" t="str">
        <f aca="false">IF(B334="","",IF(AND(ISNUMBER(AM334),ISNUMBER(AN334),AM334&gt;0,AN334&gt;0),AN334/AM334-1,""))</f>
        <v/>
      </c>
      <c r="AQ334" s="9" t="str">
        <f aca="false">IF(I334="","",(YEAR(I334)-IF(MONTH(I334)&lt;4,1,0))&amp;"-"&amp;RIGHT((YEAR(I334)-IF(MONTH(I334)&lt;4,1,0))+1,2))</f>
        <v/>
      </c>
      <c r="AR334" s="9" t="str">
        <f aca="false">IF(J334="","",(YEAR(J334)-IF(MONTH(J334)&lt;4,1,0))&amp;"-"&amp;RIGHT((YEAR(J334)-IF(MONTH(J334)&lt;4,1,0))+1,2))</f>
        <v/>
      </c>
      <c r="AS334" s="43" t="str">
        <f aca="false">IF(OR(B334="",Q334="",D334&lt;&gt;"Active"),"",DATE(YEAR(AsOf)+IF(DATE(YEAR(AsOf),MONTH(Q334),DAY(Q334))&lt;AsOf,1,0),MONTH(Q334),DAY(Q334))-AsOf)</f>
        <v/>
      </c>
      <c r="AT334" s="43" t="str">
        <f aca="false">IF(OR(B334="",I334="",D334&lt;&gt;"Active"),"",IF(YEAR(DATE(YEAR(AsOf)+IF(DATE(YEAR(AsOf),MONTH(I334),DAY(I334))&lt;AsOf,1,0),MONTH(I334),DAY(I334)))-YEAR(I334)&lt;1,"",DATE(YEAR(AsOf)+IF(DATE(YEAR(AsOf),MONTH(I334),DAY(I334))&lt;AsOf,1,0),MONTH(I334),DAY(I334))-AsOf))</f>
        <v/>
      </c>
      <c r="AU334" s="43" t="str">
        <f aca="false">IF(B334="","",IF(AV334="",0,LEN(AV334)-LEN(SUBSTITUTE(AV334,";",""))))</f>
        <v/>
      </c>
      <c r="AV334" s="9" t="str">
        <f aca="false">IF(B334="","",IF(COUNTIF($B$6:$B$505,B334)&gt;1,"Duplicate Emp Code; ","")&amp;IF(C334="","Name missing; ","")&amp;IF(I334="","DOJ missing; ","")&amp;IF(AND(J334&lt;&gt;"",I334&lt;&gt;"",J334&lt;I334),"Exit before DOJ; ","")&amp;IF(Q334="","DOB missing; ","")&amp;IF(T334="","Aadhaar missing; ",IF(LEN(T334)&lt;&gt;12,"Aadhaar not 12 digits; ",IF(COUNTIF($T$6:$T$505,T334)&gt;1,"Duplicate Aadhaar; ","")))&amp;IF(U334="","PAN missing; ",IF(LEN(U334)&lt;&gt;10,"PAN not 10 chars; ",""))&amp;IF(V334="","Mobile missing; ",IF(LEN(V334)&lt;&gt;10,"Mobile not 10 digits; ",""))&amp;IF(AG334="","Bank A/c missing; ","")&amp;IF(AH334="","IFSC missing; ",IF(LEN(AH334)&lt;&gt;11,"IFSC not 11 chars; ","")))</f>
        <v/>
      </c>
      <c r="AW334" s="46" t="str">
        <f aca="false">IF(AS334="","",AS334+ROW()/100000)</f>
        <v/>
      </c>
      <c r="AX334" s="46" t="str">
        <f aca="false">IF(AT334="","",AT334+ROW()/100000)</f>
        <v/>
      </c>
    </row>
    <row r="335" customFormat="false" ht="15" hidden="false" customHeight="false" outlineLevel="0" collapsed="false">
      <c r="A335" s="9" t="str">
        <f aca="false">IF(B335="","",ROW()-5)</f>
        <v/>
      </c>
      <c r="B335" s="40"/>
      <c r="C335" s="8"/>
      <c r="D335" s="9" t="str">
        <f aca="false">IF(B335="","",IF(J335="","Active","Exited"))</f>
        <v/>
      </c>
      <c r="E335" s="8"/>
      <c r="F335" s="8"/>
      <c r="G335" s="8"/>
      <c r="H335" s="9" t="str">
        <f aca="false">IF(OR(B335="",I335=""),"",IF(IF(J335="",AsOf,J335)-I335&gt;=Settings!$C$13,"Permanent","Probation"))</f>
        <v/>
      </c>
      <c r="I335" s="41"/>
      <c r="J335" s="41"/>
      <c r="K335" s="8"/>
      <c r="L335" s="42" t="str">
        <f aca="false">IF(OR(B335="",I335=""),"",ROUND((IF(J335="",AsOf,J335)-I335)/365.25,1))</f>
        <v/>
      </c>
      <c r="M335" s="8"/>
      <c r="N335" s="8"/>
      <c r="O335" s="8"/>
      <c r="P335" s="8"/>
      <c r="Q335" s="41"/>
      <c r="R335" s="43" t="str">
        <f aca="false">IF(OR(B335="",Q335=""),"",INT((AsOf-Q335)/365.25))</f>
        <v/>
      </c>
      <c r="S335" s="8"/>
      <c r="T335" s="40"/>
      <c r="U335" s="40"/>
      <c r="V335" s="40"/>
      <c r="W335" s="40"/>
      <c r="X335" s="8"/>
      <c r="Y335" s="8"/>
      <c r="Z335" s="8"/>
      <c r="AA335" s="8"/>
      <c r="AB335" s="8"/>
      <c r="AC335" s="8"/>
      <c r="AD335" s="8"/>
      <c r="AE335" s="40"/>
      <c r="AF335" s="8"/>
      <c r="AG335" s="40"/>
      <c r="AH335" s="40"/>
      <c r="AI335" s="8"/>
      <c r="AJ335" s="40"/>
      <c r="AK335" s="40"/>
      <c r="AL335" s="40"/>
      <c r="AM335" s="44"/>
      <c r="AN335" s="44"/>
      <c r="AO335" s="41"/>
      <c r="AP335" s="45" t="str">
        <f aca="false">IF(B335="","",IF(AND(ISNUMBER(AM335),ISNUMBER(AN335),AM335&gt;0,AN335&gt;0),AN335/AM335-1,""))</f>
        <v/>
      </c>
      <c r="AQ335" s="9" t="str">
        <f aca="false">IF(I335="","",(YEAR(I335)-IF(MONTH(I335)&lt;4,1,0))&amp;"-"&amp;RIGHT((YEAR(I335)-IF(MONTH(I335)&lt;4,1,0))+1,2))</f>
        <v/>
      </c>
      <c r="AR335" s="9" t="str">
        <f aca="false">IF(J335="","",(YEAR(J335)-IF(MONTH(J335)&lt;4,1,0))&amp;"-"&amp;RIGHT((YEAR(J335)-IF(MONTH(J335)&lt;4,1,0))+1,2))</f>
        <v/>
      </c>
      <c r="AS335" s="43" t="str">
        <f aca="false">IF(OR(B335="",Q335="",D335&lt;&gt;"Active"),"",DATE(YEAR(AsOf)+IF(DATE(YEAR(AsOf),MONTH(Q335),DAY(Q335))&lt;AsOf,1,0),MONTH(Q335),DAY(Q335))-AsOf)</f>
        <v/>
      </c>
      <c r="AT335" s="43" t="str">
        <f aca="false">IF(OR(B335="",I335="",D335&lt;&gt;"Active"),"",IF(YEAR(DATE(YEAR(AsOf)+IF(DATE(YEAR(AsOf),MONTH(I335),DAY(I335))&lt;AsOf,1,0),MONTH(I335),DAY(I335)))-YEAR(I335)&lt;1,"",DATE(YEAR(AsOf)+IF(DATE(YEAR(AsOf),MONTH(I335),DAY(I335))&lt;AsOf,1,0),MONTH(I335),DAY(I335))-AsOf))</f>
        <v/>
      </c>
      <c r="AU335" s="43" t="str">
        <f aca="false">IF(B335="","",IF(AV335="",0,LEN(AV335)-LEN(SUBSTITUTE(AV335,";",""))))</f>
        <v/>
      </c>
      <c r="AV335" s="9" t="str">
        <f aca="false">IF(B335="","",IF(COUNTIF($B$6:$B$505,B335)&gt;1,"Duplicate Emp Code; ","")&amp;IF(C335="","Name missing; ","")&amp;IF(I335="","DOJ missing; ","")&amp;IF(AND(J335&lt;&gt;"",I335&lt;&gt;"",J335&lt;I335),"Exit before DOJ; ","")&amp;IF(Q335="","DOB missing; ","")&amp;IF(T335="","Aadhaar missing; ",IF(LEN(T335)&lt;&gt;12,"Aadhaar not 12 digits; ",IF(COUNTIF($T$6:$T$505,T335)&gt;1,"Duplicate Aadhaar; ","")))&amp;IF(U335="","PAN missing; ",IF(LEN(U335)&lt;&gt;10,"PAN not 10 chars; ",""))&amp;IF(V335="","Mobile missing; ",IF(LEN(V335)&lt;&gt;10,"Mobile not 10 digits; ",""))&amp;IF(AG335="","Bank A/c missing; ","")&amp;IF(AH335="","IFSC missing; ",IF(LEN(AH335)&lt;&gt;11,"IFSC not 11 chars; ","")))</f>
        <v/>
      </c>
      <c r="AW335" s="46" t="str">
        <f aca="false">IF(AS335="","",AS335+ROW()/100000)</f>
        <v/>
      </c>
      <c r="AX335" s="46" t="str">
        <f aca="false">IF(AT335="","",AT335+ROW()/100000)</f>
        <v/>
      </c>
    </row>
    <row r="336" customFormat="false" ht="15" hidden="false" customHeight="false" outlineLevel="0" collapsed="false">
      <c r="A336" s="9" t="str">
        <f aca="false">IF(B336="","",ROW()-5)</f>
        <v/>
      </c>
      <c r="B336" s="40"/>
      <c r="C336" s="8"/>
      <c r="D336" s="9" t="str">
        <f aca="false">IF(B336="","",IF(J336="","Active","Exited"))</f>
        <v/>
      </c>
      <c r="E336" s="8"/>
      <c r="F336" s="8"/>
      <c r="G336" s="8"/>
      <c r="H336" s="9" t="str">
        <f aca="false">IF(OR(B336="",I336=""),"",IF(IF(J336="",AsOf,J336)-I336&gt;=Settings!$C$13,"Permanent","Probation"))</f>
        <v/>
      </c>
      <c r="I336" s="41"/>
      <c r="J336" s="41"/>
      <c r="K336" s="8"/>
      <c r="L336" s="42" t="str">
        <f aca="false">IF(OR(B336="",I336=""),"",ROUND((IF(J336="",AsOf,J336)-I336)/365.25,1))</f>
        <v/>
      </c>
      <c r="M336" s="8"/>
      <c r="N336" s="8"/>
      <c r="O336" s="8"/>
      <c r="P336" s="8"/>
      <c r="Q336" s="41"/>
      <c r="R336" s="43" t="str">
        <f aca="false">IF(OR(B336="",Q336=""),"",INT((AsOf-Q336)/365.25))</f>
        <v/>
      </c>
      <c r="S336" s="8"/>
      <c r="T336" s="40"/>
      <c r="U336" s="40"/>
      <c r="V336" s="40"/>
      <c r="W336" s="40"/>
      <c r="X336" s="8"/>
      <c r="Y336" s="8"/>
      <c r="Z336" s="8"/>
      <c r="AA336" s="8"/>
      <c r="AB336" s="8"/>
      <c r="AC336" s="8"/>
      <c r="AD336" s="8"/>
      <c r="AE336" s="40"/>
      <c r="AF336" s="8"/>
      <c r="AG336" s="40"/>
      <c r="AH336" s="40"/>
      <c r="AI336" s="8"/>
      <c r="AJ336" s="40"/>
      <c r="AK336" s="40"/>
      <c r="AL336" s="40"/>
      <c r="AM336" s="44"/>
      <c r="AN336" s="44"/>
      <c r="AO336" s="41"/>
      <c r="AP336" s="45" t="str">
        <f aca="false">IF(B336="","",IF(AND(ISNUMBER(AM336),ISNUMBER(AN336),AM336&gt;0,AN336&gt;0),AN336/AM336-1,""))</f>
        <v/>
      </c>
      <c r="AQ336" s="9" t="str">
        <f aca="false">IF(I336="","",(YEAR(I336)-IF(MONTH(I336)&lt;4,1,0))&amp;"-"&amp;RIGHT((YEAR(I336)-IF(MONTH(I336)&lt;4,1,0))+1,2))</f>
        <v/>
      </c>
      <c r="AR336" s="9" t="str">
        <f aca="false">IF(J336="","",(YEAR(J336)-IF(MONTH(J336)&lt;4,1,0))&amp;"-"&amp;RIGHT((YEAR(J336)-IF(MONTH(J336)&lt;4,1,0))+1,2))</f>
        <v/>
      </c>
      <c r="AS336" s="43" t="str">
        <f aca="false">IF(OR(B336="",Q336="",D336&lt;&gt;"Active"),"",DATE(YEAR(AsOf)+IF(DATE(YEAR(AsOf),MONTH(Q336),DAY(Q336))&lt;AsOf,1,0),MONTH(Q336),DAY(Q336))-AsOf)</f>
        <v/>
      </c>
      <c r="AT336" s="43" t="str">
        <f aca="false">IF(OR(B336="",I336="",D336&lt;&gt;"Active"),"",IF(YEAR(DATE(YEAR(AsOf)+IF(DATE(YEAR(AsOf),MONTH(I336),DAY(I336))&lt;AsOf,1,0),MONTH(I336),DAY(I336)))-YEAR(I336)&lt;1,"",DATE(YEAR(AsOf)+IF(DATE(YEAR(AsOf),MONTH(I336),DAY(I336))&lt;AsOf,1,0),MONTH(I336),DAY(I336))-AsOf))</f>
        <v/>
      </c>
      <c r="AU336" s="43" t="str">
        <f aca="false">IF(B336="","",IF(AV336="",0,LEN(AV336)-LEN(SUBSTITUTE(AV336,";",""))))</f>
        <v/>
      </c>
      <c r="AV336" s="9" t="str">
        <f aca="false">IF(B336="","",IF(COUNTIF($B$6:$B$505,B336)&gt;1,"Duplicate Emp Code; ","")&amp;IF(C336="","Name missing; ","")&amp;IF(I336="","DOJ missing; ","")&amp;IF(AND(J336&lt;&gt;"",I336&lt;&gt;"",J336&lt;I336),"Exit before DOJ; ","")&amp;IF(Q336="","DOB missing; ","")&amp;IF(T336="","Aadhaar missing; ",IF(LEN(T336)&lt;&gt;12,"Aadhaar not 12 digits; ",IF(COUNTIF($T$6:$T$505,T336)&gt;1,"Duplicate Aadhaar; ","")))&amp;IF(U336="","PAN missing; ",IF(LEN(U336)&lt;&gt;10,"PAN not 10 chars; ",""))&amp;IF(V336="","Mobile missing; ",IF(LEN(V336)&lt;&gt;10,"Mobile not 10 digits; ",""))&amp;IF(AG336="","Bank A/c missing; ","")&amp;IF(AH336="","IFSC missing; ",IF(LEN(AH336)&lt;&gt;11,"IFSC not 11 chars; ","")))</f>
        <v/>
      </c>
      <c r="AW336" s="46" t="str">
        <f aca="false">IF(AS336="","",AS336+ROW()/100000)</f>
        <v/>
      </c>
      <c r="AX336" s="46" t="str">
        <f aca="false">IF(AT336="","",AT336+ROW()/100000)</f>
        <v/>
      </c>
    </row>
    <row r="337" customFormat="false" ht="15" hidden="false" customHeight="false" outlineLevel="0" collapsed="false">
      <c r="A337" s="9" t="str">
        <f aca="false">IF(B337="","",ROW()-5)</f>
        <v/>
      </c>
      <c r="B337" s="40"/>
      <c r="C337" s="8"/>
      <c r="D337" s="9" t="str">
        <f aca="false">IF(B337="","",IF(J337="","Active","Exited"))</f>
        <v/>
      </c>
      <c r="E337" s="8"/>
      <c r="F337" s="8"/>
      <c r="G337" s="8"/>
      <c r="H337" s="9" t="str">
        <f aca="false">IF(OR(B337="",I337=""),"",IF(IF(J337="",AsOf,J337)-I337&gt;=Settings!$C$13,"Permanent","Probation"))</f>
        <v/>
      </c>
      <c r="I337" s="41"/>
      <c r="J337" s="41"/>
      <c r="K337" s="8"/>
      <c r="L337" s="42" t="str">
        <f aca="false">IF(OR(B337="",I337=""),"",ROUND((IF(J337="",AsOf,J337)-I337)/365.25,1))</f>
        <v/>
      </c>
      <c r="M337" s="8"/>
      <c r="N337" s="8"/>
      <c r="O337" s="8"/>
      <c r="P337" s="8"/>
      <c r="Q337" s="41"/>
      <c r="R337" s="43" t="str">
        <f aca="false">IF(OR(B337="",Q337=""),"",INT((AsOf-Q337)/365.25))</f>
        <v/>
      </c>
      <c r="S337" s="8"/>
      <c r="T337" s="40"/>
      <c r="U337" s="40"/>
      <c r="V337" s="40"/>
      <c r="W337" s="40"/>
      <c r="X337" s="8"/>
      <c r="Y337" s="8"/>
      <c r="Z337" s="8"/>
      <c r="AA337" s="8"/>
      <c r="AB337" s="8"/>
      <c r="AC337" s="8"/>
      <c r="AD337" s="8"/>
      <c r="AE337" s="40"/>
      <c r="AF337" s="8"/>
      <c r="AG337" s="40"/>
      <c r="AH337" s="40"/>
      <c r="AI337" s="8"/>
      <c r="AJ337" s="40"/>
      <c r="AK337" s="40"/>
      <c r="AL337" s="40"/>
      <c r="AM337" s="44"/>
      <c r="AN337" s="44"/>
      <c r="AO337" s="41"/>
      <c r="AP337" s="45" t="str">
        <f aca="false">IF(B337="","",IF(AND(ISNUMBER(AM337),ISNUMBER(AN337),AM337&gt;0,AN337&gt;0),AN337/AM337-1,""))</f>
        <v/>
      </c>
      <c r="AQ337" s="9" t="str">
        <f aca="false">IF(I337="","",(YEAR(I337)-IF(MONTH(I337)&lt;4,1,0))&amp;"-"&amp;RIGHT((YEAR(I337)-IF(MONTH(I337)&lt;4,1,0))+1,2))</f>
        <v/>
      </c>
      <c r="AR337" s="9" t="str">
        <f aca="false">IF(J337="","",(YEAR(J337)-IF(MONTH(J337)&lt;4,1,0))&amp;"-"&amp;RIGHT((YEAR(J337)-IF(MONTH(J337)&lt;4,1,0))+1,2))</f>
        <v/>
      </c>
      <c r="AS337" s="43" t="str">
        <f aca="false">IF(OR(B337="",Q337="",D337&lt;&gt;"Active"),"",DATE(YEAR(AsOf)+IF(DATE(YEAR(AsOf),MONTH(Q337),DAY(Q337))&lt;AsOf,1,0),MONTH(Q337),DAY(Q337))-AsOf)</f>
        <v/>
      </c>
      <c r="AT337" s="43" t="str">
        <f aca="false">IF(OR(B337="",I337="",D337&lt;&gt;"Active"),"",IF(YEAR(DATE(YEAR(AsOf)+IF(DATE(YEAR(AsOf),MONTH(I337),DAY(I337))&lt;AsOf,1,0),MONTH(I337),DAY(I337)))-YEAR(I337)&lt;1,"",DATE(YEAR(AsOf)+IF(DATE(YEAR(AsOf),MONTH(I337),DAY(I337))&lt;AsOf,1,0),MONTH(I337),DAY(I337))-AsOf))</f>
        <v/>
      </c>
      <c r="AU337" s="43" t="str">
        <f aca="false">IF(B337="","",IF(AV337="",0,LEN(AV337)-LEN(SUBSTITUTE(AV337,";",""))))</f>
        <v/>
      </c>
      <c r="AV337" s="9" t="str">
        <f aca="false">IF(B337="","",IF(COUNTIF($B$6:$B$505,B337)&gt;1,"Duplicate Emp Code; ","")&amp;IF(C337="","Name missing; ","")&amp;IF(I337="","DOJ missing; ","")&amp;IF(AND(J337&lt;&gt;"",I337&lt;&gt;"",J337&lt;I337),"Exit before DOJ; ","")&amp;IF(Q337="","DOB missing; ","")&amp;IF(T337="","Aadhaar missing; ",IF(LEN(T337)&lt;&gt;12,"Aadhaar not 12 digits; ",IF(COUNTIF($T$6:$T$505,T337)&gt;1,"Duplicate Aadhaar; ","")))&amp;IF(U337="","PAN missing; ",IF(LEN(U337)&lt;&gt;10,"PAN not 10 chars; ",""))&amp;IF(V337="","Mobile missing; ",IF(LEN(V337)&lt;&gt;10,"Mobile not 10 digits; ",""))&amp;IF(AG337="","Bank A/c missing; ","")&amp;IF(AH337="","IFSC missing; ",IF(LEN(AH337)&lt;&gt;11,"IFSC not 11 chars; ","")))</f>
        <v/>
      </c>
      <c r="AW337" s="46" t="str">
        <f aca="false">IF(AS337="","",AS337+ROW()/100000)</f>
        <v/>
      </c>
      <c r="AX337" s="46" t="str">
        <f aca="false">IF(AT337="","",AT337+ROW()/100000)</f>
        <v/>
      </c>
    </row>
    <row r="338" customFormat="false" ht="15" hidden="false" customHeight="false" outlineLevel="0" collapsed="false">
      <c r="A338" s="9" t="str">
        <f aca="false">IF(B338="","",ROW()-5)</f>
        <v/>
      </c>
      <c r="B338" s="40"/>
      <c r="C338" s="8"/>
      <c r="D338" s="9" t="str">
        <f aca="false">IF(B338="","",IF(J338="","Active","Exited"))</f>
        <v/>
      </c>
      <c r="E338" s="8"/>
      <c r="F338" s="8"/>
      <c r="G338" s="8"/>
      <c r="H338" s="9" t="str">
        <f aca="false">IF(OR(B338="",I338=""),"",IF(IF(J338="",AsOf,J338)-I338&gt;=Settings!$C$13,"Permanent","Probation"))</f>
        <v/>
      </c>
      <c r="I338" s="41"/>
      <c r="J338" s="41"/>
      <c r="K338" s="8"/>
      <c r="L338" s="42" t="str">
        <f aca="false">IF(OR(B338="",I338=""),"",ROUND((IF(J338="",AsOf,J338)-I338)/365.25,1))</f>
        <v/>
      </c>
      <c r="M338" s="8"/>
      <c r="N338" s="8"/>
      <c r="O338" s="8"/>
      <c r="P338" s="8"/>
      <c r="Q338" s="41"/>
      <c r="R338" s="43" t="str">
        <f aca="false">IF(OR(B338="",Q338=""),"",INT((AsOf-Q338)/365.25))</f>
        <v/>
      </c>
      <c r="S338" s="8"/>
      <c r="T338" s="40"/>
      <c r="U338" s="40"/>
      <c r="V338" s="40"/>
      <c r="W338" s="40"/>
      <c r="X338" s="8"/>
      <c r="Y338" s="8"/>
      <c r="Z338" s="8"/>
      <c r="AA338" s="8"/>
      <c r="AB338" s="8"/>
      <c r="AC338" s="8"/>
      <c r="AD338" s="8"/>
      <c r="AE338" s="40"/>
      <c r="AF338" s="8"/>
      <c r="AG338" s="40"/>
      <c r="AH338" s="40"/>
      <c r="AI338" s="8"/>
      <c r="AJ338" s="40"/>
      <c r="AK338" s="40"/>
      <c r="AL338" s="40"/>
      <c r="AM338" s="44"/>
      <c r="AN338" s="44"/>
      <c r="AO338" s="41"/>
      <c r="AP338" s="45" t="str">
        <f aca="false">IF(B338="","",IF(AND(ISNUMBER(AM338),ISNUMBER(AN338),AM338&gt;0,AN338&gt;0),AN338/AM338-1,""))</f>
        <v/>
      </c>
      <c r="AQ338" s="9" t="str">
        <f aca="false">IF(I338="","",(YEAR(I338)-IF(MONTH(I338)&lt;4,1,0))&amp;"-"&amp;RIGHT((YEAR(I338)-IF(MONTH(I338)&lt;4,1,0))+1,2))</f>
        <v/>
      </c>
      <c r="AR338" s="9" t="str">
        <f aca="false">IF(J338="","",(YEAR(J338)-IF(MONTH(J338)&lt;4,1,0))&amp;"-"&amp;RIGHT((YEAR(J338)-IF(MONTH(J338)&lt;4,1,0))+1,2))</f>
        <v/>
      </c>
      <c r="AS338" s="43" t="str">
        <f aca="false">IF(OR(B338="",Q338="",D338&lt;&gt;"Active"),"",DATE(YEAR(AsOf)+IF(DATE(YEAR(AsOf),MONTH(Q338),DAY(Q338))&lt;AsOf,1,0),MONTH(Q338),DAY(Q338))-AsOf)</f>
        <v/>
      </c>
      <c r="AT338" s="43" t="str">
        <f aca="false">IF(OR(B338="",I338="",D338&lt;&gt;"Active"),"",IF(YEAR(DATE(YEAR(AsOf)+IF(DATE(YEAR(AsOf),MONTH(I338),DAY(I338))&lt;AsOf,1,0),MONTH(I338),DAY(I338)))-YEAR(I338)&lt;1,"",DATE(YEAR(AsOf)+IF(DATE(YEAR(AsOf),MONTH(I338),DAY(I338))&lt;AsOf,1,0),MONTH(I338),DAY(I338))-AsOf))</f>
        <v/>
      </c>
      <c r="AU338" s="43" t="str">
        <f aca="false">IF(B338="","",IF(AV338="",0,LEN(AV338)-LEN(SUBSTITUTE(AV338,";",""))))</f>
        <v/>
      </c>
      <c r="AV338" s="9" t="str">
        <f aca="false">IF(B338="","",IF(COUNTIF($B$6:$B$505,B338)&gt;1,"Duplicate Emp Code; ","")&amp;IF(C338="","Name missing; ","")&amp;IF(I338="","DOJ missing; ","")&amp;IF(AND(J338&lt;&gt;"",I338&lt;&gt;"",J338&lt;I338),"Exit before DOJ; ","")&amp;IF(Q338="","DOB missing; ","")&amp;IF(T338="","Aadhaar missing; ",IF(LEN(T338)&lt;&gt;12,"Aadhaar not 12 digits; ",IF(COUNTIF($T$6:$T$505,T338)&gt;1,"Duplicate Aadhaar; ","")))&amp;IF(U338="","PAN missing; ",IF(LEN(U338)&lt;&gt;10,"PAN not 10 chars; ",""))&amp;IF(V338="","Mobile missing; ",IF(LEN(V338)&lt;&gt;10,"Mobile not 10 digits; ",""))&amp;IF(AG338="","Bank A/c missing; ","")&amp;IF(AH338="","IFSC missing; ",IF(LEN(AH338)&lt;&gt;11,"IFSC not 11 chars; ","")))</f>
        <v/>
      </c>
      <c r="AW338" s="46" t="str">
        <f aca="false">IF(AS338="","",AS338+ROW()/100000)</f>
        <v/>
      </c>
      <c r="AX338" s="46" t="str">
        <f aca="false">IF(AT338="","",AT338+ROW()/100000)</f>
        <v/>
      </c>
    </row>
    <row r="339" customFormat="false" ht="15" hidden="false" customHeight="false" outlineLevel="0" collapsed="false">
      <c r="A339" s="9" t="str">
        <f aca="false">IF(B339="","",ROW()-5)</f>
        <v/>
      </c>
      <c r="B339" s="40"/>
      <c r="C339" s="8"/>
      <c r="D339" s="9" t="str">
        <f aca="false">IF(B339="","",IF(J339="","Active","Exited"))</f>
        <v/>
      </c>
      <c r="E339" s="8"/>
      <c r="F339" s="8"/>
      <c r="G339" s="8"/>
      <c r="H339" s="9" t="str">
        <f aca="false">IF(OR(B339="",I339=""),"",IF(IF(J339="",AsOf,J339)-I339&gt;=Settings!$C$13,"Permanent","Probation"))</f>
        <v/>
      </c>
      <c r="I339" s="41"/>
      <c r="J339" s="41"/>
      <c r="K339" s="8"/>
      <c r="L339" s="42" t="str">
        <f aca="false">IF(OR(B339="",I339=""),"",ROUND((IF(J339="",AsOf,J339)-I339)/365.25,1))</f>
        <v/>
      </c>
      <c r="M339" s="8"/>
      <c r="N339" s="8"/>
      <c r="O339" s="8"/>
      <c r="P339" s="8"/>
      <c r="Q339" s="41"/>
      <c r="R339" s="43" t="str">
        <f aca="false">IF(OR(B339="",Q339=""),"",INT((AsOf-Q339)/365.25))</f>
        <v/>
      </c>
      <c r="S339" s="8"/>
      <c r="T339" s="40"/>
      <c r="U339" s="40"/>
      <c r="V339" s="40"/>
      <c r="W339" s="40"/>
      <c r="X339" s="8"/>
      <c r="Y339" s="8"/>
      <c r="Z339" s="8"/>
      <c r="AA339" s="8"/>
      <c r="AB339" s="8"/>
      <c r="AC339" s="8"/>
      <c r="AD339" s="8"/>
      <c r="AE339" s="40"/>
      <c r="AF339" s="8"/>
      <c r="AG339" s="40"/>
      <c r="AH339" s="40"/>
      <c r="AI339" s="8"/>
      <c r="AJ339" s="40"/>
      <c r="AK339" s="40"/>
      <c r="AL339" s="40"/>
      <c r="AM339" s="44"/>
      <c r="AN339" s="44"/>
      <c r="AO339" s="41"/>
      <c r="AP339" s="45" t="str">
        <f aca="false">IF(B339="","",IF(AND(ISNUMBER(AM339),ISNUMBER(AN339),AM339&gt;0,AN339&gt;0),AN339/AM339-1,""))</f>
        <v/>
      </c>
      <c r="AQ339" s="9" t="str">
        <f aca="false">IF(I339="","",(YEAR(I339)-IF(MONTH(I339)&lt;4,1,0))&amp;"-"&amp;RIGHT((YEAR(I339)-IF(MONTH(I339)&lt;4,1,0))+1,2))</f>
        <v/>
      </c>
      <c r="AR339" s="9" t="str">
        <f aca="false">IF(J339="","",(YEAR(J339)-IF(MONTH(J339)&lt;4,1,0))&amp;"-"&amp;RIGHT((YEAR(J339)-IF(MONTH(J339)&lt;4,1,0))+1,2))</f>
        <v/>
      </c>
      <c r="AS339" s="43" t="str">
        <f aca="false">IF(OR(B339="",Q339="",D339&lt;&gt;"Active"),"",DATE(YEAR(AsOf)+IF(DATE(YEAR(AsOf),MONTH(Q339),DAY(Q339))&lt;AsOf,1,0),MONTH(Q339),DAY(Q339))-AsOf)</f>
        <v/>
      </c>
      <c r="AT339" s="43" t="str">
        <f aca="false">IF(OR(B339="",I339="",D339&lt;&gt;"Active"),"",IF(YEAR(DATE(YEAR(AsOf)+IF(DATE(YEAR(AsOf),MONTH(I339),DAY(I339))&lt;AsOf,1,0),MONTH(I339),DAY(I339)))-YEAR(I339)&lt;1,"",DATE(YEAR(AsOf)+IF(DATE(YEAR(AsOf),MONTH(I339),DAY(I339))&lt;AsOf,1,0),MONTH(I339),DAY(I339))-AsOf))</f>
        <v/>
      </c>
      <c r="AU339" s="43" t="str">
        <f aca="false">IF(B339="","",IF(AV339="",0,LEN(AV339)-LEN(SUBSTITUTE(AV339,";",""))))</f>
        <v/>
      </c>
      <c r="AV339" s="9" t="str">
        <f aca="false">IF(B339="","",IF(COUNTIF($B$6:$B$505,B339)&gt;1,"Duplicate Emp Code; ","")&amp;IF(C339="","Name missing; ","")&amp;IF(I339="","DOJ missing; ","")&amp;IF(AND(J339&lt;&gt;"",I339&lt;&gt;"",J339&lt;I339),"Exit before DOJ; ","")&amp;IF(Q339="","DOB missing; ","")&amp;IF(T339="","Aadhaar missing; ",IF(LEN(T339)&lt;&gt;12,"Aadhaar not 12 digits; ",IF(COUNTIF($T$6:$T$505,T339)&gt;1,"Duplicate Aadhaar; ","")))&amp;IF(U339="","PAN missing; ",IF(LEN(U339)&lt;&gt;10,"PAN not 10 chars; ",""))&amp;IF(V339="","Mobile missing; ",IF(LEN(V339)&lt;&gt;10,"Mobile not 10 digits; ",""))&amp;IF(AG339="","Bank A/c missing; ","")&amp;IF(AH339="","IFSC missing; ",IF(LEN(AH339)&lt;&gt;11,"IFSC not 11 chars; ","")))</f>
        <v/>
      </c>
      <c r="AW339" s="46" t="str">
        <f aca="false">IF(AS339="","",AS339+ROW()/100000)</f>
        <v/>
      </c>
      <c r="AX339" s="46" t="str">
        <f aca="false">IF(AT339="","",AT339+ROW()/100000)</f>
        <v/>
      </c>
    </row>
    <row r="340" customFormat="false" ht="15" hidden="false" customHeight="false" outlineLevel="0" collapsed="false">
      <c r="A340" s="9" t="str">
        <f aca="false">IF(B340="","",ROW()-5)</f>
        <v/>
      </c>
      <c r="B340" s="40"/>
      <c r="C340" s="8"/>
      <c r="D340" s="9" t="str">
        <f aca="false">IF(B340="","",IF(J340="","Active","Exited"))</f>
        <v/>
      </c>
      <c r="E340" s="8"/>
      <c r="F340" s="8"/>
      <c r="G340" s="8"/>
      <c r="H340" s="9" t="str">
        <f aca="false">IF(OR(B340="",I340=""),"",IF(IF(J340="",AsOf,J340)-I340&gt;=Settings!$C$13,"Permanent","Probation"))</f>
        <v/>
      </c>
      <c r="I340" s="41"/>
      <c r="J340" s="41"/>
      <c r="K340" s="8"/>
      <c r="L340" s="42" t="str">
        <f aca="false">IF(OR(B340="",I340=""),"",ROUND((IF(J340="",AsOf,J340)-I340)/365.25,1))</f>
        <v/>
      </c>
      <c r="M340" s="8"/>
      <c r="N340" s="8"/>
      <c r="O340" s="8"/>
      <c r="P340" s="8"/>
      <c r="Q340" s="41"/>
      <c r="R340" s="43" t="str">
        <f aca="false">IF(OR(B340="",Q340=""),"",INT((AsOf-Q340)/365.25))</f>
        <v/>
      </c>
      <c r="S340" s="8"/>
      <c r="T340" s="40"/>
      <c r="U340" s="40"/>
      <c r="V340" s="40"/>
      <c r="W340" s="40"/>
      <c r="X340" s="8"/>
      <c r="Y340" s="8"/>
      <c r="Z340" s="8"/>
      <c r="AA340" s="8"/>
      <c r="AB340" s="8"/>
      <c r="AC340" s="8"/>
      <c r="AD340" s="8"/>
      <c r="AE340" s="40"/>
      <c r="AF340" s="8"/>
      <c r="AG340" s="40"/>
      <c r="AH340" s="40"/>
      <c r="AI340" s="8"/>
      <c r="AJ340" s="40"/>
      <c r="AK340" s="40"/>
      <c r="AL340" s="40"/>
      <c r="AM340" s="44"/>
      <c r="AN340" s="44"/>
      <c r="AO340" s="41"/>
      <c r="AP340" s="45" t="str">
        <f aca="false">IF(B340="","",IF(AND(ISNUMBER(AM340),ISNUMBER(AN340),AM340&gt;0,AN340&gt;0),AN340/AM340-1,""))</f>
        <v/>
      </c>
      <c r="AQ340" s="9" t="str">
        <f aca="false">IF(I340="","",(YEAR(I340)-IF(MONTH(I340)&lt;4,1,0))&amp;"-"&amp;RIGHT((YEAR(I340)-IF(MONTH(I340)&lt;4,1,0))+1,2))</f>
        <v/>
      </c>
      <c r="AR340" s="9" t="str">
        <f aca="false">IF(J340="","",(YEAR(J340)-IF(MONTH(J340)&lt;4,1,0))&amp;"-"&amp;RIGHT((YEAR(J340)-IF(MONTH(J340)&lt;4,1,0))+1,2))</f>
        <v/>
      </c>
      <c r="AS340" s="43" t="str">
        <f aca="false">IF(OR(B340="",Q340="",D340&lt;&gt;"Active"),"",DATE(YEAR(AsOf)+IF(DATE(YEAR(AsOf),MONTH(Q340),DAY(Q340))&lt;AsOf,1,0),MONTH(Q340),DAY(Q340))-AsOf)</f>
        <v/>
      </c>
      <c r="AT340" s="43" t="str">
        <f aca="false">IF(OR(B340="",I340="",D340&lt;&gt;"Active"),"",IF(YEAR(DATE(YEAR(AsOf)+IF(DATE(YEAR(AsOf),MONTH(I340),DAY(I340))&lt;AsOf,1,0),MONTH(I340),DAY(I340)))-YEAR(I340)&lt;1,"",DATE(YEAR(AsOf)+IF(DATE(YEAR(AsOf),MONTH(I340),DAY(I340))&lt;AsOf,1,0),MONTH(I340),DAY(I340))-AsOf))</f>
        <v/>
      </c>
      <c r="AU340" s="43" t="str">
        <f aca="false">IF(B340="","",IF(AV340="",0,LEN(AV340)-LEN(SUBSTITUTE(AV340,";",""))))</f>
        <v/>
      </c>
      <c r="AV340" s="9" t="str">
        <f aca="false">IF(B340="","",IF(COUNTIF($B$6:$B$505,B340)&gt;1,"Duplicate Emp Code; ","")&amp;IF(C340="","Name missing; ","")&amp;IF(I340="","DOJ missing; ","")&amp;IF(AND(J340&lt;&gt;"",I340&lt;&gt;"",J340&lt;I340),"Exit before DOJ; ","")&amp;IF(Q340="","DOB missing; ","")&amp;IF(T340="","Aadhaar missing; ",IF(LEN(T340)&lt;&gt;12,"Aadhaar not 12 digits; ",IF(COUNTIF($T$6:$T$505,T340)&gt;1,"Duplicate Aadhaar; ","")))&amp;IF(U340="","PAN missing; ",IF(LEN(U340)&lt;&gt;10,"PAN not 10 chars; ",""))&amp;IF(V340="","Mobile missing; ",IF(LEN(V340)&lt;&gt;10,"Mobile not 10 digits; ",""))&amp;IF(AG340="","Bank A/c missing; ","")&amp;IF(AH340="","IFSC missing; ",IF(LEN(AH340)&lt;&gt;11,"IFSC not 11 chars; ","")))</f>
        <v/>
      </c>
      <c r="AW340" s="46" t="str">
        <f aca="false">IF(AS340="","",AS340+ROW()/100000)</f>
        <v/>
      </c>
      <c r="AX340" s="46" t="str">
        <f aca="false">IF(AT340="","",AT340+ROW()/100000)</f>
        <v/>
      </c>
    </row>
    <row r="341" customFormat="false" ht="15" hidden="false" customHeight="false" outlineLevel="0" collapsed="false">
      <c r="A341" s="9" t="str">
        <f aca="false">IF(B341="","",ROW()-5)</f>
        <v/>
      </c>
      <c r="B341" s="40"/>
      <c r="C341" s="8"/>
      <c r="D341" s="9" t="str">
        <f aca="false">IF(B341="","",IF(J341="","Active","Exited"))</f>
        <v/>
      </c>
      <c r="E341" s="8"/>
      <c r="F341" s="8"/>
      <c r="G341" s="8"/>
      <c r="H341" s="9" t="str">
        <f aca="false">IF(OR(B341="",I341=""),"",IF(IF(J341="",AsOf,J341)-I341&gt;=Settings!$C$13,"Permanent","Probation"))</f>
        <v/>
      </c>
      <c r="I341" s="41"/>
      <c r="J341" s="41"/>
      <c r="K341" s="8"/>
      <c r="L341" s="42" t="str">
        <f aca="false">IF(OR(B341="",I341=""),"",ROUND((IF(J341="",AsOf,J341)-I341)/365.25,1))</f>
        <v/>
      </c>
      <c r="M341" s="8"/>
      <c r="N341" s="8"/>
      <c r="O341" s="8"/>
      <c r="P341" s="8"/>
      <c r="Q341" s="41"/>
      <c r="R341" s="43" t="str">
        <f aca="false">IF(OR(B341="",Q341=""),"",INT((AsOf-Q341)/365.25))</f>
        <v/>
      </c>
      <c r="S341" s="8"/>
      <c r="T341" s="40"/>
      <c r="U341" s="40"/>
      <c r="V341" s="40"/>
      <c r="W341" s="40"/>
      <c r="X341" s="8"/>
      <c r="Y341" s="8"/>
      <c r="Z341" s="8"/>
      <c r="AA341" s="8"/>
      <c r="AB341" s="8"/>
      <c r="AC341" s="8"/>
      <c r="AD341" s="8"/>
      <c r="AE341" s="40"/>
      <c r="AF341" s="8"/>
      <c r="AG341" s="40"/>
      <c r="AH341" s="40"/>
      <c r="AI341" s="8"/>
      <c r="AJ341" s="40"/>
      <c r="AK341" s="40"/>
      <c r="AL341" s="40"/>
      <c r="AM341" s="44"/>
      <c r="AN341" s="44"/>
      <c r="AO341" s="41"/>
      <c r="AP341" s="45" t="str">
        <f aca="false">IF(B341="","",IF(AND(ISNUMBER(AM341),ISNUMBER(AN341),AM341&gt;0,AN341&gt;0),AN341/AM341-1,""))</f>
        <v/>
      </c>
      <c r="AQ341" s="9" t="str">
        <f aca="false">IF(I341="","",(YEAR(I341)-IF(MONTH(I341)&lt;4,1,0))&amp;"-"&amp;RIGHT((YEAR(I341)-IF(MONTH(I341)&lt;4,1,0))+1,2))</f>
        <v/>
      </c>
      <c r="AR341" s="9" t="str">
        <f aca="false">IF(J341="","",(YEAR(J341)-IF(MONTH(J341)&lt;4,1,0))&amp;"-"&amp;RIGHT((YEAR(J341)-IF(MONTH(J341)&lt;4,1,0))+1,2))</f>
        <v/>
      </c>
      <c r="AS341" s="43" t="str">
        <f aca="false">IF(OR(B341="",Q341="",D341&lt;&gt;"Active"),"",DATE(YEAR(AsOf)+IF(DATE(YEAR(AsOf),MONTH(Q341),DAY(Q341))&lt;AsOf,1,0),MONTH(Q341),DAY(Q341))-AsOf)</f>
        <v/>
      </c>
      <c r="AT341" s="43" t="str">
        <f aca="false">IF(OR(B341="",I341="",D341&lt;&gt;"Active"),"",IF(YEAR(DATE(YEAR(AsOf)+IF(DATE(YEAR(AsOf),MONTH(I341),DAY(I341))&lt;AsOf,1,0),MONTH(I341),DAY(I341)))-YEAR(I341)&lt;1,"",DATE(YEAR(AsOf)+IF(DATE(YEAR(AsOf),MONTH(I341),DAY(I341))&lt;AsOf,1,0),MONTH(I341),DAY(I341))-AsOf))</f>
        <v/>
      </c>
      <c r="AU341" s="43" t="str">
        <f aca="false">IF(B341="","",IF(AV341="",0,LEN(AV341)-LEN(SUBSTITUTE(AV341,";",""))))</f>
        <v/>
      </c>
      <c r="AV341" s="9" t="str">
        <f aca="false">IF(B341="","",IF(COUNTIF($B$6:$B$505,B341)&gt;1,"Duplicate Emp Code; ","")&amp;IF(C341="","Name missing; ","")&amp;IF(I341="","DOJ missing; ","")&amp;IF(AND(J341&lt;&gt;"",I341&lt;&gt;"",J341&lt;I341),"Exit before DOJ; ","")&amp;IF(Q341="","DOB missing; ","")&amp;IF(T341="","Aadhaar missing; ",IF(LEN(T341)&lt;&gt;12,"Aadhaar not 12 digits; ",IF(COUNTIF($T$6:$T$505,T341)&gt;1,"Duplicate Aadhaar; ","")))&amp;IF(U341="","PAN missing; ",IF(LEN(U341)&lt;&gt;10,"PAN not 10 chars; ",""))&amp;IF(V341="","Mobile missing; ",IF(LEN(V341)&lt;&gt;10,"Mobile not 10 digits; ",""))&amp;IF(AG341="","Bank A/c missing; ","")&amp;IF(AH341="","IFSC missing; ",IF(LEN(AH341)&lt;&gt;11,"IFSC not 11 chars; ","")))</f>
        <v/>
      </c>
      <c r="AW341" s="46" t="str">
        <f aca="false">IF(AS341="","",AS341+ROW()/100000)</f>
        <v/>
      </c>
      <c r="AX341" s="46" t="str">
        <f aca="false">IF(AT341="","",AT341+ROW()/100000)</f>
        <v/>
      </c>
    </row>
    <row r="342" customFormat="false" ht="15" hidden="false" customHeight="false" outlineLevel="0" collapsed="false">
      <c r="A342" s="9" t="str">
        <f aca="false">IF(B342="","",ROW()-5)</f>
        <v/>
      </c>
      <c r="B342" s="40"/>
      <c r="C342" s="8"/>
      <c r="D342" s="9" t="str">
        <f aca="false">IF(B342="","",IF(J342="","Active","Exited"))</f>
        <v/>
      </c>
      <c r="E342" s="8"/>
      <c r="F342" s="8"/>
      <c r="G342" s="8"/>
      <c r="H342" s="9" t="str">
        <f aca="false">IF(OR(B342="",I342=""),"",IF(IF(J342="",AsOf,J342)-I342&gt;=Settings!$C$13,"Permanent","Probation"))</f>
        <v/>
      </c>
      <c r="I342" s="41"/>
      <c r="J342" s="41"/>
      <c r="K342" s="8"/>
      <c r="L342" s="42" t="str">
        <f aca="false">IF(OR(B342="",I342=""),"",ROUND((IF(J342="",AsOf,J342)-I342)/365.25,1))</f>
        <v/>
      </c>
      <c r="M342" s="8"/>
      <c r="N342" s="8"/>
      <c r="O342" s="8"/>
      <c r="P342" s="8"/>
      <c r="Q342" s="41"/>
      <c r="R342" s="43" t="str">
        <f aca="false">IF(OR(B342="",Q342=""),"",INT((AsOf-Q342)/365.25))</f>
        <v/>
      </c>
      <c r="S342" s="8"/>
      <c r="T342" s="40"/>
      <c r="U342" s="40"/>
      <c r="V342" s="40"/>
      <c r="W342" s="40"/>
      <c r="X342" s="8"/>
      <c r="Y342" s="8"/>
      <c r="Z342" s="8"/>
      <c r="AA342" s="8"/>
      <c r="AB342" s="8"/>
      <c r="AC342" s="8"/>
      <c r="AD342" s="8"/>
      <c r="AE342" s="40"/>
      <c r="AF342" s="8"/>
      <c r="AG342" s="40"/>
      <c r="AH342" s="40"/>
      <c r="AI342" s="8"/>
      <c r="AJ342" s="40"/>
      <c r="AK342" s="40"/>
      <c r="AL342" s="40"/>
      <c r="AM342" s="44"/>
      <c r="AN342" s="44"/>
      <c r="AO342" s="41"/>
      <c r="AP342" s="45" t="str">
        <f aca="false">IF(B342="","",IF(AND(ISNUMBER(AM342),ISNUMBER(AN342),AM342&gt;0,AN342&gt;0),AN342/AM342-1,""))</f>
        <v/>
      </c>
      <c r="AQ342" s="9" t="str">
        <f aca="false">IF(I342="","",(YEAR(I342)-IF(MONTH(I342)&lt;4,1,0))&amp;"-"&amp;RIGHT((YEAR(I342)-IF(MONTH(I342)&lt;4,1,0))+1,2))</f>
        <v/>
      </c>
      <c r="AR342" s="9" t="str">
        <f aca="false">IF(J342="","",(YEAR(J342)-IF(MONTH(J342)&lt;4,1,0))&amp;"-"&amp;RIGHT((YEAR(J342)-IF(MONTH(J342)&lt;4,1,0))+1,2))</f>
        <v/>
      </c>
      <c r="AS342" s="43" t="str">
        <f aca="false">IF(OR(B342="",Q342="",D342&lt;&gt;"Active"),"",DATE(YEAR(AsOf)+IF(DATE(YEAR(AsOf),MONTH(Q342),DAY(Q342))&lt;AsOf,1,0),MONTH(Q342),DAY(Q342))-AsOf)</f>
        <v/>
      </c>
      <c r="AT342" s="43" t="str">
        <f aca="false">IF(OR(B342="",I342="",D342&lt;&gt;"Active"),"",IF(YEAR(DATE(YEAR(AsOf)+IF(DATE(YEAR(AsOf),MONTH(I342),DAY(I342))&lt;AsOf,1,0),MONTH(I342),DAY(I342)))-YEAR(I342)&lt;1,"",DATE(YEAR(AsOf)+IF(DATE(YEAR(AsOf),MONTH(I342),DAY(I342))&lt;AsOf,1,0),MONTH(I342),DAY(I342))-AsOf))</f>
        <v/>
      </c>
      <c r="AU342" s="43" t="str">
        <f aca="false">IF(B342="","",IF(AV342="",0,LEN(AV342)-LEN(SUBSTITUTE(AV342,";",""))))</f>
        <v/>
      </c>
      <c r="AV342" s="9" t="str">
        <f aca="false">IF(B342="","",IF(COUNTIF($B$6:$B$505,B342)&gt;1,"Duplicate Emp Code; ","")&amp;IF(C342="","Name missing; ","")&amp;IF(I342="","DOJ missing; ","")&amp;IF(AND(J342&lt;&gt;"",I342&lt;&gt;"",J342&lt;I342),"Exit before DOJ; ","")&amp;IF(Q342="","DOB missing; ","")&amp;IF(T342="","Aadhaar missing; ",IF(LEN(T342)&lt;&gt;12,"Aadhaar not 12 digits; ",IF(COUNTIF($T$6:$T$505,T342)&gt;1,"Duplicate Aadhaar; ","")))&amp;IF(U342="","PAN missing; ",IF(LEN(U342)&lt;&gt;10,"PAN not 10 chars; ",""))&amp;IF(V342="","Mobile missing; ",IF(LEN(V342)&lt;&gt;10,"Mobile not 10 digits; ",""))&amp;IF(AG342="","Bank A/c missing; ","")&amp;IF(AH342="","IFSC missing; ",IF(LEN(AH342)&lt;&gt;11,"IFSC not 11 chars; ","")))</f>
        <v/>
      </c>
      <c r="AW342" s="46" t="str">
        <f aca="false">IF(AS342="","",AS342+ROW()/100000)</f>
        <v/>
      </c>
      <c r="AX342" s="46" t="str">
        <f aca="false">IF(AT342="","",AT342+ROW()/100000)</f>
        <v/>
      </c>
    </row>
    <row r="343" customFormat="false" ht="15" hidden="false" customHeight="false" outlineLevel="0" collapsed="false">
      <c r="A343" s="9" t="str">
        <f aca="false">IF(B343="","",ROW()-5)</f>
        <v/>
      </c>
      <c r="B343" s="40"/>
      <c r="C343" s="8"/>
      <c r="D343" s="9" t="str">
        <f aca="false">IF(B343="","",IF(J343="","Active","Exited"))</f>
        <v/>
      </c>
      <c r="E343" s="8"/>
      <c r="F343" s="8"/>
      <c r="G343" s="8"/>
      <c r="H343" s="9" t="str">
        <f aca="false">IF(OR(B343="",I343=""),"",IF(IF(J343="",AsOf,J343)-I343&gt;=Settings!$C$13,"Permanent","Probation"))</f>
        <v/>
      </c>
      <c r="I343" s="41"/>
      <c r="J343" s="41"/>
      <c r="K343" s="8"/>
      <c r="L343" s="42" t="str">
        <f aca="false">IF(OR(B343="",I343=""),"",ROUND((IF(J343="",AsOf,J343)-I343)/365.25,1))</f>
        <v/>
      </c>
      <c r="M343" s="8"/>
      <c r="N343" s="8"/>
      <c r="O343" s="8"/>
      <c r="P343" s="8"/>
      <c r="Q343" s="41"/>
      <c r="R343" s="43" t="str">
        <f aca="false">IF(OR(B343="",Q343=""),"",INT((AsOf-Q343)/365.25))</f>
        <v/>
      </c>
      <c r="S343" s="8"/>
      <c r="T343" s="40"/>
      <c r="U343" s="40"/>
      <c r="V343" s="40"/>
      <c r="W343" s="40"/>
      <c r="X343" s="8"/>
      <c r="Y343" s="8"/>
      <c r="Z343" s="8"/>
      <c r="AA343" s="8"/>
      <c r="AB343" s="8"/>
      <c r="AC343" s="8"/>
      <c r="AD343" s="8"/>
      <c r="AE343" s="40"/>
      <c r="AF343" s="8"/>
      <c r="AG343" s="40"/>
      <c r="AH343" s="40"/>
      <c r="AI343" s="8"/>
      <c r="AJ343" s="40"/>
      <c r="AK343" s="40"/>
      <c r="AL343" s="40"/>
      <c r="AM343" s="44"/>
      <c r="AN343" s="44"/>
      <c r="AO343" s="41"/>
      <c r="AP343" s="45" t="str">
        <f aca="false">IF(B343="","",IF(AND(ISNUMBER(AM343),ISNUMBER(AN343),AM343&gt;0,AN343&gt;0),AN343/AM343-1,""))</f>
        <v/>
      </c>
      <c r="AQ343" s="9" t="str">
        <f aca="false">IF(I343="","",(YEAR(I343)-IF(MONTH(I343)&lt;4,1,0))&amp;"-"&amp;RIGHT((YEAR(I343)-IF(MONTH(I343)&lt;4,1,0))+1,2))</f>
        <v/>
      </c>
      <c r="AR343" s="9" t="str">
        <f aca="false">IF(J343="","",(YEAR(J343)-IF(MONTH(J343)&lt;4,1,0))&amp;"-"&amp;RIGHT((YEAR(J343)-IF(MONTH(J343)&lt;4,1,0))+1,2))</f>
        <v/>
      </c>
      <c r="AS343" s="43" t="str">
        <f aca="false">IF(OR(B343="",Q343="",D343&lt;&gt;"Active"),"",DATE(YEAR(AsOf)+IF(DATE(YEAR(AsOf),MONTH(Q343),DAY(Q343))&lt;AsOf,1,0),MONTH(Q343),DAY(Q343))-AsOf)</f>
        <v/>
      </c>
      <c r="AT343" s="43" t="str">
        <f aca="false">IF(OR(B343="",I343="",D343&lt;&gt;"Active"),"",IF(YEAR(DATE(YEAR(AsOf)+IF(DATE(YEAR(AsOf),MONTH(I343),DAY(I343))&lt;AsOf,1,0),MONTH(I343),DAY(I343)))-YEAR(I343)&lt;1,"",DATE(YEAR(AsOf)+IF(DATE(YEAR(AsOf),MONTH(I343),DAY(I343))&lt;AsOf,1,0),MONTH(I343),DAY(I343))-AsOf))</f>
        <v/>
      </c>
      <c r="AU343" s="43" t="str">
        <f aca="false">IF(B343="","",IF(AV343="",0,LEN(AV343)-LEN(SUBSTITUTE(AV343,";",""))))</f>
        <v/>
      </c>
      <c r="AV343" s="9" t="str">
        <f aca="false">IF(B343="","",IF(COUNTIF($B$6:$B$505,B343)&gt;1,"Duplicate Emp Code; ","")&amp;IF(C343="","Name missing; ","")&amp;IF(I343="","DOJ missing; ","")&amp;IF(AND(J343&lt;&gt;"",I343&lt;&gt;"",J343&lt;I343),"Exit before DOJ; ","")&amp;IF(Q343="","DOB missing; ","")&amp;IF(T343="","Aadhaar missing; ",IF(LEN(T343)&lt;&gt;12,"Aadhaar not 12 digits; ",IF(COUNTIF($T$6:$T$505,T343)&gt;1,"Duplicate Aadhaar; ","")))&amp;IF(U343="","PAN missing; ",IF(LEN(U343)&lt;&gt;10,"PAN not 10 chars; ",""))&amp;IF(V343="","Mobile missing; ",IF(LEN(V343)&lt;&gt;10,"Mobile not 10 digits; ",""))&amp;IF(AG343="","Bank A/c missing; ","")&amp;IF(AH343="","IFSC missing; ",IF(LEN(AH343)&lt;&gt;11,"IFSC not 11 chars; ","")))</f>
        <v/>
      </c>
      <c r="AW343" s="46" t="str">
        <f aca="false">IF(AS343="","",AS343+ROW()/100000)</f>
        <v/>
      </c>
      <c r="AX343" s="46" t="str">
        <f aca="false">IF(AT343="","",AT343+ROW()/100000)</f>
        <v/>
      </c>
    </row>
    <row r="344" customFormat="false" ht="15" hidden="false" customHeight="false" outlineLevel="0" collapsed="false">
      <c r="A344" s="9" t="str">
        <f aca="false">IF(B344="","",ROW()-5)</f>
        <v/>
      </c>
      <c r="B344" s="40"/>
      <c r="C344" s="8"/>
      <c r="D344" s="9" t="str">
        <f aca="false">IF(B344="","",IF(J344="","Active","Exited"))</f>
        <v/>
      </c>
      <c r="E344" s="8"/>
      <c r="F344" s="8"/>
      <c r="G344" s="8"/>
      <c r="H344" s="9" t="str">
        <f aca="false">IF(OR(B344="",I344=""),"",IF(IF(J344="",AsOf,J344)-I344&gt;=Settings!$C$13,"Permanent","Probation"))</f>
        <v/>
      </c>
      <c r="I344" s="41"/>
      <c r="J344" s="41"/>
      <c r="K344" s="8"/>
      <c r="L344" s="42" t="str">
        <f aca="false">IF(OR(B344="",I344=""),"",ROUND((IF(J344="",AsOf,J344)-I344)/365.25,1))</f>
        <v/>
      </c>
      <c r="M344" s="8"/>
      <c r="N344" s="8"/>
      <c r="O344" s="8"/>
      <c r="P344" s="8"/>
      <c r="Q344" s="41"/>
      <c r="R344" s="43" t="str">
        <f aca="false">IF(OR(B344="",Q344=""),"",INT((AsOf-Q344)/365.25))</f>
        <v/>
      </c>
      <c r="S344" s="8"/>
      <c r="T344" s="40"/>
      <c r="U344" s="40"/>
      <c r="V344" s="40"/>
      <c r="W344" s="40"/>
      <c r="X344" s="8"/>
      <c r="Y344" s="8"/>
      <c r="Z344" s="8"/>
      <c r="AA344" s="8"/>
      <c r="AB344" s="8"/>
      <c r="AC344" s="8"/>
      <c r="AD344" s="8"/>
      <c r="AE344" s="40"/>
      <c r="AF344" s="8"/>
      <c r="AG344" s="40"/>
      <c r="AH344" s="40"/>
      <c r="AI344" s="8"/>
      <c r="AJ344" s="40"/>
      <c r="AK344" s="40"/>
      <c r="AL344" s="40"/>
      <c r="AM344" s="44"/>
      <c r="AN344" s="44"/>
      <c r="AO344" s="41"/>
      <c r="AP344" s="45" t="str">
        <f aca="false">IF(B344="","",IF(AND(ISNUMBER(AM344),ISNUMBER(AN344),AM344&gt;0,AN344&gt;0),AN344/AM344-1,""))</f>
        <v/>
      </c>
      <c r="AQ344" s="9" t="str">
        <f aca="false">IF(I344="","",(YEAR(I344)-IF(MONTH(I344)&lt;4,1,0))&amp;"-"&amp;RIGHT((YEAR(I344)-IF(MONTH(I344)&lt;4,1,0))+1,2))</f>
        <v/>
      </c>
      <c r="AR344" s="9" t="str">
        <f aca="false">IF(J344="","",(YEAR(J344)-IF(MONTH(J344)&lt;4,1,0))&amp;"-"&amp;RIGHT((YEAR(J344)-IF(MONTH(J344)&lt;4,1,0))+1,2))</f>
        <v/>
      </c>
      <c r="AS344" s="43" t="str">
        <f aca="false">IF(OR(B344="",Q344="",D344&lt;&gt;"Active"),"",DATE(YEAR(AsOf)+IF(DATE(YEAR(AsOf),MONTH(Q344),DAY(Q344))&lt;AsOf,1,0),MONTH(Q344),DAY(Q344))-AsOf)</f>
        <v/>
      </c>
      <c r="AT344" s="43" t="str">
        <f aca="false">IF(OR(B344="",I344="",D344&lt;&gt;"Active"),"",IF(YEAR(DATE(YEAR(AsOf)+IF(DATE(YEAR(AsOf),MONTH(I344),DAY(I344))&lt;AsOf,1,0),MONTH(I344),DAY(I344)))-YEAR(I344)&lt;1,"",DATE(YEAR(AsOf)+IF(DATE(YEAR(AsOf),MONTH(I344),DAY(I344))&lt;AsOf,1,0),MONTH(I344),DAY(I344))-AsOf))</f>
        <v/>
      </c>
      <c r="AU344" s="43" t="str">
        <f aca="false">IF(B344="","",IF(AV344="",0,LEN(AV344)-LEN(SUBSTITUTE(AV344,";",""))))</f>
        <v/>
      </c>
      <c r="AV344" s="9" t="str">
        <f aca="false">IF(B344="","",IF(COUNTIF($B$6:$B$505,B344)&gt;1,"Duplicate Emp Code; ","")&amp;IF(C344="","Name missing; ","")&amp;IF(I344="","DOJ missing; ","")&amp;IF(AND(J344&lt;&gt;"",I344&lt;&gt;"",J344&lt;I344),"Exit before DOJ; ","")&amp;IF(Q344="","DOB missing; ","")&amp;IF(T344="","Aadhaar missing; ",IF(LEN(T344)&lt;&gt;12,"Aadhaar not 12 digits; ",IF(COUNTIF($T$6:$T$505,T344)&gt;1,"Duplicate Aadhaar; ","")))&amp;IF(U344="","PAN missing; ",IF(LEN(U344)&lt;&gt;10,"PAN not 10 chars; ",""))&amp;IF(V344="","Mobile missing; ",IF(LEN(V344)&lt;&gt;10,"Mobile not 10 digits; ",""))&amp;IF(AG344="","Bank A/c missing; ","")&amp;IF(AH344="","IFSC missing; ",IF(LEN(AH344)&lt;&gt;11,"IFSC not 11 chars; ","")))</f>
        <v/>
      </c>
      <c r="AW344" s="46" t="str">
        <f aca="false">IF(AS344="","",AS344+ROW()/100000)</f>
        <v/>
      </c>
      <c r="AX344" s="46" t="str">
        <f aca="false">IF(AT344="","",AT344+ROW()/100000)</f>
        <v/>
      </c>
    </row>
    <row r="345" customFormat="false" ht="15" hidden="false" customHeight="false" outlineLevel="0" collapsed="false">
      <c r="A345" s="9" t="str">
        <f aca="false">IF(B345="","",ROW()-5)</f>
        <v/>
      </c>
      <c r="B345" s="40"/>
      <c r="C345" s="8"/>
      <c r="D345" s="9" t="str">
        <f aca="false">IF(B345="","",IF(J345="","Active","Exited"))</f>
        <v/>
      </c>
      <c r="E345" s="8"/>
      <c r="F345" s="8"/>
      <c r="G345" s="8"/>
      <c r="H345" s="9" t="str">
        <f aca="false">IF(OR(B345="",I345=""),"",IF(IF(J345="",AsOf,J345)-I345&gt;=Settings!$C$13,"Permanent","Probation"))</f>
        <v/>
      </c>
      <c r="I345" s="41"/>
      <c r="J345" s="41"/>
      <c r="K345" s="8"/>
      <c r="L345" s="42" t="str">
        <f aca="false">IF(OR(B345="",I345=""),"",ROUND((IF(J345="",AsOf,J345)-I345)/365.25,1))</f>
        <v/>
      </c>
      <c r="M345" s="8"/>
      <c r="N345" s="8"/>
      <c r="O345" s="8"/>
      <c r="P345" s="8"/>
      <c r="Q345" s="41"/>
      <c r="R345" s="43" t="str">
        <f aca="false">IF(OR(B345="",Q345=""),"",INT((AsOf-Q345)/365.25))</f>
        <v/>
      </c>
      <c r="S345" s="8"/>
      <c r="T345" s="40"/>
      <c r="U345" s="40"/>
      <c r="V345" s="40"/>
      <c r="W345" s="40"/>
      <c r="X345" s="8"/>
      <c r="Y345" s="8"/>
      <c r="Z345" s="8"/>
      <c r="AA345" s="8"/>
      <c r="AB345" s="8"/>
      <c r="AC345" s="8"/>
      <c r="AD345" s="8"/>
      <c r="AE345" s="40"/>
      <c r="AF345" s="8"/>
      <c r="AG345" s="40"/>
      <c r="AH345" s="40"/>
      <c r="AI345" s="8"/>
      <c r="AJ345" s="40"/>
      <c r="AK345" s="40"/>
      <c r="AL345" s="40"/>
      <c r="AM345" s="44"/>
      <c r="AN345" s="44"/>
      <c r="AO345" s="41"/>
      <c r="AP345" s="45" t="str">
        <f aca="false">IF(B345="","",IF(AND(ISNUMBER(AM345),ISNUMBER(AN345),AM345&gt;0,AN345&gt;0),AN345/AM345-1,""))</f>
        <v/>
      </c>
      <c r="AQ345" s="9" t="str">
        <f aca="false">IF(I345="","",(YEAR(I345)-IF(MONTH(I345)&lt;4,1,0))&amp;"-"&amp;RIGHT((YEAR(I345)-IF(MONTH(I345)&lt;4,1,0))+1,2))</f>
        <v/>
      </c>
      <c r="AR345" s="9" t="str">
        <f aca="false">IF(J345="","",(YEAR(J345)-IF(MONTH(J345)&lt;4,1,0))&amp;"-"&amp;RIGHT((YEAR(J345)-IF(MONTH(J345)&lt;4,1,0))+1,2))</f>
        <v/>
      </c>
      <c r="AS345" s="43" t="str">
        <f aca="false">IF(OR(B345="",Q345="",D345&lt;&gt;"Active"),"",DATE(YEAR(AsOf)+IF(DATE(YEAR(AsOf),MONTH(Q345),DAY(Q345))&lt;AsOf,1,0),MONTH(Q345),DAY(Q345))-AsOf)</f>
        <v/>
      </c>
      <c r="AT345" s="43" t="str">
        <f aca="false">IF(OR(B345="",I345="",D345&lt;&gt;"Active"),"",IF(YEAR(DATE(YEAR(AsOf)+IF(DATE(YEAR(AsOf),MONTH(I345),DAY(I345))&lt;AsOf,1,0),MONTH(I345),DAY(I345)))-YEAR(I345)&lt;1,"",DATE(YEAR(AsOf)+IF(DATE(YEAR(AsOf),MONTH(I345),DAY(I345))&lt;AsOf,1,0),MONTH(I345),DAY(I345))-AsOf))</f>
        <v/>
      </c>
      <c r="AU345" s="43" t="str">
        <f aca="false">IF(B345="","",IF(AV345="",0,LEN(AV345)-LEN(SUBSTITUTE(AV345,";",""))))</f>
        <v/>
      </c>
      <c r="AV345" s="9" t="str">
        <f aca="false">IF(B345="","",IF(COUNTIF($B$6:$B$505,B345)&gt;1,"Duplicate Emp Code; ","")&amp;IF(C345="","Name missing; ","")&amp;IF(I345="","DOJ missing; ","")&amp;IF(AND(J345&lt;&gt;"",I345&lt;&gt;"",J345&lt;I345),"Exit before DOJ; ","")&amp;IF(Q345="","DOB missing; ","")&amp;IF(T345="","Aadhaar missing; ",IF(LEN(T345)&lt;&gt;12,"Aadhaar not 12 digits; ",IF(COUNTIF($T$6:$T$505,T345)&gt;1,"Duplicate Aadhaar; ","")))&amp;IF(U345="","PAN missing; ",IF(LEN(U345)&lt;&gt;10,"PAN not 10 chars; ",""))&amp;IF(V345="","Mobile missing; ",IF(LEN(V345)&lt;&gt;10,"Mobile not 10 digits; ",""))&amp;IF(AG345="","Bank A/c missing; ","")&amp;IF(AH345="","IFSC missing; ",IF(LEN(AH345)&lt;&gt;11,"IFSC not 11 chars; ","")))</f>
        <v/>
      </c>
      <c r="AW345" s="46" t="str">
        <f aca="false">IF(AS345="","",AS345+ROW()/100000)</f>
        <v/>
      </c>
      <c r="AX345" s="46" t="str">
        <f aca="false">IF(AT345="","",AT345+ROW()/100000)</f>
        <v/>
      </c>
    </row>
    <row r="346" customFormat="false" ht="15" hidden="false" customHeight="false" outlineLevel="0" collapsed="false">
      <c r="A346" s="9" t="str">
        <f aca="false">IF(B346="","",ROW()-5)</f>
        <v/>
      </c>
      <c r="B346" s="40"/>
      <c r="C346" s="8"/>
      <c r="D346" s="9" t="str">
        <f aca="false">IF(B346="","",IF(J346="","Active","Exited"))</f>
        <v/>
      </c>
      <c r="E346" s="8"/>
      <c r="F346" s="8"/>
      <c r="G346" s="8"/>
      <c r="H346" s="9" t="str">
        <f aca="false">IF(OR(B346="",I346=""),"",IF(IF(J346="",AsOf,J346)-I346&gt;=Settings!$C$13,"Permanent","Probation"))</f>
        <v/>
      </c>
      <c r="I346" s="41"/>
      <c r="J346" s="41"/>
      <c r="K346" s="8"/>
      <c r="L346" s="42" t="str">
        <f aca="false">IF(OR(B346="",I346=""),"",ROUND((IF(J346="",AsOf,J346)-I346)/365.25,1))</f>
        <v/>
      </c>
      <c r="M346" s="8"/>
      <c r="N346" s="8"/>
      <c r="O346" s="8"/>
      <c r="P346" s="8"/>
      <c r="Q346" s="41"/>
      <c r="R346" s="43" t="str">
        <f aca="false">IF(OR(B346="",Q346=""),"",INT((AsOf-Q346)/365.25))</f>
        <v/>
      </c>
      <c r="S346" s="8"/>
      <c r="T346" s="40"/>
      <c r="U346" s="40"/>
      <c r="V346" s="40"/>
      <c r="W346" s="40"/>
      <c r="X346" s="8"/>
      <c r="Y346" s="8"/>
      <c r="Z346" s="8"/>
      <c r="AA346" s="8"/>
      <c r="AB346" s="8"/>
      <c r="AC346" s="8"/>
      <c r="AD346" s="8"/>
      <c r="AE346" s="40"/>
      <c r="AF346" s="8"/>
      <c r="AG346" s="40"/>
      <c r="AH346" s="40"/>
      <c r="AI346" s="8"/>
      <c r="AJ346" s="40"/>
      <c r="AK346" s="40"/>
      <c r="AL346" s="40"/>
      <c r="AM346" s="44"/>
      <c r="AN346" s="44"/>
      <c r="AO346" s="41"/>
      <c r="AP346" s="45" t="str">
        <f aca="false">IF(B346="","",IF(AND(ISNUMBER(AM346),ISNUMBER(AN346),AM346&gt;0,AN346&gt;0),AN346/AM346-1,""))</f>
        <v/>
      </c>
      <c r="AQ346" s="9" t="str">
        <f aca="false">IF(I346="","",(YEAR(I346)-IF(MONTH(I346)&lt;4,1,0))&amp;"-"&amp;RIGHT((YEAR(I346)-IF(MONTH(I346)&lt;4,1,0))+1,2))</f>
        <v/>
      </c>
      <c r="AR346" s="9" t="str">
        <f aca="false">IF(J346="","",(YEAR(J346)-IF(MONTH(J346)&lt;4,1,0))&amp;"-"&amp;RIGHT((YEAR(J346)-IF(MONTH(J346)&lt;4,1,0))+1,2))</f>
        <v/>
      </c>
      <c r="AS346" s="43" t="str">
        <f aca="false">IF(OR(B346="",Q346="",D346&lt;&gt;"Active"),"",DATE(YEAR(AsOf)+IF(DATE(YEAR(AsOf),MONTH(Q346),DAY(Q346))&lt;AsOf,1,0),MONTH(Q346),DAY(Q346))-AsOf)</f>
        <v/>
      </c>
      <c r="AT346" s="43" t="str">
        <f aca="false">IF(OR(B346="",I346="",D346&lt;&gt;"Active"),"",IF(YEAR(DATE(YEAR(AsOf)+IF(DATE(YEAR(AsOf),MONTH(I346),DAY(I346))&lt;AsOf,1,0),MONTH(I346),DAY(I346)))-YEAR(I346)&lt;1,"",DATE(YEAR(AsOf)+IF(DATE(YEAR(AsOf),MONTH(I346),DAY(I346))&lt;AsOf,1,0),MONTH(I346),DAY(I346))-AsOf))</f>
        <v/>
      </c>
      <c r="AU346" s="43" t="str">
        <f aca="false">IF(B346="","",IF(AV346="",0,LEN(AV346)-LEN(SUBSTITUTE(AV346,";",""))))</f>
        <v/>
      </c>
      <c r="AV346" s="9" t="str">
        <f aca="false">IF(B346="","",IF(COUNTIF($B$6:$B$505,B346)&gt;1,"Duplicate Emp Code; ","")&amp;IF(C346="","Name missing; ","")&amp;IF(I346="","DOJ missing; ","")&amp;IF(AND(J346&lt;&gt;"",I346&lt;&gt;"",J346&lt;I346),"Exit before DOJ; ","")&amp;IF(Q346="","DOB missing; ","")&amp;IF(T346="","Aadhaar missing; ",IF(LEN(T346)&lt;&gt;12,"Aadhaar not 12 digits; ",IF(COUNTIF($T$6:$T$505,T346)&gt;1,"Duplicate Aadhaar; ","")))&amp;IF(U346="","PAN missing; ",IF(LEN(U346)&lt;&gt;10,"PAN not 10 chars; ",""))&amp;IF(V346="","Mobile missing; ",IF(LEN(V346)&lt;&gt;10,"Mobile not 10 digits; ",""))&amp;IF(AG346="","Bank A/c missing; ","")&amp;IF(AH346="","IFSC missing; ",IF(LEN(AH346)&lt;&gt;11,"IFSC not 11 chars; ","")))</f>
        <v/>
      </c>
      <c r="AW346" s="46" t="str">
        <f aca="false">IF(AS346="","",AS346+ROW()/100000)</f>
        <v/>
      </c>
      <c r="AX346" s="46" t="str">
        <f aca="false">IF(AT346="","",AT346+ROW()/100000)</f>
        <v/>
      </c>
    </row>
    <row r="347" customFormat="false" ht="15" hidden="false" customHeight="false" outlineLevel="0" collapsed="false">
      <c r="A347" s="9" t="str">
        <f aca="false">IF(B347="","",ROW()-5)</f>
        <v/>
      </c>
      <c r="B347" s="40"/>
      <c r="C347" s="8"/>
      <c r="D347" s="9" t="str">
        <f aca="false">IF(B347="","",IF(J347="","Active","Exited"))</f>
        <v/>
      </c>
      <c r="E347" s="8"/>
      <c r="F347" s="8"/>
      <c r="G347" s="8"/>
      <c r="H347" s="9" t="str">
        <f aca="false">IF(OR(B347="",I347=""),"",IF(IF(J347="",AsOf,J347)-I347&gt;=Settings!$C$13,"Permanent","Probation"))</f>
        <v/>
      </c>
      <c r="I347" s="41"/>
      <c r="J347" s="41"/>
      <c r="K347" s="8"/>
      <c r="L347" s="42" t="str">
        <f aca="false">IF(OR(B347="",I347=""),"",ROUND((IF(J347="",AsOf,J347)-I347)/365.25,1))</f>
        <v/>
      </c>
      <c r="M347" s="8"/>
      <c r="N347" s="8"/>
      <c r="O347" s="8"/>
      <c r="P347" s="8"/>
      <c r="Q347" s="41"/>
      <c r="R347" s="43" t="str">
        <f aca="false">IF(OR(B347="",Q347=""),"",INT((AsOf-Q347)/365.25))</f>
        <v/>
      </c>
      <c r="S347" s="8"/>
      <c r="T347" s="40"/>
      <c r="U347" s="40"/>
      <c r="V347" s="40"/>
      <c r="W347" s="40"/>
      <c r="X347" s="8"/>
      <c r="Y347" s="8"/>
      <c r="Z347" s="8"/>
      <c r="AA347" s="8"/>
      <c r="AB347" s="8"/>
      <c r="AC347" s="8"/>
      <c r="AD347" s="8"/>
      <c r="AE347" s="40"/>
      <c r="AF347" s="8"/>
      <c r="AG347" s="40"/>
      <c r="AH347" s="40"/>
      <c r="AI347" s="8"/>
      <c r="AJ347" s="40"/>
      <c r="AK347" s="40"/>
      <c r="AL347" s="40"/>
      <c r="AM347" s="44"/>
      <c r="AN347" s="44"/>
      <c r="AO347" s="41"/>
      <c r="AP347" s="45" t="str">
        <f aca="false">IF(B347="","",IF(AND(ISNUMBER(AM347),ISNUMBER(AN347),AM347&gt;0,AN347&gt;0),AN347/AM347-1,""))</f>
        <v/>
      </c>
      <c r="AQ347" s="9" t="str">
        <f aca="false">IF(I347="","",(YEAR(I347)-IF(MONTH(I347)&lt;4,1,0))&amp;"-"&amp;RIGHT((YEAR(I347)-IF(MONTH(I347)&lt;4,1,0))+1,2))</f>
        <v/>
      </c>
      <c r="AR347" s="9" t="str">
        <f aca="false">IF(J347="","",(YEAR(J347)-IF(MONTH(J347)&lt;4,1,0))&amp;"-"&amp;RIGHT((YEAR(J347)-IF(MONTH(J347)&lt;4,1,0))+1,2))</f>
        <v/>
      </c>
      <c r="AS347" s="43" t="str">
        <f aca="false">IF(OR(B347="",Q347="",D347&lt;&gt;"Active"),"",DATE(YEAR(AsOf)+IF(DATE(YEAR(AsOf),MONTH(Q347),DAY(Q347))&lt;AsOf,1,0),MONTH(Q347),DAY(Q347))-AsOf)</f>
        <v/>
      </c>
      <c r="AT347" s="43" t="str">
        <f aca="false">IF(OR(B347="",I347="",D347&lt;&gt;"Active"),"",IF(YEAR(DATE(YEAR(AsOf)+IF(DATE(YEAR(AsOf),MONTH(I347),DAY(I347))&lt;AsOf,1,0),MONTH(I347),DAY(I347)))-YEAR(I347)&lt;1,"",DATE(YEAR(AsOf)+IF(DATE(YEAR(AsOf),MONTH(I347),DAY(I347))&lt;AsOf,1,0),MONTH(I347),DAY(I347))-AsOf))</f>
        <v/>
      </c>
      <c r="AU347" s="43" t="str">
        <f aca="false">IF(B347="","",IF(AV347="",0,LEN(AV347)-LEN(SUBSTITUTE(AV347,";",""))))</f>
        <v/>
      </c>
      <c r="AV347" s="9" t="str">
        <f aca="false">IF(B347="","",IF(COUNTIF($B$6:$B$505,B347)&gt;1,"Duplicate Emp Code; ","")&amp;IF(C347="","Name missing; ","")&amp;IF(I347="","DOJ missing; ","")&amp;IF(AND(J347&lt;&gt;"",I347&lt;&gt;"",J347&lt;I347),"Exit before DOJ; ","")&amp;IF(Q347="","DOB missing; ","")&amp;IF(T347="","Aadhaar missing; ",IF(LEN(T347)&lt;&gt;12,"Aadhaar not 12 digits; ",IF(COUNTIF($T$6:$T$505,T347)&gt;1,"Duplicate Aadhaar; ","")))&amp;IF(U347="","PAN missing; ",IF(LEN(U347)&lt;&gt;10,"PAN not 10 chars; ",""))&amp;IF(V347="","Mobile missing; ",IF(LEN(V347)&lt;&gt;10,"Mobile not 10 digits; ",""))&amp;IF(AG347="","Bank A/c missing; ","")&amp;IF(AH347="","IFSC missing; ",IF(LEN(AH347)&lt;&gt;11,"IFSC not 11 chars; ","")))</f>
        <v/>
      </c>
      <c r="AW347" s="46" t="str">
        <f aca="false">IF(AS347="","",AS347+ROW()/100000)</f>
        <v/>
      </c>
      <c r="AX347" s="46" t="str">
        <f aca="false">IF(AT347="","",AT347+ROW()/100000)</f>
        <v/>
      </c>
    </row>
    <row r="348" customFormat="false" ht="15" hidden="false" customHeight="false" outlineLevel="0" collapsed="false">
      <c r="A348" s="9" t="str">
        <f aca="false">IF(B348="","",ROW()-5)</f>
        <v/>
      </c>
      <c r="B348" s="40"/>
      <c r="C348" s="8"/>
      <c r="D348" s="9" t="str">
        <f aca="false">IF(B348="","",IF(J348="","Active","Exited"))</f>
        <v/>
      </c>
      <c r="E348" s="8"/>
      <c r="F348" s="8"/>
      <c r="G348" s="8"/>
      <c r="H348" s="9" t="str">
        <f aca="false">IF(OR(B348="",I348=""),"",IF(IF(J348="",AsOf,J348)-I348&gt;=Settings!$C$13,"Permanent","Probation"))</f>
        <v/>
      </c>
      <c r="I348" s="41"/>
      <c r="J348" s="41"/>
      <c r="K348" s="8"/>
      <c r="L348" s="42" t="str">
        <f aca="false">IF(OR(B348="",I348=""),"",ROUND((IF(J348="",AsOf,J348)-I348)/365.25,1))</f>
        <v/>
      </c>
      <c r="M348" s="8"/>
      <c r="N348" s="8"/>
      <c r="O348" s="8"/>
      <c r="P348" s="8"/>
      <c r="Q348" s="41"/>
      <c r="R348" s="43" t="str">
        <f aca="false">IF(OR(B348="",Q348=""),"",INT((AsOf-Q348)/365.25))</f>
        <v/>
      </c>
      <c r="S348" s="8"/>
      <c r="T348" s="40"/>
      <c r="U348" s="40"/>
      <c r="V348" s="40"/>
      <c r="W348" s="40"/>
      <c r="X348" s="8"/>
      <c r="Y348" s="8"/>
      <c r="Z348" s="8"/>
      <c r="AA348" s="8"/>
      <c r="AB348" s="8"/>
      <c r="AC348" s="8"/>
      <c r="AD348" s="8"/>
      <c r="AE348" s="40"/>
      <c r="AF348" s="8"/>
      <c r="AG348" s="40"/>
      <c r="AH348" s="40"/>
      <c r="AI348" s="8"/>
      <c r="AJ348" s="40"/>
      <c r="AK348" s="40"/>
      <c r="AL348" s="40"/>
      <c r="AM348" s="44"/>
      <c r="AN348" s="44"/>
      <c r="AO348" s="41"/>
      <c r="AP348" s="45" t="str">
        <f aca="false">IF(B348="","",IF(AND(ISNUMBER(AM348),ISNUMBER(AN348),AM348&gt;0,AN348&gt;0),AN348/AM348-1,""))</f>
        <v/>
      </c>
      <c r="AQ348" s="9" t="str">
        <f aca="false">IF(I348="","",(YEAR(I348)-IF(MONTH(I348)&lt;4,1,0))&amp;"-"&amp;RIGHT((YEAR(I348)-IF(MONTH(I348)&lt;4,1,0))+1,2))</f>
        <v/>
      </c>
      <c r="AR348" s="9" t="str">
        <f aca="false">IF(J348="","",(YEAR(J348)-IF(MONTH(J348)&lt;4,1,0))&amp;"-"&amp;RIGHT((YEAR(J348)-IF(MONTH(J348)&lt;4,1,0))+1,2))</f>
        <v/>
      </c>
      <c r="AS348" s="43" t="str">
        <f aca="false">IF(OR(B348="",Q348="",D348&lt;&gt;"Active"),"",DATE(YEAR(AsOf)+IF(DATE(YEAR(AsOf),MONTH(Q348),DAY(Q348))&lt;AsOf,1,0),MONTH(Q348),DAY(Q348))-AsOf)</f>
        <v/>
      </c>
      <c r="AT348" s="43" t="str">
        <f aca="false">IF(OR(B348="",I348="",D348&lt;&gt;"Active"),"",IF(YEAR(DATE(YEAR(AsOf)+IF(DATE(YEAR(AsOf),MONTH(I348),DAY(I348))&lt;AsOf,1,0),MONTH(I348),DAY(I348)))-YEAR(I348)&lt;1,"",DATE(YEAR(AsOf)+IF(DATE(YEAR(AsOf),MONTH(I348),DAY(I348))&lt;AsOf,1,0),MONTH(I348),DAY(I348))-AsOf))</f>
        <v/>
      </c>
      <c r="AU348" s="43" t="str">
        <f aca="false">IF(B348="","",IF(AV348="",0,LEN(AV348)-LEN(SUBSTITUTE(AV348,";",""))))</f>
        <v/>
      </c>
      <c r="AV348" s="9" t="str">
        <f aca="false">IF(B348="","",IF(COUNTIF($B$6:$B$505,B348)&gt;1,"Duplicate Emp Code; ","")&amp;IF(C348="","Name missing; ","")&amp;IF(I348="","DOJ missing; ","")&amp;IF(AND(J348&lt;&gt;"",I348&lt;&gt;"",J348&lt;I348),"Exit before DOJ; ","")&amp;IF(Q348="","DOB missing; ","")&amp;IF(T348="","Aadhaar missing; ",IF(LEN(T348)&lt;&gt;12,"Aadhaar not 12 digits; ",IF(COUNTIF($T$6:$T$505,T348)&gt;1,"Duplicate Aadhaar; ","")))&amp;IF(U348="","PAN missing; ",IF(LEN(U348)&lt;&gt;10,"PAN not 10 chars; ",""))&amp;IF(V348="","Mobile missing; ",IF(LEN(V348)&lt;&gt;10,"Mobile not 10 digits; ",""))&amp;IF(AG348="","Bank A/c missing; ","")&amp;IF(AH348="","IFSC missing; ",IF(LEN(AH348)&lt;&gt;11,"IFSC not 11 chars; ","")))</f>
        <v/>
      </c>
      <c r="AW348" s="46" t="str">
        <f aca="false">IF(AS348="","",AS348+ROW()/100000)</f>
        <v/>
      </c>
      <c r="AX348" s="46" t="str">
        <f aca="false">IF(AT348="","",AT348+ROW()/100000)</f>
        <v/>
      </c>
    </row>
    <row r="349" customFormat="false" ht="15" hidden="false" customHeight="false" outlineLevel="0" collapsed="false">
      <c r="A349" s="9" t="str">
        <f aca="false">IF(B349="","",ROW()-5)</f>
        <v/>
      </c>
      <c r="B349" s="40"/>
      <c r="C349" s="8"/>
      <c r="D349" s="9" t="str">
        <f aca="false">IF(B349="","",IF(J349="","Active","Exited"))</f>
        <v/>
      </c>
      <c r="E349" s="8"/>
      <c r="F349" s="8"/>
      <c r="G349" s="8"/>
      <c r="H349" s="9" t="str">
        <f aca="false">IF(OR(B349="",I349=""),"",IF(IF(J349="",AsOf,J349)-I349&gt;=Settings!$C$13,"Permanent","Probation"))</f>
        <v/>
      </c>
      <c r="I349" s="41"/>
      <c r="J349" s="41"/>
      <c r="K349" s="8"/>
      <c r="L349" s="42" t="str">
        <f aca="false">IF(OR(B349="",I349=""),"",ROUND((IF(J349="",AsOf,J349)-I349)/365.25,1))</f>
        <v/>
      </c>
      <c r="M349" s="8"/>
      <c r="N349" s="8"/>
      <c r="O349" s="8"/>
      <c r="P349" s="8"/>
      <c r="Q349" s="41"/>
      <c r="R349" s="43" t="str">
        <f aca="false">IF(OR(B349="",Q349=""),"",INT((AsOf-Q349)/365.25))</f>
        <v/>
      </c>
      <c r="S349" s="8"/>
      <c r="T349" s="40"/>
      <c r="U349" s="40"/>
      <c r="V349" s="40"/>
      <c r="W349" s="40"/>
      <c r="X349" s="8"/>
      <c r="Y349" s="8"/>
      <c r="Z349" s="8"/>
      <c r="AA349" s="8"/>
      <c r="AB349" s="8"/>
      <c r="AC349" s="8"/>
      <c r="AD349" s="8"/>
      <c r="AE349" s="40"/>
      <c r="AF349" s="8"/>
      <c r="AG349" s="40"/>
      <c r="AH349" s="40"/>
      <c r="AI349" s="8"/>
      <c r="AJ349" s="40"/>
      <c r="AK349" s="40"/>
      <c r="AL349" s="40"/>
      <c r="AM349" s="44"/>
      <c r="AN349" s="44"/>
      <c r="AO349" s="41"/>
      <c r="AP349" s="45" t="str">
        <f aca="false">IF(B349="","",IF(AND(ISNUMBER(AM349),ISNUMBER(AN349),AM349&gt;0,AN349&gt;0),AN349/AM349-1,""))</f>
        <v/>
      </c>
      <c r="AQ349" s="9" t="str">
        <f aca="false">IF(I349="","",(YEAR(I349)-IF(MONTH(I349)&lt;4,1,0))&amp;"-"&amp;RIGHT((YEAR(I349)-IF(MONTH(I349)&lt;4,1,0))+1,2))</f>
        <v/>
      </c>
      <c r="AR349" s="9" t="str">
        <f aca="false">IF(J349="","",(YEAR(J349)-IF(MONTH(J349)&lt;4,1,0))&amp;"-"&amp;RIGHT((YEAR(J349)-IF(MONTH(J349)&lt;4,1,0))+1,2))</f>
        <v/>
      </c>
      <c r="AS349" s="43" t="str">
        <f aca="false">IF(OR(B349="",Q349="",D349&lt;&gt;"Active"),"",DATE(YEAR(AsOf)+IF(DATE(YEAR(AsOf),MONTH(Q349),DAY(Q349))&lt;AsOf,1,0),MONTH(Q349),DAY(Q349))-AsOf)</f>
        <v/>
      </c>
      <c r="AT349" s="43" t="str">
        <f aca="false">IF(OR(B349="",I349="",D349&lt;&gt;"Active"),"",IF(YEAR(DATE(YEAR(AsOf)+IF(DATE(YEAR(AsOf),MONTH(I349),DAY(I349))&lt;AsOf,1,0),MONTH(I349),DAY(I349)))-YEAR(I349)&lt;1,"",DATE(YEAR(AsOf)+IF(DATE(YEAR(AsOf),MONTH(I349),DAY(I349))&lt;AsOf,1,0),MONTH(I349),DAY(I349))-AsOf))</f>
        <v/>
      </c>
      <c r="AU349" s="43" t="str">
        <f aca="false">IF(B349="","",IF(AV349="",0,LEN(AV349)-LEN(SUBSTITUTE(AV349,";",""))))</f>
        <v/>
      </c>
      <c r="AV349" s="9" t="str">
        <f aca="false">IF(B349="","",IF(COUNTIF($B$6:$B$505,B349)&gt;1,"Duplicate Emp Code; ","")&amp;IF(C349="","Name missing; ","")&amp;IF(I349="","DOJ missing; ","")&amp;IF(AND(J349&lt;&gt;"",I349&lt;&gt;"",J349&lt;I349),"Exit before DOJ; ","")&amp;IF(Q349="","DOB missing; ","")&amp;IF(T349="","Aadhaar missing; ",IF(LEN(T349)&lt;&gt;12,"Aadhaar not 12 digits; ",IF(COUNTIF($T$6:$T$505,T349)&gt;1,"Duplicate Aadhaar; ","")))&amp;IF(U349="","PAN missing; ",IF(LEN(U349)&lt;&gt;10,"PAN not 10 chars; ",""))&amp;IF(V349="","Mobile missing; ",IF(LEN(V349)&lt;&gt;10,"Mobile not 10 digits; ",""))&amp;IF(AG349="","Bank A/c missing; ","")&amp;IF(AH349="","IFSC missing; ",IF(LEN(AH349)&lt;&gt;11,"IFSC not 11 chars; ","")))</f>
        <v/>
      </c>
      <c r="AW349" s="46" t="str">
        <f aca="false">IF(AS349="","",AS349+ROW()/100000)</f>
        <v/>
      </c>
      <c r="AX349" s="46" t="str">
        <f aca="false">IF(AT349="","",AT349+ROW()/100000)</f>
        <v/>
      </c>
    </row>
    <row r="350" customFormat="false" ht="15" hidden="false" customHeight="false" outlineLevel="0" collapsed="false">
      <c r="A350" s="9" t="str">
        <f aca="false">IF(B350="","",ROW()-5)</f>
        <v/>
      </c>
      <c r="B350" s="40"/>
      <c r="C350" s="8"/>
      <c r="D350" s="9" t="str">
        <f aca="false">IF(B350="","",IF(J350="","Active","Exited"))</f>
        <v/>
      </c>
      <c r="E350" s="8"/>
      <c r="F350" s="8"/>
      <c r="G350" s="8"/>
      <c r="H350" s="9" t="str">
        <f aca="false">IF(OR(B350="",I350=""),"",IF(IF(J350="",AsOf,J350)-I350&gt;=Settings!$C$13,"Permanent","Probation"))</f>
        <v/>
      </c>
      <c r="I350" s="41"/>
      <c r="J350" s="41"/>
      <c r="K350" s="8"/>
      <c r="L350" s="42" t="str">
        <f aca="false">IF(OR(B350="",I350=""),"",ROUND((IF(J350="",AsOf,J350)-I350)/365.25,1))</f>
        <v/>
      </c>
      <c r="M350" s="8"/>
      <c r="N350" s="8"/>
      <c r="O350" s="8"/>
      <c r="P350" s="8"/>
      <c r="Q350" s="41"/>
      <c r="R350" s="43" t="str">
        <f aca="false">IF(OR(B350="",Q350=""),"",INT((AsOf-Q350)/365.25))</f>
        <v/>
      </c>
      <c r="S350" s="8"/>
      <c r="T350" s="40"/>
      <c r="U350" s="40"/>
      <c r="V350" s="40"/>
      <c r="W350" s="40"/>
      <c r="X350" s="8"/>
      <c r="Y350" s="8"/>
      <c r="Z350" s="8"/>
      <c r="AA350" s="8"/>
      <c r="AB350" s="8"/>
      <c r="AC350" s="8"/>
      <c r="AD350" s="8"/>
      <c r="AE350" s="40"/>
      <c r="AF350" s="8"/>
      <c r="AG350" s="40"/>
      <c r="AH350" s="40"/>
      <c r="AI350" s="8"/>
      <c r="AJ350" s="40"/>
      <c r="AK350" s="40"/>
      <c r="AL350" s="40"/>
      <c r="AM350" s="44"/>
      <c r="AN350" s="44"/>
      <c r="AO350" s="41"/>
      <c r="AP350" s="45" t="str">
        <f aca="false">IF(B350="","",IF(AND(ISNUMBER(AM350),ISNUMBER(AN350),AM350&gt;0,AN350&gt;0),AN350/AM350-1,""))</f>
        <v/>
      </c>
      <c r="AQ350" s="9" t="str">
        <f aca="false">IF(I350="","",(YEAR(I350)-IF(MONTH(I350)&lt;4,1,0))&amp;"-"&amp;RIGHT((YEAR(I350)-IF(MONTH(I350)&lt;4,1,0))+1,2))</f>
        <v/>
      </c>
      <c r="AR350" s="9" t="str">
        <f aca="false">IF(J350="","",(YEAR(J350)-IF(MONTH(J350)&lt;4,1,0))&amp;"-"&amp;RIGHT((YEAR(J350)-IF(MONTH(J350)&lt;4,1,0))+1,2))</f>
        <v/>
      </c>
      <c r="AS350" s="43" t="str">
        <f aca="false">IF(OR(B350="",Q350="",D350&lt;&gt;"Active"),"",DATE(YEAR(AsOf)+IF(DATE(YEAR(AsOf),MONTH(Q350),DAY(Q350))&lt;AsOf,1,0),MONTH(Q350),DAY(Q350))-AsOf)</f>
        <v/>
      </c>
      <c r="AT350" s="43" t="str">
        <f aca="false">IF(OR(B350="",I350="",D350&lt;&gt;"Active"),"",IF(YEAR(DATE(YEAR(AsOf)+IF(DATE(YEAR(AsOf),MONTH(I350),DAY(I350))&lt;AsOf,1,0),MONTH(I350),DAY(I350)))-YEAR(I350)&lt;1,"",DATE(YEAR(AsOf)+IF(DATE(YEAR(AsOf),MONTH(I350),DAY(I350))&lt;AsOf,1,0),MONTH(I350),DAY(I350))-AsOf))</f>
        <v/>
      </c>
      <c r="AU350" s="43" t="str">
        <f aca="false">IF(B350="","",IF(AV350="",0,LEN(AV350)-LEN(SUBSTITUTE(AV350,";",""))))</f>
        <v/>
      </c>
      <c r="AV350" s="9" t="str">
        <f aca="false">IF(B350="","",IF(COUNTIF($B$6:$B$505,B350)&gt;1,"Duplicate Emp Code; ","")&amp;IF(C350="","Name missing; ","")&amp;IF(I350="","DOJ missing; ","")&amp;IF(AND(J350&lt;&gt;"",I350&lt;&gt;"",J350&lt;I350),"Exit before DOJ; ","")&amp;IF(Q350="","DOB missing; ","")&amp;IF(T350="","Aadhaar missing; ",IF(LEN(T350)&lt;&gt;12,"Aadhaar not 12 digits; ",IF(COUNTIF($T$6:$T$505,T350)&gt;1,"Duplicate Aadhaar; ","")))&amp;IF(U350="","PAN missing; ",IF(LEN(U350)&lt;&gt;10,"PAN not 10 chars; ",""))&amp;IF(V350="","Mobile missing; ",IF(LEN(V350)&lt;&gt;10,"Mobile not 10 digits; ",""))&amp;IF(AG350="","Bank A/c missing; ","")&amp;IF(AH350="","IFSC missing; ",IF(LEN(AH350)&lt;&gt;11,"IFSC not 11 chars; ","")))</f>
        <v/>
      </c>
      <c r="AW350" s="46" t="str">
        <f aca="false">IF(AS350="","",AS350+ROW()/100000)</f>
        <v/>
      </c>
      <c r="AX350" s="46" t="str">
        <f aca="false">IF(AT350="","",AT350+ROW()/100000)</f>
        <v/>
      </c>
    </row>
    <row r="351" customFormat="false" ht="15" hidden="false" customHeight="false" outlineLevel="0" collapsed="false">
      <c r="A351" s="9" t="str">
        <f aca="false">IF(B351="","",ROW()-5)</f>
        <v/>
      </c>
      <c r="B351" s="40"/>
      <c r="C351" s="8"/>
      <c r="D351" s="9" t="str">
        <f aca="false">IF(B351="","",IF(J351="","Active","Exited"))</f>
        <v/>
      </c>
      <c r="E351" s="8"/>
      <c r="F351" s="8"/>
      <c r="G351" s="8"/>
      <c r="H351" s="9" t="str">
        <f aca="false">IF(OR(B351="",I351=""),"",IF(IF(J351="",AsOf,J351)-I351&gt;=Settings!$C$13,"Permanent","Probation"))</f>
        <v/>
      </c>
      <c r="I351" s="41"/>
      <c r="J351" s="41"/>
      <c r="K351" s="8"/>
      <c r="L351" s="42" t="str">
        <f aca="false">IF(OR(B351="",I351=""),"",ROUND((IF(J351="",AsOf,J351)-I351)/365.25,1))</f>
        <v/>
      </c>
      <c r="M351" s="8"/>
      <c r="N351" s="8"/>
      <c r="O351" s="8"/>
      <c r="P351" s="8"/>
      <c r="Q351" s="41"/>
      <c r="R351" s="43" t="str">
        <f aca="false">IF(OR(B351="",Q351=""),"",INT((AsOf-Q351)/365.25))</f>
        <v/>
      </c>
      <c r="S351" s="8"/>
      <c r="T351" s="40"/>
      <c r="U351" s="40"/>
      <c r="V351" s="40"/>
      <c r="W351" s="40"/>
      <c r="X351" s="8"/>
      <c r="Y351" s="8"/>
      <c r="Z351" s="8"/>
      <c r="AA351" s="8"/>
      <c r="AB351" s="8"/>
      <c r="AC351" s="8"/>
      <c r="AD351" s="8"/>
      <c r="AE351" s="40"/>
      <c r="AF351" s="8"/>
      <c r="AG351" s="40"/>
      <c r="AH351" s="40"/>
      <c r="AI351" s="8"/>
      <c r="AJ351" s="40"/>
      <c r="AK351" s="40"/>
      <c r="AL351" s="40"/>
      <c r="AM351" s="44"/>
      <c r="AN351" s="44"/>
      <c r="AO351" s="41"/>
      <c r="AP351" s="45" t="str">
        <f aca="false">IF(B351="","",IF(AND(ISNUMBER(AM351),ISNUMBER(AN351),AM351&gt;0,AN351&gt;0),AN351/AM351-1,""))</f>
        <v/>
      </c>
      <c r="AQ351" s="9" t="str">
        <f aca="false">IF(I351="","",(YEAR(I351)-IF(MONTH(I351)&lt;4,1,0))&amp;"-"&amp;RIGHT((YEAR(I351)-IF(MONTH(I351)&lt;4,1,0))+1,2))</f>
        <v/>
      </c>
      <c r="AR351" s="9" t="str">
        <f aca="false">IF(J351="","",(YEAR(J351)-IF(MONTH(J351)&lt;4,1,0))&amp;"-"&amp;RIGHT((YEAR(J351)-IF(MONTH(J351)&lt;4,1,0))+1,2))</f>
        <v/>
      </c>
      <c r="AS351" s="43" t="str">
        <f aca="false">IF(OR(B351="",Q351="",D351&lt;&gt;"Active"),"",DATE(YEAR(AsOf)+IF(DATE(YEAR(AsOf),MONTH(Q351),DAY(Q351))&lt;AsOf,1,0),MONTH(Q351),DAY(Q351))-AsOf)</f>
        <v/>
      </c>
      <c r="AT351" s="43" t="str">
        <f aca="false">IF(OR(B351="",I351="",D351&lt;&gt;"Active"),"",IF(YEAR(DATE(YEAR(AsOf)+IF(DATE(YEAR(AsOf),MONTH(I351),DAY(I351))&lt;AsOf,1,0),MONTH(I351),DAY(I351)))-YEAR(I351)&lt;1,"",DATE(YEAR(AsOf)+IF(DATE(YEAR(AsOf),MONTH(I351),DAY(I351))&lt;AsOf,1,0),MONTH(I351),DAY(I351))-AsOf))</f>
        <v/>
      </c>
      <c r="AU351" s="43" t="str">
        <f aca="false">IF(B351="","",IF(AV351="",0,LEN(AV351)-LEN(SUBSTITUTE(AV351,";",""))))</f>
        <v/>
      </c>
      <c r="AV351" s="9" t="str">
        <f aca="false">IF(B351="","",IF(COUNTIF($B$6:$B$505,B351)&gt;1,"Duplicate Emp Code; ","")&amp;IF(C351="","Name missing; ","")&amp;IF(I351="","DOJ missing; ","")&amp;IF(AND(J351&lt;&gt;"",I351&lt;&gt;"",J351&lt;I351),"Exit before DOJ; ","")&amp;IF(Q351="","DOB missing; ","")&amp;IF(T351="","Aadhaar missing; ",IF(LEN(T351)&lt;&gt;12,"Aadhaar not 12 digits; ",IF(COUNTIF($T$6:$T$505,T351)&gt;1,"Duplicate Aadhaar; ","")))&amp;IF(U351="","PAN missing; ",IF(LEN(U351)&lt;&gt;10,"PAN not 10 chars; ",""))&amp;IF(V351="","Mobile missing; ",IF(LEN(V351)&lt;&gt;10,"Mobile not 10 digits; ",""))&amp;IF(AG351="","Bank A/c missing; ","")&amp;IF(AH351="","IFSC missing; ",IF(LEN(AH351)&lt;&gt;11,"IFSC not 11 chars; ","")))</f>
        <v/>
      </c>
      <c r="AW351" s="46" t="str">
        <f aca="false">IF(AS351="","",AS351+ROW()/100000)</f>
        <v/>
      </c>
      <c r="AX351" s="46" t="str">
        <f aca="false">IF(AT351="","",AT351+ROW()/100000)</f>
        <v/>
      </c>
    </row>
    <row r="352" customFormat="false" ht="15" hidden="false" customHeight="false" outlineLevel="0" collapsed="false">
      <c r="A352" s="9" t="str">
        <f aca="false">IF(B352="","",ROW()-5)</f>
        <v/>
      </c>
      <c r="B352" s="40"/>
      <c r="C352" s="8"/>
      <c r="D352" s="9" t="str">
        <f aca="false">IF(B352="","",IF(J352="","Active","Exited"))</f>
        <v/>
      </c>
      <c r="E352" s="8"/>
      <c r="F352" s="8"/>
      <c r="G352" s="8"/>
      <c r="H352" s="9" t="str">
        <f aca="false">IF(OR(B352="",I352=""),"",IF(IF(J352="",AsOf,J352)-I352&gt;=Settings!$C$13,"Permanent","Probation"))</f>
        <v/>
      </c>
      <c r="I352" s="41"/>
      <c r="J352" s="41"/>
      <c r="K352" s="8"/>
      <c r="L352" s="42" t="str">
        <f aca="false">IF(OR(B352="",I352=""),"",ROUND((IF(J352="",AsOf,J352)-I352)/365.25,1))</f>
        <v/>
      </c>
      <c r="M352" s="8"/>
      <c r="N352" s="8"/>
      <c r="O352" s="8"/>
      <c r="P352" s="8"/>
      <c r="Q352" s="41"/>
      <c r="R352" s="43" t="str">
        <f aca="false">IF(OR(B352="",Q352=""),"",INT((AsOf-Q352)/365.25))</f>
        <v/>
      </c>
      <c r="S352" s="8"/>
      <c r="T352" s="40"/>
      <c r="U352" s="40"/>
      <c r="V352" s="40"/>
      <c r="W352" s="40"/>
      <c r="X352" s="8"/>
      <c r="Y352" s="8"/>
      <c r="Z352" s="8"/>
      <c r="AA352" s="8"/>
      <c r="AB352" s="8"/>
      <c r="AC352" s="8"/>
      <c r="AD352" s="8"/>
      <c r="AE352" s="40"/>
      <c r="AF352" s="8"/>
      <c r="AG352" s="40"/>
      <c r="AH352" s="40"/>
      <c r="AI352" s="8"/>
      <c r="AJ352" s="40"/>
      <c r="AK352" s="40"/>
      <c r="AL352" s="40"/>
      <c r="AM352" s="44"/>
      <c r="AN352" s="44"/>
      <c r="AO352" s="41"/>
      <c r="AP352" s="45" t="str">
        <f aca="false">IF(B352="","",IF(AND(ISNUMBER(AM352),ISNUMBER(AN352),AM352&gt;0,AN352&gt;0),AN352/AM352-1,""))</f>
        <v/>
      </c>
      <c r="AQ352" s="9" t="str">
        <f aca="false">IF(I352="","",(YEAR(I352)-IF(MONTH(I352)&lt;4,1,0))&amp;"-"&amp;RIGHT((YEAR(I352)-IF(MONTH(I352)&lt;4,1,0))+1,2))</f>
        <v/>
      </c>
      <c r="AR352" s="9" t="str">
        <f aca="false">IF(J352="","",(YEAR(J352)-IF(MONTH(J352)&lt;4,1,0))&amp;"-"&amp;RIGHT((YEAR(J352)-IF(MONTH(J352)&lt;4,1,0))+1,2))</f>
        <v/>
      </c>
      <c r="AS352" s="43" t="str">
        <f aca="false">IF(OR(B352="",Q352="",D352&lt;&gt;"Active"),"",DATE(YEAR(AsOf)+IF(DATE(YEAR(AsOf),MONTH(Q352),DAY(Q352))&lt;AsOf,1,0),MONTH(Q352),DAY(Q352))-AsOf)</f>
        <v/>
      </c>
      <c r="AT352" s="43" t="str">
        <f aca="false">IF(OR(B352="",I352="",D352&lt;&gt;"Active"),"",IF(YEAR(DATE(YEAR(AsOf)+IF(DATE(YEAR(AsOf),MONTH(I352),DAY(I352))&lt;AsOf,1,0),MONTH(I352),DAY(I352)))-YEAR(I352)&lt;1,"",DATE(YEAR(AsOf)+IF(DATE(YEAR(AsOf),MONTH(I352),DAY(I352))&lt;AsOf,1,0),MONTH(I352),DAY(I352))-AsOf))</f>
        <v/>
      </c>
      <c r="AU352" s="43" t="str">
        <f aca="false">IF(B352="","",IF(AV352="",0,LEN(AV352)-LEN(SUBSTITUTE(AV352,";",""))))</f>
        <v/>
      </c>
      <c r="AV352" s="9" t="str">
        <f aca="false">IF(B352="","",IF(COUNTIF($B$6:$B$505,B352)&gt;1,"Duplicate Emp Code; ","")&amp;IF(C352="","Name missing; ","")&amp;IF(I352="","DOJ missing; ","")&amp;IF(AND(J352&lt;&gt;"",I352&lt;&gt;"",J352&lt;I352),"Exit before DOJ; ","")&amp;IF(Q352="","DOB missing; ","")&amp;IF(T352="","Aadhaar missing; ",IF(LEN(T352)&lt;&gt;12,"Aadhaar not 12 digits; ",IF(COUNTIF($T$6:$T$505,T352)&gt;1,"Duplicate Aadhaar; ","")))&amp;IF(U352="","PAN missing; ",IF(LEN(U352)&lt;&gt;10,"PAN not 10 chars; ",""))&amp;IF(V352="","Mobile missing; ",IF(LEN(V352)&lt;&gt;10,"Mobile not 10 digits; ",""))&amp;IF(AG352="","Bank A/c missing; ","")&amp;IF(AH352="","IFSC missing; ",IF(LEN(AH352)&lt;&gt;11,"IFSC not 11 chars; ","")))</f>
        <v/>
      </c>
      <c r="AW352" s="46" t="str">
        <f aca="false">IF(AS352="","",AS352+ROW()/100000)</f>
        <v/>
      </c>
      <c r="AX352" s="46" t="str">
        <f aca="false">IF(AT352="","",AT352+ROW()/100000)</f>
        <v/>
      </c>
    </row>
    <row r="353" customFormat="false" ht="15" hidden="false" customHeight="false" outlineLevel="0" collapsed="false">
      <c r="A353" s="9" t="str">
        <f aca="false">IF(B353="","",ROW()-5)</f>
        <v/>
      </c>
      <c r="B353" s="40"/>
      <c r="C353" s="8"/>
      <c r="D353" s="9" t="str">
        <f aca="false">IF(B353="","",IF(J353="","Active","Exited"))</f>
        <v/>
      </c>
      <c r="E353" s="8"/>
      <c r="F353" s="8"/>
      <c r="G353" s="8"/>
      <c r="H353" s="9" t="str">
        <f aca="false">IF(OR(B353="",I353=""),"",IF(IF(J353="",AsOf,J353)-I353&gt;=Settings!$C$13,"Permanent","Probation"))</f>
        <v/>
      </c>
      <c r="I353" s="41"/>
      <c r="J353" s="41"/>
      <c r="K353" s="8"/>
      <c r="L353" s="42" t="str">
        <f aca="false">IF(OR(B353="",I353=""),"",ROUND((IF(J353="",AsOf,J353)-I353)/365.25,1))</f>
        <v/>
      </c>
      <c r="M353" s="8"/>
      <c r="N353" s="8"/>
      <c r="O353" s="8"/>
      <c r="P353" s="8"/>
      <c r="Q353" s="41"/>
      <c r="R353" s="43" t="str">
        <f aca="false">IF(OR(B353="",Q353=""),"",INT((AsOf-Q353)/365.25))</f>
        <v/>
      </c>
      <c r="S353" s="8"/>
      <c r="T353" s="40"/>
      <c r="U353" s="40"/>
      <c r="V353" s="40"/>
      <c r="W353" s="40"/>
      <c r="X353" s="8"/>
      <c r="Y353" s="8"/>
      <c r="Z353" s="8"/>
      <c r="AA353" s="8"/>
      <c r="AB353" s="8"/>
      <c r="AC353" s="8"/>
      <c r="AD353" s="8"/>
      <c r="AE353" s="40"/>
      <c r="AF353" s="8"/>
      <c r="AG353" s="40"/>
      <c r="AH353" s="40"/>
      <c r="AI353" s="8"/>
      <c r="AJ353" s="40"/>
      <c r="AK353" s="40"/>
      <c r="AL353" s="40"/>
      <c r="AM353" s="44"/>
      <c r="AN353" s="44"/>
      <c r="AO353" s="41"/>
      <c r="AP353" s="45" t="str">
        <f aca="false">IF(B353="","",IF(AND(ISNUMBER(AM353),ISNUMBER(AN353),AM353&gt;0,AN353&gt;0),AN353/AM353-1,""))</f>
        <v/>
      </c>
      <c r="AQ353" s="9" t="str">
        <f aca="false">IF(I353="","",(YEAR(I353)-IF(MONTH(I353)&lt;4,1,0))&amp;"-"&amp;RIGHT((YEAR(I353)-IF(MONTH(I353)&lt;4,1,0))+1,2))</f>
        <v/>
      </c>
      <c r="AR353" s="9" t="str">
        <f aca="false">IF(J353="","",(YEAR(J353)-IF(MONTH(J353)&lt;4,1,0))&amp;"-"&amp;RIGHT((YEAR(J353)-IF(MONTH(J353)&lt;4,1,0))+1,2))</f>
        <v/>
      </c>
      <c r="AS353" s="43" t="str">
        <f aca="false">IF(OR(B353="",Q353="",D353&lt;&gt;"Active"),"",DATE(YEAR(AsOf)+IF(DATE(YEAR(AsOf),MONTH(Q353),DAY(Q353))&lt;AsOf,1,0),MONTH(Q353),DAY(Q353))-AsOf)</f>
        <v/>
      </c>
      <c r="AT353" s="43" t="str">
        <f aca="false">IF(OR(B353="",I353="",D353&lt;&gt;"Active"),"",IF(YEAR(DATE(YEAR(AsOf)+IF(DATE(YEAR(AsOf),MONTH(I353),DAY(I353))&lt;AsOf,1,0),MONTH(I353),DAY(I353)))-YEAR(I353)&lt;1,"",DATE(YEAR(AsOf)+IF(DATE(YEAR(AsOf),MONTH(I353),DAY(I353))&lt;AsOf,1,0),MONTH(I353),DAY(I353))-AsOf))</f>
        <v/>
      </c>
      <c r="AU353" s="43" t="str">
        <f aca="false">IF(B353="","",IF(AV353="",0,LEN(AV353)-LEN(SUBSTITUTE(AV353,";",""))))</f>
        <v/>
      </c>
      <c r="AV353" s="9" t="str">
        <f aca="false">IF(B353="","",IF(COUNTIF($B$6:$B$505,B353)&gt;1,"Duplicate Emp Code; ","")&amp;IF(C353="","Name missing; ","")&amp;IF(I353="","DOJ missing; ","")&amp;IF(AND(J353&lt;&gt;"",I353&lt;&gt;"",J353&lt;I353),"Exit before DOJ; ","")&amp;IF(Q353="","DOB missing; ","")&amp;IF(T353="","Aadhaar missing; ",IF(LEN(T353)&lt;&gt;12,"Aadhaar not 12 digits; ",IF(COUNTIF($T$6:$T$505,T353)&gt;1,"Duplicate Aadhaar; ","")))&amp;IF(U353="","PAN missing; ",IF(LEN(U353)&lt;&gt;10,"PAN not 10 chars; ",""))&amp;IF(V353="","Mobile missing; ",IF(LEN(V353)&lt;&gt;10,"Mobile not 10 digits; ",""))&amp;IF(AG353="","Bank A/c missing; ","")&amp;IF(AH353="","IFSC missing; ",IF(LEN(AH353)&lt;&gt;11,"IFSC not 11 chars; ","")))</f>
        <v/>
      </c>
      <c r="AW353" s="46" t="str">
        <f aca="false">IF(AS353="","",AS353+ROW()/100000)</f>
        <v/>
      </c>
      <c r="AX353" s="46" t="str">
        <f aca="false">IF(AT353="","",AT353+ROW()/100000)</f>
        <v/>
      </c>
    </row>
    <row r="354" customFormat="false" ht="15" hidden="false" customHeight="false" outlineLevel="0" collapsed="false">
      <c r="A354" s="9" t="str">
        <f aca="false">IF(B354="","",ROW()-5)</f>
        <v/>
      </c>
      <c r="B354" s="40"/>
      <c r="C354" s="8"/>
      <c r="D354" s="9" t="str">
        <f aca="false">IF(B354="","",IF(J354="","Active","Exited"))</f>
        <v/>
      </c>
      <c r="E354" s="8"/>
      <c r="F354" s="8"/>
      <c r="G354" s="8"/>
      <c r="H354" s="9" t="str">
        <f aca="false">IF(OR(B354="",I354=""),"",IF(IF(J354="",AsOf,J354)-I354&gt;=Settings!$C$13,"Permanent","Probation"))</f>
        <v/>
      </c>
      <c r="I354" s="41"/>
      <c r="J354" s="41"/>
      <c r="K354" s="8"/>
      <c r="L354" s="42" t="str">
        <f aca="false">IF(OR(B354="",I354=""),"",ROUND((IF(J354="",AsOf,J354)-I354)/365.25,1))</f>
        <v/>
      </c>
      <c r="M354" s="8"/>
      <c r="N354" s="8"/>
      <c r="O354" s="8"/>
      <c r="P354" s="8"/>
      <c r="Q354" s="41"/>
      <c r="R354" s="43" t="str">
        <f aca="false">IF(OR(B354="",Q354=""),"",INT((AsOf-Q354)/365.25))</f>
        <v/>
      </c>
      <c r="S354" s="8"/>
      <c r="T354" s="40"/>
      <c r="U354" s="40"/>
      <c r="V354" s="40"/>
      <c r="W354" s="40"/>
      <c r="X354" s="8"/>
      <c r="Y354" s="8"/>
      <c r="Z354" s="8"/>
      <c r="AA354" s="8"/>
      <c r="AB354" s="8"/>
      <c r="AC354" s="8"/>
      <c r="AD354" s="8"/>
      <c r="AE354" s="40"/>
      <c r="AF354" s="8"/>
      <c r="AG354" s="40"/>
      <c r="AH354" s="40"/>
      <c r="AI354" s="8"/>
      <c r="AJ354" s="40"/>
      <c r="AK354" s="40"/>
      <c r="AL354" s="40"/>
      <c r="AM354" s="44"/>
      <c r="AN354" s="44"/>
      <c r="AO354" s="41"/>
      <c r="AP354" s="45" t="str">
        <f aca="false">IF(B354="","",IF(AND(ISNUMBER(AM354),ISNUMBER(AN354),AM354&gt;0,AN354&gt;0),AN354/AM354-1,""))</f>
        <v/>
      </c>
      <c r="AQ354" s="9" t="str">
        <f aca="false">IF(I354="","",(YEAR(I354)-IF(MONTH(I354)&lt;4,1,0))&amp;"-"&amp;RIGHT((YEAR(I354)-IF(MONTH(I354)&lt;4,1,0))+1,2))</f>
        <v/>
      </c>
      <c r="AR354" s="9" t="str">
        <f aca="false">IF(J354="","",(YEAR(J354)-IF(MONTH(J354)&lt;4,1,0))&amp;"-"&amp;RIGHT((YEAR(J354)-IF(MONTH(J354)&lt;4,1,0))+1,2))</f>
        <v/>
      </c>
      <c r="AS354" s="43" t="str">
        <f aca="false">IF(OR(B354="",Q354="",D354&lt;&gt;"Active"),"",DATE(YEAR(AsOf)+IF(DATE(YEAR(AsOf),MONTH(Q354),DAY(Q354))&lt;AsOf,1,0),MONTH(Q354),DAY(Q354))-AsOf)</f>
        <v/>
      </c>
      <c r="AT354" s="43" t="str">
        <f aca="false">IF(OR(B354="",I354="",D354&lt;&gt;"Active"),"",IF(YEAR(DATE(YEAR(AsOf)+IF(DATE(YEAR(AsOf),MONTH(I354),DAY(I354))&lt;AsOf,1,0),MONTH(I354),DAY(I354)))-YEAR(I354)&lt;1,"",DATE(YEAR(AsOf)+IF(DATE(YEAR(AsOf),MONTH(I354),DAY(I354))&lt;AsOf,1,0),MONTH(I354),DAY(I354))-AsOf))</f>
        <v/>
      </c>
      <c r="AU354" s="43" t="str">
        <f aca="false">IF(B354="","",IF(AV354="",0,LEN(AV354)-LEN(SUBSTITUTE(AV354,";",""))))</f>
        <v/>
      </c>
      <c r="AV354" s="9" t="str">
        <f aca="false">IF(B354="","",IF(COUNTIF($B$6:$B$505,B354)&gt;1,"Duplicate Emp Code; ","")&amp;IF(C354="","Name missing; ","")&amp;IF(I354="","DOJ missing; ","")&amp;IF(AND(J354&lt;&gt;"",I354&lt;&gt;"",J354&lt;I354),"Exit before DOJ; ","")&amp;IF(Q354="","DOB missing; ","")&amp;IF(T354="","Aadhaar missing; ",IF(LEN(T354)&lt;&gt;12,"Aadhaar not 12 digits; ",IF(COUNTIF($T$6:$T$505,T354)&gt;1,"Duplicate Aadhaar; ","")))&amp;IF(U354="","PAN missing; ",IF(LEN(U354)&lt;&gt;10,"PAN not 10 chars; ",""))&amp;IF(V354="","Mobile missing; ",IF(LEN(V354)&lt;&gt;10,"Mobile not 10 digits; ",""))&amp;IF(AG354="","Bank A/c missing; ","")&amp;IF(AH354="","IFSC missing; ",IF(LEN(AH354)&lt;&gt;11,"IFSC not 11 chars; ","")))</f>
        <v/>
      </c>
      <c r="AW354" s="46" t="str">
        <f aca="false">IF(AS354="","",AS354+ROW()/100000)</f>
        <v/>
      </c>
      <c r="AX354" s="46" t="str">
        <f aca="false">IF(AT354="","",AT354+ROW()/100000)</f>
        <v/>
      </c>
    </row>
    <row r="355" customFormat="false" ht="15" hidden="false" customHeight="false" outlineLevel="0" collapsed="false">
      <c r="A355" s="9" t="str">
        <f aca="false">IF(B355="","",ROW()-5)</f>
        <v/>
      </c>
      <c r="B355" s="40"/>
      <c r="C355" s="8"/>
      <c r="D355" s="9" t="str">
        <f aca="false">IF(B355="","",IF(J355="","Active","Exited"))</f>
        <v/>
      </c>
      <c r="E355" s="8"/>
      <c r="F355" s="8"/>
      <c r="G355" s="8"/>
      <c r="H355" s="9" t="str">
        <f aca="false">IF(OR(B355="",I355=""),"",IF(IF(J355="",AsOf,J355)-I355&gt;=Settings!$C$13,"Permanent","Probation"))</f>
        <v/>
      </c>
      <c r="I355" s="41"/>
      <c r="J355" s="41"/>
      <c r="K355" s="8"/>
      <c r="L355" s="42" t="str">
        <f aca="false">IF(OR(B355="",I355=""),"",ROUND((IF(J355="",AsOf,J355)-I355)/365.25,1))</f>
        <v/>
      </c>
      <c r="M355" s="8"/>
      <c r="N355" s="8"/>
      <c r="O355" s="8"/>
      <c r="P355" s="8"/>
      <c r="Q355" s="41"/>
      <c r="R355" s="43" t="str">
        <f aca="false">IF(OR(B355="",Q355=""),"",INT((AsOf-Q355)/365.25))</f>
        <v/>
      </c>
      <c r="S355" s="8"/>
      <c r="T355" s="40"/>
      <c r="U355" s="40"/>
      <c r="V355" s="40"/>
      <c r="W355" s="40"/>
      <c r="X355" s="8"/>
      <c r="Y355" s="8"/>
      <c r="Z355" s="8"/>
      <c r="AA355" s="8"/>
      <c r="AB355" s="8"/>
      <c r="AC355" s="8"/>
      <c r="AD355" s="8"/>
      <c r="AE355" s="40"/>
      <c r="AF355" s="8"/>
      <c r="AG355" s="40"/>
      <c r="AH355" s="40"/>
      <c r="AI355" s="8"/>
      <c r="AJ355" s="40"/>
      <c r="AK355" s="40"/>
      <c r="AL355" s="40"/>
      <c r="AM355" s="44"/>
      <c r="AN355" s="44"/>
      <c r="AO355" s="41"/>
      <c r="AP355" s="45" t="str">
        <f aca="false">IF(B355="","",IF(AND(ISNUMBER(AM355),ISNUMBER(AN355),AM355&gt;0,AN355&gt;0),AN355/AM355-1,""))</f>
        <v/>
      </c>
      <c r="AQ355" s="9" t="str">
        <f aca="false">IF(I355="","",(YEAR(I355)-IF(MONTH(I355)&lt;4,1,0))&amp;"-"&amp;RIGHT((YEAR(I355)-IF(MONTH(I355)&lt;4,1,0))+1,2))</f>
        <v/>
      </c>
      <c r="AR355" s="9" t="str">
        <f aca="false">IF(J355="","",(YEAR(J355)-IF(MONTH(J355)&lt;4,1,0))&amp;"-"&amp;RIGHT((YEAR(J355)-IF(MONTH(J355)&lt;4,1,0))+1,2))</f>
        <v/>
      </c>
      <c r="AS355" s="43" t="str">
        <f aca="false">IF(OR(B355="",Q355="",D355&lt;&gt;"Active"),"",DATE(YEAR(AsOf)+IF(DATE(YEAR(AsOf),MONTH(Q355),DAY(Q355))&lt;AsOf,1,0),MONTH(Q355),DAY(Q355))-AsOf)</f>
        <v/>
      </c>
      <c r="AT355" s="43" t="str">
        <f aca="false">IF(OR(B355="",I355="",D355&lt;&gt;"Active"),"",IF(YEAR(DATE(YEAR(AsOf)+IF(DATE(YEAR(AsOf),MONTH(I355),DAY(I355))&lt;AsOf,1,0),MONTH(I355),DAY(I355)))-YEAR(I355)&lt;1,"",DATE(YEAR(AsOf)+IF(DATE(YEAR(AsOf),MONTH(I355),DAY(I355))&lt;AsOf,1,0),MONTH(I355),DAY(I355))-AsOf))</f>
        <v/>
      </c>
      <c r="AU355" s="43" t="str">
        <f aca="false">IF(B355="","",IF(AV355="",0,LEN(AV355)-LEN(SUBSTITUTE(AV355,";",""))))</f>
        <v/>
      </c>
      <c r="AV355" s="9" t="str">
        <f aca="false">IF(B355="","",IF(COUNTIF($B$6:$B$505,B355)&gt;1,"Duplicate Emp Code; ","")&amp;IF(C355="","Name missing; ","")&amp;IF(I355="","DOJ missing; ","")&amp;IF(AND(J355&lt;&gt;"",I355&lt;&gt;"",J355&lt;I355),"Exit before DOJ; ","")&amp;IF(Q355="","DOB missing; ","")&amp;IF(T355="","Aadhaar missing; ",IF(LEN(T355)&lt;&gt;12,"Aadhaar not 12 digits; ",IF(COUNTIF($T$6:$T$505,T355)&gt;1,"Duplicate Aadhaar; ","")))&amp;IF(U355="","PAN missing; ",IF(LEN(U355)&lt;&gt;10,"PAN not 10 chars; ",""))&amp;IF(V355="","Mobile missing; ",IF(LEN(V355)&lt;&gt;10,"Mobile not 10 digits; ",""))&amp;IF(AG355="","Bank A/c missing; ","")&amp;IF(AH355="","IFSC missing; ",IF(LEN(AH355)&lt;&gt;11,"IFSC not 11 chars; ","")))</f>
        <v/>
      </c>
      <c r="AW355" s="46" t="str">
        <f aca="false">IF(AS355="","",AS355+ROW()/100000)</f>
        <v/>
      </c>
      <c r="AX355" s="46" t="str">
        <f aca="false">IF(AT355="","",AT355+ROW()/100000)</f>
        <v/>
      </c>
    </row>
    <row r="356" customFormat="false" ht="15" hidden="false" customHeight="false" outlineLevel="0" collapsed="false">
      <c r="A356" s="9" t="str">
        <f aca="false">IF(B356="","",ROW()-5)</f>
        <v/>
      </c>
      <c r="B356" s="40"/>
      <c r="C356" s="8"/>
      <c r="D356" s="9" t="str">
        <f aca="false">IF(B356="","",IF(J356="","Active","Exited"))</f>
        <v/>
      </c>
      <c r="E356" s="8"/>
      <c r="F356" s="8"/>
      <c r="G356" s="8"/>
      <c r="H356" s="9" t="str">
        <f aca="false">IF(OR(B356="",I356=""),"",IF(IF(J356="",AsOf,J356)-I356&gt;=Settings!$C$13,"Permanent","Probation"))</f>
        <v/>
      </c>
      <c r="I356" s="41"/>
      <c r="J356" s="41"/>
      <c r="K356" s="8"/>
      <c r="L356" s="42" t="str">
        <f aca="false">IF(OR(B356="",I356=""),"",ROUND((IF(J356="",AsOf,J356)-I356)/365.25,1))</f>
        <v/>
      </c>
      <c r="M356" s="8"/>
      <c r="N356" s="8"/>
      <c r="O356" s="8"/>
      <c r="P356" s="8"/>
      <c r="Q356" s="41"/>
      <c r="R356" s="43" t="str">
        <f aca="false">IF(OR(B356="",Q356=""),"",INT((AsOf-Q356)/365.25))</f>
        <v/>
      </c>
      <c r="S356" s="8"/>
      <c r="T356" s="40"/>
      <c r="U356" s="40"/>
      <c r="V356" s="40"/>
      <c r="W356" s="40"/>
      <c r="X356" s="8"/>
      <c r="Y356" s="8"/>
      <c r="Z356" s="8"/>
      <c r="AA356" s="8"/>
      <c r="AB356" s="8"/>
      <c r="AC356" s="8"/>
      <c r="AD356" s="8"/>
      <c r="AE356" s="40"/>
      <c r="AF356" s="8"/>
      <c r="AG356" s="40"/>
      <c r="AH356" s="40"/>
      <c r="AI356" s="8"/>
      <c r="AJ356" s="40"/>
      <c r="AK356" s="40"/>
      <c r="AL356" s="40"/>
      <c r="AM356" s="44"/>
      <c r="AN356" s="44"/>
      <c r="AO356" s="41"/>
      <c r="AP356" s="45" t="str">
        <f aca="false">IF(B356="","",IF(AND(ISNUMBER(AM356),ISNUMBER(AN356),AM356&gt;0,AN356&gt;0),AN356/AM356-1,""))</f>
        <v/>
      </c>
      <c r="AQ356" s="9" t="str">
        <f aca="false">IF(I356="","",(YEAR(I356)-IF(MONTH(I356)&lt;4,1,0))&amp;"-"&amp;RIGHT((YEAR(I356)-IF(MONTH(I356)&lt;4,1,0))+1,2))</f>
        <v/>
      </c>
      <c r="AR356" s="9" t="str">
        <f aca="false">IF(J356="","",(YEAR(J356)-IF(MONTH(J356)&lt;4,1,0))&amp;"-"&amp;RIGHT((YEAR(J356)-IF(MONTH(J356)&lt;4,1,0))+1,2))</f>
        <v/>
      </c>
      <c r="AS356" s="43" t="str">
        <f aca="false">IF(OR(B356="",Q356="",D356&lt;&gt;"Active"),"",DATE(YEAR(AsOf)+IF(DATE(YEAR(AsOf),MONTH(Q356),DAY(Q356))&lt;AsOf,1,0),MONTH(Q356),DAY(Q356))-AsOf)</f>
        <v/>
      </c>
      <c r="AT356" s="43" t="str">
        <f aca="false">IF(OR(B356="",I356="",D356&lt;&gt;"Active"),"",IF(YEAR(DATE(YEAR(AsOf)+IF(DATE(YEAR(AsOf),MONTH(I356),DAY(I356))&lt;AsOf,1,0),MONTH(I356),DAY(I356)))-YEAR(I356)&lt;1,"",DATE(YEAR(AsOf)+IF(DATE(YEAR(AsOf),MONTH(I356),DAY(I356))&lt;AsOf,1,0),MONTH(I356),DAY(I356))-AsOf))</f>
        <v/>
      </c>
      <c r="AU356" s="43" t="str">
        <f aca="false">IF(B356="","",IF(AV356="",0,LEN(AV356)-LEN(SUBSTITUTE(AV356,";",""))))</f>
        <v/>
      </c>
      <c r="AV356" s="9" t="str">
        <f aca="false">IF(B356="","",IF(COUNTIF($B$6:$B$505,B356)&gt;1,"Duplicate Emp Code; ","")&amp;IF(C356="","Name missing; ","")&amp;IF(I356="","DOJ missing; ","")&amp;IF(AND(J356&lt;&gt;"",I356&lt;&gt;"",J356&lt;I356),"Exit before DOJ; ","")&amp;IF(Q356="","DOB missing; ","")&amp;IF(T356="","Aadhaar missing; ",IF(LEN(T356)&lt;&gt;12,"Aadhaar not 12 digits; ",IF(COUNTIF($T$6:$T$505,T356)&gt;1,"Duplicate Aadhaar; ","")))&amp;IF(U356="","PAN missing; ",IF(LEN(U356)&lt;&gt;10,"PAN not 10 chars; ",""))&amp;IF(V356="","Mobile missing; ",IF(LEN(V356)&lt;&gt;10,"Mobile not 10 digits; ",""))&amp;IF(AG356="","Bank A/c missing; ","")&amp;IF(AH356="","IFSC missing; ",IF(LEN(AH356)&lt;&gt;11,"IFSC not 11 chars; ","")))</f>
        <v/>
      </c>
      <c r="AW356" s="46" t="str">
        <f aca="false">IF(AS356="","",AS356+ROW()/100000)</f>
        <v/>
      </c>
      <c r="AX356" s="46" t="str">
        <f aca="false">IF(AT356="","",AT356+ROW()/100000)</f>
        <v/>
      </c>
    </row>
    <row r="357" customFormat="false" ht="15" hidden="false" customHeight="false" outlineLevel="0" collapsed="false">
      <c r="A357" s="9" t="str">
        <f aca="false">IF(B357="","",ROW()-5)</f>
        <v/>
      </c>
      <c r="B357" s="40"/>
      <c r="C357" s="8"/>
      <c r="D357" s="9" t="str">
        <f aca="false">IF(B357="","",IF(J357="","Active","Exited"))</f>
        <v/>
      </c>
      <c r="E357" s="8"/>
      <c r="F357" s="8"/>
      <c r="G357" s="8"/>
      <c r="H357" s="9" t="str">
        <f aca="false">IF(OR(B357="",I357=""),"",IF(IF(J357="",AsOf,J357)-I357&gt;=Settings!$C$13,"Permanent","Probation"))</f>
        <v/>
      </c>
      <c r="I357" s="41"/>
      <c r="J357" s="41"/>
      <c r="K357" s="8"/>
      <c r="L357" s="42" t="str">
        <f aca="false">IF(OR(B357="",I357=""),"",ROUND((IF(J357="",AsOf,J357)-I357)/365.25,1))</f>
        <v/>
      </c>
      <c r="M357" s="8"/>
      <c r="N357" s="8"/>
      <c r="O357" s="8"/>
      <c r="P357" s="8"/>
      <c r="Q357" s="41"/>
      <c r="R357" s="43" t="str">
        <f aca="false">IF(OR(B357="",Q357=""),"",INT((AsOf-Q357)/365.25))</f>
        <v/>
      </c>
      <c r="S357" s="8"/>
      <c r="T357" s="40"/>
      <c r="U357" s="40"/>
      <c r="V357" s="40"/>
      <c r="W357" s="40"/>
      <c r="X357" s="8"/>
      <c r="Y357" s="8"/>
      <c r="Z357" s="8"/>
      <c r="AA357" s="8"/>
      <c r="AB357" s="8"/>
      <c r="AC357" s="8"/>
      <c r="AD357" s="8"/>
      <c r="AE357" s="40"/>
      <c r="AF357" s="8"/>
      <c r="AG357" s="40"/>
      <c r="AH357" s="40"/>
      <c r="AI357" s="8"/>
      <c r="AJ357" s="40"/>
      <c r="AK357" s="40"/>
      <c r="AL357" s="40"/>
      <c r="AM357" s="44"/>
      <c r="AN357" s="44"/>
      <c r="AO357" s="41"/>
      <c r="AP357" s="45" t="str">
        <f aca="false">IF(B357="","",IF(AND(ISNUMBER(AM357),ISNUMBER(AN357),AM357&gt;0,AN357&gt;0),AN357/AM357-1,""))</f>
        <v/>
      </c>
      <c r="AQ357" s="9" t="str">
        <f aca="false">IF(I357="","",(YEAR(I357)-IF(MONTH(I357)&lt;4,1,0))&amp;"-"&amp;RIGHT((YEAR(I357)-IF(MONTH(I357)&lt;4,1,0))+1,2))</f>
        <v/>
      </c>
      <c r="AR357" s="9" t="str">
        <f aca="false">IF(J357="","",(YEAR(J357)-IF(MONTH(J357)&lt;4,1,0))&amp;"-"&amp;RIGHT((YEAR(J357)-IF(MONTH(J357)&lt;4,1,0))+1,2))</f>
        <v/>
      </c>
      <c r="AS357" s="43" t="str">
        <f aca="false">IF(OR(B357="",Q357="",D357&lt;&gt;"Active"),"",DATE(YEAR(AsOf)+IF(DATE(YEAR(AsOf),MONTH(Q357),DAY(Q357))&lt;AsOf,1,0),MONTH(Q357),DAY(Q357))-AsOf)</f>
        <v/>
      </c>
      <c r="AT357" s="43" t="str">
        <f aca="false">IF(OR(B357="",I357="",D357&lt;&gt;"Active"),"",IF(YEAR(DATE(YEAR(AsOf)+IF(DATE(YEAR(AsOf),MONTH(I357),DAY(I357))&lt;AsOf,1,0),MONTH(I357),DAY(I357)))-YEAR(I357)&lt;1,"",DATE(YEAR(AsOf)+IF(DATE(YEAR(AsOf),MONTH(I357),DAY(I357))&lt;AsOf,1,0),MONTH(I357),DAY(I357))-AsOf))</f>
        <v/>
      </c>
      <c r="AU357" s="43" t="str">
        <f aca="false">IF(B357="","",IF(AV357="",0,LEN(AV357)-LEN(SUBSTITUTE(AV357,";",""))))</f>
        <v/>
      </c>
      <c r="AV357" s="9" t="str">
        <f aca="false">IF(B357="","",IF(COUNTIF($B$6:$B$505,B357)&gt;1,"Duplicate Emp Code; ","")&amp;IF(C357="","Name missing; ","")&amp;IF(I357="","DOJ missing; ","")&amp;IF(AND(J357&lt;&gt;"",I357&lt;&gt;"",J357&lt;I357),"Exit before DOJ; ","")&amp;IF(Q357="","DOB missing; ","")&amp;IF(T357="","Aadhaar missing; ",IF(LEN(T357)&lt;&gt;12,"Aadhaar not 12 digits; ",IF(COUNTIF($T$6:$T$505,T357)&gt;1,"Duplicate Aadhaar; ","")))&amp;IF(U357="","PAN missing; ",IF(LEN(U357)&lt;&gt;10,"PAN not 10 chars; ",""))&amp;IF(V357="","Mobile missing; ",IF(LEN(V357)&lt;&gt;10,"Mobile not 10 digits; ",""))&amp;IF(AG357="","Bank A/c missing; ","")&amp;IF(AH357="","IFSC missing; ",IF(LEN(AH357)&lt;&gt;11,"IFSC not 11 chars; ","")))</f>
        <v/>
      </c>
      <c r="AW357" s="46" t="str">
        <f aca="false">IF(AS357="","",AS357+ROW()/100000)</f>
        <v/>
      </c>
      <c r="AX357" s="46" t="str">
        <f aca="false">IF(AT357="","",AT357+ROW()/100000)</f>
        <v/>
      </c>
    </row>
    <row r="358" customFormat="false" ht="15" hidden="false" customHeight="false" outlineLevel="0" collapsed="false">
      <c r="A358" s="9" t="str">
        <f aca="false">IF(B358="","",ROW()-5)</f>
        <v/>
      </c>
      <c r="B358" s="40"/>
      <c r="C358" s="8"/>
      <c r="D358" s="9" t="str">
        <f aca="false">IF(B358="","",IF(J358="","Active","Exited"))</f>
        <v/>
      </c>
      <c r="E358" s="8"/>
      <c r="F358" s="8"/>
      <c r="G358" s="8"/>
      <c r="H358" s="9" t="str">
        <f aca="false">IF(OR(B358="",I358=""),"",IF(IF(J358="",AsOf,J358)-I358&gt;=Settings!$C$13,"Permanent","Probation"))</f>
        <v/>
      </c>
      <c r="I358" s="41"/>
      <c r="J358" s="41"/>
      <c r="K358" s="8"/>
      <c r="L358" s="42" t="str">
        <f aca="false">IF(OR(B358="",I358=""),"",ROUND((IF(J358="",AsOf,J358)-I358)/365.25,1))</f>
        <v/>
      </c>
      <c r="M358" s="8"/>
      <c r="N358" s="8"/>
      <c r="O358" s="8"/>
      <c r="P358" s="8"/>
      <c r="Q358" s="41"/>
      <c r="R358" s="43" t="str">
        <f aca="false">IF(OR(B358="",Q358=""),"",INT((AsOf-Q358)/365.25))</f>
        <v/>
      </c>
      <c r="S358" s="8"/>
      <c r="T358" s="40"/>
      <c r="U358" s="40"/>
      <c r="V358" s="40"/>
      <c r="W358" s="40"/>
      <c r="X358" s="8"/>
      <c r="Y358" s="8"/>
      <c r="Z358" s="8"/>
      <c r="AA358" s="8"/>
      <c r="AB358" s="8"/>
      <c r="AC358" s="8"/>
      <c r="AD358" s="8"/>
      <c r="AE358" s="40"/>
      <c r="AF358" s="8"/>
      <c r="AG358" s="40"/>
      <c r="AH358" s="40"/>
      <c r="AI358" s="8"/>
      <c r="AJ358" s="40"/>
      <c r="AK358" s="40"/>
      <c r="AL358" s="40"/>
      <c r="AM358" s="44"/>
      <c r="AN358" s="44"/>
      <c r="AO358" s="41"/>
      <c r="AP358" s="45" t="str">
        <f aca="false">IF(B358="","",IF(AND(ISNUMBER(AM358),ISNUMBER(AN358),AM358&gt;0,AN358&gt;0),AN358/AM358-1,""))</f>
        <v/>
      </c>
      <c r="AQ358" s="9" t="str">
        <f aca="false">IF(I358="","",(YEAR(I358)-IF(MONTH(I358)&lt;4,1,0))&amp;"-"&amp;RIGHT((YEAR(I358)-IF(MONTH(I358)&lt;4,1,0))+1,2))</f>
        <v/>
      </c>
      <c r="AR358" s="9" t="str">
        <f aca="false">IF(J358="","",(YEAR(J358)-IF(MONTH(J358)&lt;4,1,0))&amp;"-"&amp;RIGHT((YEAR(J358)-IF(MONTH(J358)&lt;4,1,0))+1,2))</f>
        <v/>
      </c>
      <c r="AS358" s="43" t="str">
        <f aca="false">IF(OR(B358="",Q358="",D358&lt;&gt;"Active"),"",DATE(YEAR(AsOf)+IF(DATE(YEAR(AsOf),MONTH(Q358),DAY(Q358))&lt;AsOf,1,0),MONTH(Q358),DAY(Q358))-AsOf)</f>
        <v/>
      </c>
      <c r="AT358" s="43" t="str">
        <f aca="false">IF(OR(B358="",I358="",D358&lt;&gt;"Active"),"",IF(YEAR(DATE(YEAR(AsOf)+IF(DATE(YEAR(AsOf),MONTH(I358),DAY(I358))&lt;AsOf,1,0),MONTH(I358),DAY(I358)))-YEAR(I358)&lt;1,"",DATE(YEAR(AsOf)+IF(DATE(YEAR(AsOf),MONTH(I358),DAY(I358))&lt;AsOf,1,0),MONTH(I358),DAY(I358))-AsOf))</f>
        <v/>
      </c>
      <c r="AU358" s="43" t="str">
        <f aca="false">IF(B358="","",IF(AV358="",0,LEN(AV358)-LEN(SUBSTITUTE(AV358,";",""))))</f>
        <v/>
      </c>
      <c r="AV358" s="9" t="str">
        <f aca="false">IF(B358="","",IF(COUNTIF($B$6:$B$505,B358)&gt;1,"Duplicate Emp Code; ","")&amp;IF(C358="","Name missing; ","")&amp;IF(I358="","DOJ missing; ","")&amp;IF(AND(J358&lt;&gt;"",I358&lt;&gt;"",J358&lt;I358),"Exit before DOJ; ","")&amp;IF(Q358="","DOB missing; ","")&amp;IF(T358="","Aadhaar missing; ",IF(LEN(T358)&lt;&gt;12,"Aadhaar not 12 digits; ",IF(COUNTIF($T$6:$T$505,T358)&gt;1,"Duplicate Aadhaar; ","")))&amp;IF(U358="","PAN missing; ",IF(LEN(U358)&lt;&gt;10,"PAN not 10 chars; ",""))&amp;IF(V358="","Mobile missing; ",IF(LEN(V358)&lt;&gt;10,"Mobile not 10 digits; ",""))&amp;IF(AG358="","Bank A/c missing; ","")&amp;IF(AH358="","IFSC missing; ",IF(LEN(AH358)&lt;&gt;11,"IFSC not 11 chars; ","")))</f>
        <v/>
      </c>
      <c r="AW358" s="46" t="str">
        <f aca="false">IF(AS358="","",AS358+ROW()/100000)</f>
        <v/>
      </c>
      <c r="AX358" s="46" t="str">
        <f aca="false">IF(AT358="","",AT358+ROW()/100000)</f>
        <v/>
      </c>
    </row>
    <row r="359" customFormat="false" ht="15" hidden="false" customHeight="false" outlineLevel="0" collapsed="false">
      <c r="A359" s="9" t="str">
        <f aca="false">IF(B359="","",ROW()-5)</f>
        <v/>
      </c>
      <c r="B359" s="40"/>
      <c r="C359" s="8"/>
      <c r="D359" s="9" t="str">
        <f aca="false">IF(B359="","",IF(J359="","Active","Exited"))</f>
        <v/>
      </c>
      <c r="E359" s="8"/>
      <c r="F359" s="8"/>
      <c r="G359" s="8"/>
      <c r="H359" s="9" t="str">
        <f aca="false">IF(OR(B359="",I359=""),"",IF(IF(J359="",AsOf,J359)-I359&gt;=Settings!$C$13,"Permanent","Probation"))</f>
        <v/>
      </c>
      <c r="I359" s="41"/>
      <c r="J359" s="41"/>
      <c r="K359" s="8"/>
      <c r="L359" s="42" t="str">
        <f aca="false">IF(OR(B359="",I359=""),"",ROUND((IF(J359="",AsOf,J359)-I359)/365.25,1))</f>
        <v/>
      </c>
      <c r="M359" s="8"/>
      <c r="N359" s="8"/>
      <c r="O359" s="8"/>
      <c r="P359" s="8"/>
      <c r="Q359" s="41"/>
      <c r="R359" s="43" t="str">
        <f aca="false">IF(OR(B359="",Q359=""),"",INT((AsOf-Q359)/365.25))</f>
        <v/>
      </c>
      <c r="S359" s="8"/>
      <c r="T359" s="40"/>
      <c r="U359" s="40"/>
      <c r="V359" s="40"/>
      <c r="W359" s="40"/>
      <c r="X359" s="8"/>
      <c r="Y359" s="8"/>
      <c r="Z359" s="8"/>
      <c r="AA359" s="8"/>
      <c r="AB359" s="8"/>
      <c r="AC359" s="8"/>
      <c r="AD359" s="8"/>
      <c r="AE359" s="40"/>
      <c r="AF359" s="8"/>
      <c r="AG359" s="40"/>
      <c r="AH359" s="40"/>
      <c r="AI359" s="8"/>
      <c r="AJ359" s="40"/>
      <c r="AK359" s="40"/>
      <c r="AL359" s="40"/>
      <c r="AM359" s="44"/>
      <c r="AN359" s="44"/>
      <c r="AO359" s="41"/>
      <c r="AP359" s="45" t="str">
        <f aca="false">IF(B359="","",IF(AND(ISNUMBER(AM359),ISNUMBER(AN359),AM359&gt;0,AN359&gt;0),AN359/AM359-1,""))</f>
        <v/>
      </c>
      <c r="AQ359" s="9" t="str">
        <f aca="false">IF(I359="","",(YEAR(I359)-IF(MONTH(I359)&lt;4,1,0))&amp;"-"&amp;RIGHT((YEAR(I359)-IF(MONTH(I359)&lt;4,1,0))+1,2))</f>
        <v/>
      </c>
      <c r="AR359" s="9" t="str">
        <f aca="false">IF(J359="","",(YEAR(J359)-IF(MONTH(J359)&lt;4,1,0))&amp;"-"&amp;RIGHT((YEAR(J359)-IF(MONTH(J359)&lt;4,1,0))+1,2))</f>
        <v/>
      </c>
      <c r="AS359" s="43" t="str">
        <f aca="false">IF(OR(B359="",Q359="",D359&lt;&gt;"Active"),"",DATE(YEAR(AsOf)+IF(DATE(YEAR(AsOf),MONTH(Q359),DAY(Q359))&lt;AsOf,1,0),MONTH(Q359),DAY(Q359))-AsOf)</f>
        <v/>
      </c>
      <c r="AT359" s="43" t="str">
        <f aca="false">IF(OR(B359="",I359="",D359&lt;&gt;"Active"),"",IF(YEAR(DATE(YEAR(AsOf)+IF(DATE(YEAR(AsOf),MONTH(I359),DAY(I359))&lt;AsOf,1,0),MONTH(I359),DAY(I359)))-YEAR(I359)&lt;1,"",DATE(YEAR(AsOf)+IF(DATE(YEAR(AsOf),MONTH(I359),DAY(I359))&lt;AsOf,1,0),MONTH(I359),DAY(I359))-AsOf))</f>
        <v/>
      </c>
      <c r="AU359" s="43" t="str">
        <f aca="false">IF(B359="","",IF(AV359="",0,LEN(AV359)-LEN(SUBSTITUTE(AV359,";",""))))</f>
        <v/>
      </c>
      <c r="AV359" s="9" t="str">
        <f aca="false">IF(B359="","",IF(COUNTIF($B$6:$B$505,B359)&gt;1,"Duplicate Emp Code; ","")&amp;IF(C359="","Name missing; ","")&amp;IF(I359="","DOJ missing; ","")&amp;IF(AND(J359&lt;&gt;"",I359&lt;&gt;"",J359&lt;I359),"Exit before DOJ; ","")&amp;IF(Q359="","DOB missing; ","")&amp;IF(T359="","Aadhaar missing; ",IF(LEN(T359)&lt;&gt;12,"Aadhaar not 12 digits; ",IF(COUNTIF($T$6:$T$505,T359)&gt;1,"Duplicate Aadhaar; ","")))&amp;IF(U359="","PAN missing; ",IF(LEN(U359)&lt;&gt;10,"PAN not 10 chars; ",""))&amp;IF(V359="","Mobile missing; ",IF(LEN(V359)&lt;&gt;10,"Mobile not 10 digits; ",""))&amp;IF(AG359="","Bank A/c missing; ","")&amp;IF(AH359="","IFSC missing; ",IF(LEN(AH359)&lt;&gt;11,"IFSC not 11 chars; ","")))</f>
        <v/>
      </c>
      <c r="AW359" s="46" t="str">
        <f aca="false">IF(AS359="","",AS359+ROW()/100000)</f>
        <v/>
      </c>
      <c r="AX359" s="46" t="str">
        <f aca="false">IF(AT359="","",AT359+ROW()/100000)</f>
        <v/>
      </c>
    </row>
    <row r="360" customFormat="false" ht="15" hidden="false" customHeight="false" outlineLevel="0" collapsed="false">
      <c r="A360" s="9" t="str">
        <f aca="false">IF(B360="","",ROW()-5)</f>
        <v/>
      </c>
      <c r="B360" s="40"/>
      <c r="C360" s="8"/>
      <c r="D360" s="9" t="str">
        <f aca="false">IF(B360="","",IF(J360="","Active","Exited"))</f>
        <v/>
      </c>
      <c r="E360" s="8"/>
      <c r="F360" s="8"/>
      <c r="G360" s="8"/>
      <c r="H360" s="9" t="str">
        <f aca="false">IF(OR(B360="",I360=""),"",IF(IF(J360="",AsOf,J360)-I360&gt;=Settings!$C$13,"Permanent","Probation"))</f>
        <v/>
      </c>
      <c r="I360" s="41"/>
      <c r="J360" s="41"/>
      <c r="K360" s="8"/>
      <c r="L360" s="42" t="str">
        <f aca="false">IF(OR(B360="",I360=""),"",ROUND((IF(J360="",AsOf,J360)-I360)/365.25,1))</f>
        <v/>
      </c>
      <c r="M360" s="8"/>
      <c r="N360" s="8"/>
      <c r="O360" s="8"/>
      <c r="P360" s="8"/>
      <c r="Q360" s="41"/>
      <c r="R360" s="43" t="str">
        <f aca="false">IF(OR(B360="",Q360=""),"",INT((AsOf-Q360)/365.25))</f>
        <v/>
      </c>
      <c r="S360" s="8"/>
      <c r="T360" s="40"/>
      <c r="U360" s="40"/>
      <c r="V360" s="40"/>
      <c r="W360" s="40"/>
      <c r="X360" s="8"/>
      <c r="Y360" s="8"/>
      <c r="Z360" s="8"/>
      <c r="AA360" s="8"/>
      <c r="AB360" s="8"/>
      <c r="AC360" s="8"/>
      <c r="AD360" s="8"/>
      <c r="AE360" s="40"/>
      <c r="AF360" s="8"/>
      <c r="AG360" s="40"/>
      <c r="AH360" s="40"/>
      <c r="AI360" s="8"/>
      <c r="AJ360" s="40"/>
      <c r="AK360" s="40"/>
      <c r="AL360" s="40"/>
      <c r="AM360" s="44"/>
      <c r="AN360" s="44"/>
      <c r="AO360" s="41"/>
      <c r="AP360" s="45" t="str">
        <f aca="false">IF(B360="","",IF(AND(ISNUMBER(AM360),ISNUMBER(AN360),AM360&gt;0,AN360&gt;0),AN360/AM360-1,""))</f>
        <v/>
      </c>
      <c r="AQ360" s="9" t="str">
        <f aca="false">IF(I360="","",(YEAR(I360)-IF(MONTH(I360)&lt;4,1,0))&amp;"-"&amp;RIGHT((YEAR(I360)-IF(MONTH(I360)&lt;4,1,0))+1,2))</f>
        <v/>
      </c>
      <c r="AR360" s="9" t="str">
        <f aca="false">IF(J360="","",(YEAR(J360)-IF(MONTH(J360)&lt;4,1,0))&amp;"-"&amp;RIGHT((YEAR(J360)-IF(MONTH(J360)&lt;4,1,0))+1,2))</f>
        <v/>
      </c>
      <c r="AS360" s="43" t="str">
        <f aca="false">IF(OR(B360="",Q360="",D360&lt;&gt;"Active"),"",DATE(YEAR(AsOf)+IF(DATE(YEAR(AsOf),MONTH(Q360),DAY(Q360))&lt;AsOf,1,0),MONTH(Q360),DAY(Q360))-AsOf)</f>
        <v/>
      </c>
      <c r="AT360" s="43" t="str">
        <f aca="false">IF(OR(B360="",I360="",D360&lt;&gt;"Active"),"",IF(YEAR(DATE(YEAR(AsOf)+IF(DATE(YEAR(AsOf),MONTH(I360),DAY(I360))&lt;AsOf,1,0),MONTH(I360),DAY(I360)))-YEAR(I360)&lt;1,"",DATE(YEAR(AsOf)+IF(DATE(YEAR(AsOf),MONTH(I360),DAY(I360))&lt;AsOf,1,0),MONTH(I360),DAY(I360))-AsOf))</f>
        <v/>
      </c>
      <c r="AU360" s="43" t="str">
        <f aca="false">IF(B360="","",IF(AV360="",0,LEN(AV360)-LEN(SUBSTITUTE(AV360,";",""))))</f>
        <v/>
      </c>
      <c r="AV360" s="9" t="str">
        <f aca="false">IF(B360="","",IF(COUNTIF($B$6:$B$505,B360)&gt;1,"Duplicate Emp Code; ","")&amp;IF(C360="","Name missing; ","")&amp;IF(I360="","DOJ missing; ","")&amp;IF(AND(J360&lt;&gt;"",I360&lt;&gt;"",J360&lt;I360),"Exit before DOJ; ","")&amp;IF(Q360="","DOB missing; ","")&amp;IF(T360="","Aadhaar missing; ",IF(LEN(T360)&lt;&gt;12,"Aadhaar not 12 digits; ",IF(COUNTIF($T$6:$T$505,T360)&gt;1,"Duplicate Aadhaar; ","")))&amp;IF(U360="","PAN missing; ",IF(LEN(U360)&lt;&gt;10,"PAN not 10 chars; ",""))&amp;IF(V360="","Mobile missing; ",IF(LEN(V360)&lt;&gt;10,"Mobile not 10 digits; ",""))&amp;IF(AG360="","Bank A/c missing; ","")&amp;IF(AH360="","IFSC missing; ",IF(LEN(AH360)&lt;&gt;11,"IFSC not 11 chars; ","")))</f>
        <v/>
      </c>
      <c r="AW360" s="46" t="str">
        <f aca="false">IF(AS360="","",AS360+ROW()/100000)</f>
        <v/>
      </c>
      <c r="AX360" s="46" t="str">
        <f aca="false">IF(AT360="","",AT360+ROW()/100000)</f>
        <v/>
      </c>
    </row>
    <row r="361" customFormat="false" ht="15" hidden="false" customHeight="false" outlineLevel="0" collapsed="false">
      <c r="A361" s="9" t="str">
        <f aca="false">IF(B361="","",ROW()-5)</f>
        <v/>
      </c>
      <c r="B361" s="40"/>
      <c r="C361" s="8"/>
      <c r="D361" s="9" t="str">
        <f aca="false">IF(B361="","",IF(J361="","Active","Exited"))</f>
        <v/>
      </c>
      <c r="E361" s="8"/>
      <c r="F361" s="8"/>
      <c r="G361" s="8"/>
      <c r="H361" s="9" t="str">
        <f aca="false">IF(OR(B361="",I361=""),"",IF(IF(J361="",AsOf,J361)-I361&gt;=Settings!$C$13,"Permanent","Probation"))</f>
        <v/>
      </c>
      <c r="I361" s="41"/>
      <c r="J361" s="41"/>
      <c r="K361" s="8"/>
      <c r="L361" s="42" t="str">
        <f aca="false">IF(OR(B361="",I361=""),"",ROUND((IF(J361="",AsOf,J361)-I361)/365.25,1))</f>
        <v/>
      </c>
      <c r="M361" s="8"/>
      <c r="N361" s="8"/>
      <c r="O361" s="8"/>
      <c r="P361" s="8"/>
      <c r="Q361" s="41"/>
      <c r="R361" s="43" t="str">
        <f aca="false">IF(OR(B361="",Q361=""),"",INT((AsOf-Q361)/365.25))</f>
        <v/>
      </c>
      <c r="S361" s="8"/>
      <c r="T361" s="40"/>
      <c r="U361" s="40"/>
      <c r="V361" s="40"/>
      <c r="W361" s="40"/>
      <c r="X361" s="8"/>
      <c r="Y361" s="8"/>
      <c r="Z361" s="8"/>
      <c r="AA361" s="8"/>
      <c r="AB361" s="8"/>
      <c r="AC361" s="8"/>
      <c r="AD361" s="8"/>
      <c r="AE361" s="40"/>
      <c r="AF361" s="8"/>
      <c r="AG361" s="40"/>
      <c r="AH361" s="40"/>
      <c r="AI361" s="8"/>
      <c r="AJ361" s="40"/>
      <c r="AK361" s="40"/>
      <c r="AL361" s="40"/>
      <c r="AM361" s="44"/>
      <c r="AN361" s="44"/>
      <c r="AO361" s="41"/>
      <c r="AP361" s="45" t="str">
        <f aca="false">IF(B361="","",IF(AND(ISNUMBER(AM361),ISNUMBER(AN361),AM361&gt;0,AN361&gt;0),AN361/AM361-1,""))</f>
        <v/>
      </c>
      <c r="AQ361" s="9" t="str">
        <f aca="false">IF(I361="","",(YEAR(I361)-IF(MONTH(I361)&lt;4,1,0))&amp;"-"&amp;RIGHT((YEAR(I361)-IF(MONTH(I361)&lt;4,1,0))+1,2))</f>
        <v/>
      </c>
      <c r="AR361" s="9" t="str">
        <f aca="false">IF(J361="","",(YEAR(J361)-IF(MONTH(J361)&lt;4,1,0))&amp;"-"&amp;RIGHT((YEAR(J361)-IF(MONTH(J361)&lt;4,1,0))+1,2))</f>
        <v/>
      </c>
      <c r="AS361" s="43" t="str">
        <f aca="false">IF(OR(B361="",Q361="",D361&lt;&gt;"Active"),"",DATE(YEAR(AsOf)+IF(DATE(YEAR(AsOf),MONTH(Q361),DAY(Q361))&lt;AsOf,1,0),MONTH(Q361),DAY(Q361))-AsOf)</f>
        <v/>
      </c>
      <c r="AT361" s="43" t="str">
        <f aca="false">IF(OR(B361="",I361="",D361&lt;&gt;"Active"),"",IF(YEAR(DATE(YEAR(AsOf)+IF(DATE(YEAR(AsOf),MONTH(I361),DAY(I361))&lt;AsOf,1,0),MONTH(I361),DAY(I361)))-YEAR(I361)&lt;1,"",DATE(YEAR(AsOf)+IF(DATE(YEAR(AsOf),MONTH(I361),DAY(I361))&lt;AsOf,1,0),MONTH(I361),DAY(I361))-AsOf))</f>
        <v/>
      </c>
      <c r="AU361" s="43" t="str">
        <f aca="false">IF(B361="","",IF(AV361="",0,LEN(AV361)-LEN(SUBSTITUTE(AV361,";",""))))</f>
        <v/>
      </c>
      <c r="AV361" s="9" t="str">
        <f aca="false">IF(B361="","",IF(COUNTIF($B$6:$B$505,B361)&gt;1,"Duplicate Emp Code; ","")&amp;IF(C361="","Name missing; ","")&amp;IF(I361="","DOJ missing; ","")&amp;IF(AND(J361&lt;&gt;"",I361&lt;&gt;"",J361&lt;I361),"Exit before DOJ; ","")&amp;IF(Q361="","DOB missing; ","")&amp;IF(T361="","Aadhaar missing; ",IF(LEN(T361)&lt;&gt;12,"Aadhaar not 12 digits; ",IF(COUNTIF($T$6:$T$505,T361)&gt;1,"Duplicate Aadhaar; ","")))&amp;IF(U361="","PAN missing; ",IF(LEN(U361)&lt;&gt;10,"PAN not 10 chars; ",""))&amp;IF(V361="","Mobile missing; ",IF(LEN(V361)&lt;&gt;10,"Mobile not 10 digits; ",""))&amp;IF(AG361="","Bank A/c missing; ","")&amp;IF(AH361="","IFSC missing; ",IF(LEN(AH361)&lt;&gt;11,"IFSC not 11 chars; ","")))</f>
        <v/>
      </c>
      <c r="AW361" s="46" t="str">
        <f aca="false">IF(AS361="","",AS361+ROW()/100000)</f>
        <v/>
      </c>
      <c r="AX361" s="46" t="str">
        <f aca="false">IF(AT361="","",AT361+ROW()/100000)</f>
        <v/>
      </c>
    </row>
    <row r="362" customFormat="false" ht="15" hidden="false" customHeight="false" outlineLevel="0" collapsed="false">
      <c r="A362" s="9" t="str">
        <f aca="false">IF(B362="","",ROW()-5)</f>
        <v/>
      </c>
      <c r="B362" s="40"/>
      <c r="C362" s="8"/>
      <c r="D362" s="9" t="str">
        <f aca="false">IF(B362="","",IF(J362="","Active","Exited"))</f>
        <v/>
      </c>
      <c r="E362" s="8"/>
      <c r="F362" s="8"/>
      <c r="G362" s="8"/>
      <c r="H362" s="9" t="str">
        <f aca="false">IF(OR(B362="",I362=""),"",IF(IF(J362="",AsOf,J362)-I362&gt;=Settings!$C$13,"Permanent","Probation"))</f>
        <v/>
      </c>
      <c r="I362" s="41"/>
      <c r="J362" s="41"/>
      <c r="K362" s="8"/>
      <c r="L362" s="42" t="str">
        <f aca="false">IF(OR(B362="",I362=""),"",ROUND((IF(J362="",AsOf,J362)-I362)/365.25,1))</f>
        <v/>
      </c>
      <c r="M362" s="8"/>
      <c r="N362" s="8"/>
      <c r="O362" s="8"/>
      <c r="P362" s="8"/>
      <c r="Q362" s="41"/>
      <c r="R362" s="43" t="str">
        <f aca="false">IF(OR(B362="",Q362=""),"",INT((AsOf-Q362)/365.25))</f>
        <v/>
      </c>
      <c r="S362" s="8"/>
      <c r="T362" s="40"/>
      <c r="U362" s="40"/>
      <c r="V362" s="40"/>
      <c r="W362" s="40"/>
      <c r="X362" s="8"/>
      <c r="Y362" s="8"/>
      <c r="Z362" s="8"/>
      <c r="AA362" s="8"/>
      <c r="AB362" s="8"/>
      <c r="AC362" s="8"/>
      <c r="AD362" s="8"/>
      <c r="AE362" s="40"/>
      <c r="AF362" s="8"/>
      <c r="AG362" s="40"/>
      <c r="AH362" s="40"/>
      <c r="AI362" s="8"/>
      <c r="AJ362" s="40"/>
      <c r="AK362" s="40"/>
      <c r="AL362" s="40"/>
      <c r="AM362" s="44"/>
      <c r="AN362" s="44"/>
      <c r="AO362" s="41"/>
      <c r="AP362" s="45" t="str">
        <f aca="false">IF(B362="","",IF(AND(ISNUMBER(AM362),ISNUMBER(AN362),AM362&gt;0,AN362&gt;0),AN362/AM362-1,""))</f>
        <v/>
      </c>
      <c r="AQ362" s="9" t="str">
        <f aca="false">IF(I362="","",(YEAR(I362)-IF(MONTH(I362)&lt;4,1,0))&amp;"-"&amp;RIGHT((YEAR(I362)-IF(MONTH(I362)&lt;4,1,0))+1,2))</f>
        <v/>
      </c>
      <c r="AR362" s="9" t="str">
        <f aca="false">IF(J362="","",(YEAR(J362)-IF(MONTH(J362)&lt;4,1,0))&amp;"-"&amp;RIGHT((YEAR(J362)-IF(MONTH(J362)&lt;4,1,0))+1,2))</f>
        <v/>
      </c>
      <c r="AS362" s="43" t="str">
        <f aca="false">IF(OR(B362="",Q362="",D362&lt;&gt;"Active"),"",DATE(YEAR(AsOf)+IF(DATE(YEAR(AsOf),MONTH(Q362),DAY(Q362))&lt;AsOf,1,0),MONTH(Q362),DAY(Q362))-AsOf)</f>
        <v/>
      </c>
      <c r="AT362" s="43" t="str">
        <f aca="false">IF(OR(B362="",I362="",D362&lt;&gt;"Active"),"",IF(YEAR(DATE(YEAR(AsOf)+IF(DATE(YEAR(AsOf),MONTH(I362),DAY(I362))&lt;AsOf,1,0),MONTH(I362),DAY(I362)))-YEAR(I362)&lt;1,"",DATE(YEAR(AsOf)+IF(DATE(YEAR(AsOf),MONTH(I362),DAY(I362))&lt;AsOf,1,0),MONTH(I362),DAY(I362))-AsOf))</f>
        <v/>
      </c>
      <c r="AU362" s="43" t="str">
        <f aca="false">IF(B362="","",IF(AV362="",0,LEN(AV362)-LEN(SUBSTITUTE(AV362,";",""))))</f>
        <v/>
      </c>
      <c r="AV362" s="9" t="str">
        <f aca="false">IF(B362="","",IF(COUNTIF($B$6:$B$505,B362)&gt;1,"Duplicate Emp Code; ","")&amp;IF(C362="","Name missing; ","")&amp;IF(I362="","DOJ missing; ","")&amp;IF(AND(J362&lt;&gt;"",I362&lt;&gt;"",J362&lt;I362),"Exit before DOJ; ","")&amp;IF(Q362="","DOB missing; ","")&amp;IF(T362="","Aadhaar missing; ",IF(LEN(T362)&lt;&gt;12,"Aadhaar not 12 digits; ",IF(COUNTIF($T$6:$T$505,T362)&gt;1,"Duplicate Aadhaar; ","")))&amp;IF(U362="","PAN missing; ",IF(LEN(U362)&lt;&gt;10,"PAN not 10 chars; ",""))&amp;IF(V362="","Mobile missing; ",IF(LEN(V362)&lt;&gt;10,"Mobile not 10 digits; ",""))&amp;IF(AG362="","Bank A/c missing; ","")&amp;IF(AH362="","IFSC missing; ",IF(LEN(AH362)&lt;&gt;11,"IFSC not 11 chars; ","")))</f>
        <v/>
      </c>
      <c r="AW362" s="46" t="str">
        <f aca="false">IF(AS362="","",AS362+ROW()/100000)</f>
        <v/>
      </c>
      <c r="AX362" s="46" t="str">
        <f aca="false">IF(AT362="","",AT362+ROW()/100000)</f>
        <v/>
      </c>
    </row>
    <row r="363" customFormat="false" ht="15" hidden="false" customHeight="false" outlineLevel="0" collapsed="false">
      <c r="A363" s="9" t="str">
        <f aca="false">IF(B363="","",ROW()-5)</f>
        <v/>
      </c>
      <c r="B363" s="40"/>
      <c r="C363" s="8"/>
      <c r="D363" s="9" t="str">
        <f aca="false">IF(B363="","",IF(J363="","Active","Exited"))</f>
        <v/>
      </c>
      <c r="E363" s="8"/>
      <c r="F363" s="8"/>
      <c r="G363" s="8"/>
      <c r="H363" s="9" t="str">
        <f aca="false">IF(OR(B363="",I363=""),"",IF(IF(J363="",AsOf,J363)-I363&gt;=Settings!$C$13,"Permanent","Probation"))</f>
        <v/>
      </c>
      <c r="I363" s="41"/>
      <c r="J363" s="41"/>
      <c r="K363" s="8"/>
      <c r="L363" s="42" t="str">
        <f aca="false">IF(OR(B363="",I363=""),"",ROUND((IF(J363="",AsOf,J363)-I363)/365.25,1))</f>
        <v/>
      </c>
      <c r="M363" s="8"/>
      <c r="N363" s="8"/>
      <c r="O363" s="8"/>
      <c r="P363" s="8"/>
      <c r="Q363" s="41"/>
      <c r="R363" s="43" t="str">
        <f aca="false">IF(OR(B363="",Q363=""),"",INT((AsOf-Q363)/365.25))</f>
        <v/>
      </c>
      <c r="S363" s="8"/>
      <c r="T363" s="40"/>
      <c r="U363" s="40"/>
      <c r="V363" s="40"/>
      <c r="W363" s="40"/>
      <c r="X363" s="8"/>
      <c r="Y363" s="8"/>
      <c r="Z363" s="8"/>
      <c r="AA363" s="8"/>
      <c r="AB363" s="8"/>
      <c r="AC363" s="8"/>
      <c r="AD363" s="8"/>
      <c r="AE363" s="40"/>
      <c r="AF363" s="8"/>
      <c r="AG363" s="40"/>
      <c r="AH363" s="40"/>
      <c r="AI363" s="8"/>
      <c r="AJ363" s="40"/>
      <c r="AK363" s="40"/>
      <c r="AL363" s="40"/>
      <c r="AM363" s="44"/>
      <c r="AN363" s="44"/>
      <c r="AO363" s="41"/>
      <c r="AP363" s="45" t="str">
        <f aca="false">IF(B363="","",IF(AND(ISNUMBER(AM363),ISNUMBER(AN363),AM363&gt;0,AN363&gt;0),AN363/AM363-1,""))</f>
        <v/>
      </c>
      <c r="AQ363" s="9" t="str">
        <f aca="false">IF(I363="","",(YEAR(I363)-IF(MONTH(I363)&lt;4,1,0))&amp;"-"&amp;RIGHT((YEAR(I363)-IF(MONTH(I363)&lt;4,1,0))+1,2))</f>
        <v/>
      </c>
      <c r="AR363" s="9" t="str">
        <f aca="false">IF(J363="","",(YEAR(J363)-IF(MONTH(J363)&lt;4,1,0))&amp;"-"&amp;RIGHT((YEAR(J363)-IF(MONTH(J363)&lt;4,1,0))+1,2))</f>
        <v/>
      </c>
      <c r="AS363" s="43" t="str">
        <f aca="false">IF(OR(B363="",Q363="",D363&lt;&gt;"Active"),"",DATE(YEAR(AsOf)+IF(DATE(YEAR(AsOf),MONTH(Q363),DAY(Q363))&lt;AsOf,1,0),MONTH(Q363),DAY(Q363))-AsOf)</f>
        <v/>
      </c>
      <c r="AT363" s="43" t="str">
        <f aca="false">IF(OR(B363="",I363="",D363&lt;&gt;"Active"),"",IF(YEAR(DATE(YEAR(AsOf)+IF(DATE(YEAR(AsOf),MONTH(I363),DAY(I363))&lt;AsOf,1,0),MONTH(I363),DAY(I363)))-YEAR(I363)&lt;1,"",DATE(YEAR(AsOf)+IF(DATE(YEAR(AsOf),MONTH(I363),DAY(I363))&lt;AsOf,1,0),MONTH(I363),DAY(I363))-AsOf))</f>
        <v/>
      </c>
      <c r="AU363" s="43" t="str">
        <f aca="false">IF(B363="","",IF(AV363="",0,LEN(AV363)-LEN(SUBSTITUTE(AV363,";",""))))</f>
        <v/>
      </c>
      <c r="AV363" s="9" t="str">
        <f aca="false">IF(B363="","",IF(COUNTIF($B$6:$B$505,B363)&gt;1,"Duplicate Emp Code; ","")&amp;IF(C363="","Name missing; ","")&amp;IF(I363="","DOJ missing; ","")&amp;IF(AND(J363&lt;&gt;"",I363&lt;&gt;"",J363&lt;I363),"Exit before DOJ; ","")&amp;IF(Q363="","DOB missing; ","")&amp;IF(T363="","Aadhaar missing; ",IF(LEN(T363)&lt;&gt;12,"Aadhaar not 12 digits; ",IF(COUNTIF($T$6:$T$505,T363)&gt;1,"Duplicate Aadhaar; ","")))&amp;IF(U363="","PAN missing; ",IF(LEN(U363)&lt;&gt;10,"PAN not 10 chars; ",""))&amp;IF(V363="","Mobile missing; ",IF(LEN(V363)&lt;&gt;10,"Mobile not 10 digits; ",""))&amp;IF(AG363="","Bank A/c missing; ","")&amp;IF(AH363="","IFSC missing; ",IF(LEN(AH363)&lt;&gt;11,"IFSC not 11 chars; ","")))</f>
        <v/>
      </c>
      <c r="AW363" s="46" t="str">
        <f aca="false">IF(AS363="","",AS363+ROW()/100000)</f>
        <v/>
      </c>
      <c r="AX363" s="46" t="str">
        <f aca="false">IF(AT363="","",AT363+ROW()/100000)</f>
        <v/>
      </c>
    </row>
    <row r="364" customFormat="false" ht="15" hidden="false" customHeight="false" outlineLevel="0" collapsed="false">
      <c r="A364" s="9" t="str">
        <f aca="false">IF(B364="","",ROW()-5)</f>
        <v/>
      </c>
      <c r="B364" s="40"/>
      <c r="C364" s="8"/>
      <c r="D364" s="9" t="str">
        <f aca="false">IF(B364="","",IF(J364="","Active","Exited"))</f>
        <v/>
      </c>
      <c r="E364" s="8"/>
      <c r="F364" s="8"/>
      <c r="G364" s="8"/>
      <c r="H364" s="9" t="str">
        <f aca="false">IF(OR(B364="",I364=""),"",IF(IF(J364="",AsOf,J364)-I364&gt;=Settings!$C$13,"Permanent","Probation"))</f>
        <v/>
      </c>
      <c r="I364" s="41"/>
      <c r="J364" s="41"/>
      <c r="K364" s="8"/>
      <c r="L364" s="42" t="str">
        <f aca="false">IF(OR(B364="",I364=""),"",ROUND((IF(J364="",AsOf,J364)-I364)/365.25,1))</f>
        <v/>
      </c>
      <c r="M364" s="8"/>
      <c r="N364" s="8"/>
      <c r="O364" s="8"/>
      <c r="P364" s="8"/>
      <c r="Q364" s="41"/>
      <c r="R364" s="43" t="str">
        <f aca="false">IF(OR(B364="",Q364=""),"",INT((AsOf-Q364)/365.25))</f>
        <v/>
      </c>
      <c r="S364" s="8"/>
      <c r="T364" s="40"/>
      <c r="U364" s="40"/>
      <c r="V364" s="40"/>
      <c r="W364" s="40"/>
      <c r="X364" s="8"/>
      <c r="Y364" s="8"/>
      <c r="Z364" s="8"/>
      <c r="AA364" s="8"/>
      <c r="AB364" s="8"/>
      <c r="AC364" s="8"/>
      <c r="AD364" s="8"/>
      <c r="AE364" s="40"/>
      <c r="AF364" s="8"/>
      <c r="AG364" s="40"/>
      <c r="AH364" s="40"/>
      <c r="AI364" s="8"/>
      <c r="AJ364" s="40"/>
      <c r="AK364" s="40"/>
      <c r="AL364" s="40"/>
      <c r="AM364" s="44"/>
      <c r="AN364" s="44"/>
      <c r="AO364" s="41"/>
      <c r="AP364" s="45" t="str">
        <f aca="false">IF(B364="","",IF(AND(ISNUMBER(AM364),ISNUMBER(AN364),AM364&gt;0,AN364&gt;0),AN364/AM364-1,""))</f>
        <v/>
      </c>
      <c r="AQ364" s="9" t="str">
        <f aca="false">IF(I364="","",(YEAR(I364)-IF(MONTH(I364)&lt;4,1,0))&amp;"-"&amp;RIGHT((YEAR(I364)-IF(MONTH(I364)&lt;4,1,0))+1,2))</f>
        <v/>
      </c>
      <c r="AR364" s="9" t="str">
        <f aca="false">IF(J364="","",(YEAR(J364)-IF(MONTH(J364)&lt;4,1,0))&amp;"-"&amp;RIGHT((YEAR(J364)-IF(MONTH(J364)&lt;4,1,0))+1,2))</f>
        <v/>
      </c>
      <c r="AS364" s="43" t="str">
        <f aca="false">IF(OR(B364="",Q364="",D364&lt;&gt;"Active"),"",DATE(YEAR(AsOf)+IF(DATE(YEAR(AsOf),MONTH(Q364),DAY(Q364))&lt;AsOf,1,0),MONTH(Q364),DAY(Q364))-AsOf)</f>
        <v/>
      </c>
      <c r="AT364" s="43" t="str">
        <f aca="false">IF(OR(B364="",I364="",D364&lt;&gt;"Active"),"",IF(YEAR(DATE(YEAR(AsOf)+IF(DATE(YEAR(AsOf),MONTH(I364),DAY(I364))&lt;AsOf,1,0),MONTH(I364),DAY(I364)))-YEAR(I364)&lt;1,"",DATE(YEAR(AsOf)+IF(DATE(YEAR(AsOf),MONTH(I364),DAY(I364))&lt;AsOf,1,0),MONTH(I364),DAY(I364))-AsOf))</f>
        <v/>
      </c>
      <c r="AU364" s="43" t="str">
        <f aca="false">IF(B364="","",IF(AV364="",0,LEN(AV364)-LEN(SUBSTITUTE(AV364,";",""))))</f>
        <v/>
      </c>
      <c r="AV364" s="9" t="str">
        <f aca="false">IF(B364="","",IF(COUNTIF($B$6:$B$505,B364)&gt;1,"Duplicate Emp Code; ","")&amp;IF(C364="","Name missing; ","")&amp;IF(I364="","DOJ missing; ","")&amp;IF(AND(J364&lt;&gt;"",I364&lt;&gt;"",J364&lt;I364),"Exit before DOJ; ","")&amp;IF(Q364="","DOB missing; ","")&amp;IF(T364="","Aadhaar missing; ",IF(LEN(T364)&lt;&gt;12,"Aadhaar not 12 digits; ",IF(COUNTIF($T$6:$T$505,T364)&gt;1,"Duplicate Aadhaar; ","")))&amp;IF(U364="","PAN missing; ",IF(LEN(U364)&lt;&gt;10,"PAN not 10 chars; ",""))&amp;IF(V364="","Mobile missing; ",IF(LEN(V364)&lt;&gt;10,"Mobile not 10 digits; ",""))&amp;IF(AG364="","Bank A/c missing; ","")&amp;IF(AH364="","IFSC missing; ",IF(LEN(AH364)&lt;&gt;11,"IFSC not 11 chars; ","")))</f>
        <v/>
      </c>
      <c r="AW364" s="46" t="str">
        <f aca="false">IF(AS364="","",AS364+ROW()/100000)</f>
        <v/>
      </c>
      <c r="AX364" s="46" t="str">
        <f aca="false">IF(AT364="","",AT364+ROW()/100000)</f>
        <v/>
      </c>
    </row>
    <row r="365" customFormat="false" ht="15" hidden="false" customHeight="false" outlineLevel="0" collapsed="false">
      <c r="A365" s="9" t="str">
        <f aca="false">IF(B365="","",ROW()-5)</f>
        <v/>
      </c>
      <c r="B365" s="40"/>
      <c r="C365" s="8"/>
      <c r="D365" s="9" t="str">
        <f aca="false">IF(B365="","",IF(J365="","Active","Exited"))</f>
        <v/>
      </c>
      <c r="E365" s="8"/>
      <c r="F365" s="8"/>
      <c r="G365" s="8"/>
      <c r="H365" s="9" t="str">
        <f aca="false">IF(OR(B365="",I365=""),"",IF(IF(J365="",AsOf,J365)-I365&gt;=Settings!$C$13,"Permanent","Probation"))</f>
        <v/>
      </c>
      <c r="I365" s="41"/>
      <c r="J365" s="41"/>
      <c r="K365" s="8"/>
      <c r="L365" s="42" t="str">
        <f aca="false">IF(OR(B365="",I365=""),"",ROUND((IF(J365="",AsOf,J365)-I365)/365.25,1))</f>
        <v/>
      </c>
      <c r="M365" s="8"/>
      <c r="N365" s="8"/>
      <c r="O365" s="8"/>
      <c r="P365" s="8"/>
      <c r="Q365" s="41"/>
      <c r="R365" s="43" t="str">
        <f aca="false">IF(OR(B365="",Q365=""),"",INT((AsOf-Q365)/365.25))</f>
        <v/>
      </c>
      <c r="S365" s="8"/>
      <c r="T365" s="40"/>
      <c r="U365" s="40"/>
      <c r="V365" s="40"/>
      <c r="W365" s="40"/>
      <c r="X365" s="8"/>
      <c r="Y365" s="8"/>
      <c r="Z365" s="8"/>
      <c r="AA365" s="8"/>
      <c r="AB365" s="8"/>
      <c r="AC365" s="8"/>
      <c r="AD365" s="8"/>
      <c r="AE365" s="40"/>
      <c r="AF365" s="8"/>
      <c r="AG365" s="40"/>
      <c r="AH365" s="40"/>
      <c r="AI365" s="8"/>
      <c r="AJ365" s="40"/>
      <c r="AK365" s="40"/>
      <c r="AL365" s="40"/>
      <c r="AM365" s="44"/>
      <c r="AN365" s="44"/>
      <c r="AO365" s="41"/>
      <c r="AP365" s="45" t="str">
        <f aca="false">IF(B365="","",IF(AND(ISNUMBER(AM365),ISNUMBER(AN365),AM365&gt;0,AN365&gt;0),AN365/AM365-1,""))</f>
        <v/>
      </c>
      <c r="AQ365" s="9" t="str">
        <f aca="false">IF(I365="","",(YEAR(I365)-IF(MONTH(I365)&lt;4,1,0))&amp;"-"&amp;RIGHT((YEAR(I365)-IF(MONTH(I365)&lt;4,1,0))+1,2))</f>
        <v/>
      </c>
      <c r="AR365" s="9" t="str">
        <f aca="false">IF(J365="","",(YEAR(J365)-IF(MONTH(J365)&lt;4,1,0))&amp;"-"&amp;RIGHT((YEAR(J365)-IF(MONTH(J365)&lt;4,1,0))+1,2))</f>
        <v/>
      </c>
      <c r="AS365" s="43" t="str">
        <f aca="false">IF(OR(B365="",Q365="",D365&lt;&gt;"Active"),"",DATE(YEAR(AsOf)+IF(DATE(YEAR(AsOf),MONTH(Q365),DAY(Q365))&lt;AsOf,1,0),MONTH(Q365),DAY(Q365))-AsOf)</f>
        <v/>
      </c>
      <c r="AT365" s="43" t="str">
        <f aca="false">IF(OR(B365="",I365="",D365&lt;&gt;"Active"),"",IF(YEAR(DATE(YEAR(AsOf)+IF(DATE(YEAR(AsOf),MONTH(I365),DAY(I365))&lt;AsOf,1,0),MONTH(I365),DAY(I365)))-YEAR(I365)&lt;1,"",DATE(YEAR(AsOf)+IF(DATE(YEAR(AsOf),MONTH(I365),DAY(I365))&lt;AsOf,1,0),MONTH(I365),DAY(I365))-AsOf))</f>
        <v/>
      </c>
      <c r="AU365" s="43" t="str">
        <f aca="false">IF(B365="","",IF(AV365="",0,LEN(AV365)-LEN(SUBSTITUTE(AV365,";",""))))</f>
        <v/>
      </c>
      <c r="AV365" s="9" t="str">
        <f aca="false">IF(B365="","",IF(COUNTIF($B$6:$B$505,B365)&gt;1,"Duplicate Emp Code; ","")&amp;IF(C365="","Name missing; ","")&amp;IF(I365="","DOJ missing; ","")&amp;IF(AND(J365&lt;&gt;"",I365&lt;&gt;"",J365&lt;I365),"Exit before DOJ; ","")&amp;IF(Q365="","DOB missing; ","")&amp;IF(T365="","Aadhaar missing; ",IF(LEN(T365)&lt;&gt;12,"Aadhaar not 12 digits; ",IF(COUNTIF($T$6:$T$505,T365)&gt;1,"Duplicate Aadhaar; ","")))&amp;IF(U365="","PAN missing; ",IF(LEN(U365)&lt;&gt;10,"PAN not 10 chars; ",""))&amp;IF(V365="","Mobile missing; ",IF(LEN(V365)&lt;&gt;10,"Mobile not 10 digits; ",""))&amp;IF(AG365="","Bank A/c missing; ","")&amp;IF(AH365="","IFSC missing; ",IF(LEN(AH365)&lt;&gt;11,"IFSC not 11 chars; ","")))</f>
        <v/>
      </c>
      <c r="AW365" s="46" t="str">
        <f aca="false">IF(AS365="","",AS365+ROW()/100000)</f>
        <v/>
      </c>
      <c r="AX365" s="46" t="str">
        <f aca="false">IF(AT365="","",AT365+ROW()/100000)</f>
        <v/>
      </c>
    </row>
    <row r="366" customFormat="false" ht="15" hidden="false" customHeight="false" outlineLevel="0" collapsed="false">
      <c r="A366" s="9" t="str">
        <f aca="false">IF(B366="","",ROW()-5)</f>
        <v/>
      </c>
      <c r="B366" s="40"/>
      <c r="C366" s="8"/>
      <c r="D366" s="9" t="str">
        <f aca="false">IF(B366="","",IF(J366="","Active","Exited"))</f>
        <v/>
      </c>
      <c r="E366" s="8"/>
      <c r="F366" s="8"/>
      <c r="G366" s="8"/>
      <c r="H366" s="9" t="str">
        <f aca="false">IF(OR(B366="",I366=""),"",IF(IF(J366="",AsOf,J366)-I366&gt;=Settings!$C$13,"Permanent","Probation"))</f>
        <v/>
      </c>
      <c r="I366" s="41"/>
      <c r="J366" s="41"/>
      <c r="K366" s="8"/>
      <c r="L366" s="42" t="str">
        <f aca="false">IF(OR(B366="",I366=""),"",ROUND((IF(J366="",AsOf,J366)-I366)/365.25,1))</f>
        <v/>
      </c>
      <c r="M366" s="8"/>
      <c r="N366" s="8"/>
      <c r="O366" s="8"/>
      <c r="P366" s="8"/>
      <c r="Q366" s="41"/>
      <c r="R366" s="43" t="str">
        <f aca="false">IF(OR(B366="",Q366=""),"",INT((AsOf-Q366)/365.25))</f>
        <v/>
      </c>
      <c r="S366" s="8"/>
      <c r="T366" s="40"/>
      <c r="U366" s="40"/>
      <c r="V366" s="40"/>
      <c r="W366" s="40"/>
      <c r="X366" s="8"/>
      <c r="Y366" s="8"/>
      <c r="Z366" s="8"/>
      <c r="AA366" s="8"/>
      <c r="AB366" s="8"/>
      <c r="AC366" s="8"/>
      <c r="AD366" s="8"/>
      <c r="AE366" s="40"/>
      <c r="AF366" s="8"/>
      <c r="AG366" s="40"/>
      <c r="AH366" s="40"/>
      <c r="AI366" s="8"/>
      <c r="AJ366" s="40"/>
      <c r="AK366" s="40"/>
      <c r="AL366" s="40"/>
      <c r="AM366" s="44"/>
      <c r="AN366" s="44"/>
      <c r="AO366" s="41"/>
      <c r="AP366" s="45" t="str">
        <f aca="false">IF(B366="","",IF(AND(ISNUMBER(AM366),ISNUMBER(AN366),AM366&gt;0,AN366&gt;0),AN366/AM366-1,""))</f>
        <v/>
      </c>
      <c r="AQ366" s="9" t="str">
        <f aca="false">IF(I366="","",(YEAR(I366)-IF(MONTH(I366)&lt;4,1,0))&amp;"-"&amp;RIGHT((YEAR(I366)-IF(MONTH(I366)&lt;4,1,0))+1,2))</f>
        <v/>
      </c>
      <c r="AR366" s="9" t="str">
        <f aca="false">IF(J366="","",(YEAR(J366)-IF(MONTH(J366)&lt;4,1,0))&amp;"-"&amp;RIGHT((YEAR(J366)-IF(MONTH(J366)&lt;4,1,0))+1,2))</f>
        <v/>
      </c>
      <c r="AS366" s="43" t="str">
        <f aca="false">IF(OR(B366="",Q366="",D366&lt;&gt;"Active"),"",DATE(YEAR(AsOf)+IF(DATE(YEAR(AsOf),MONTH(Q366),DAY(Q366))&lt;AsOf,1,0),MONTH(Q366),DAY(Q366))-AsOf)</f>
        <v/>
      </c>
      <c r="AT366" s="43" t="str">
        <f aca="false">IF(OR(B366="",I366="",D366&lt;&gt;"Active"),"",IF(YEAR(DATE(YEAR(AsOf)+IF(DATE(YEAR(AsOf),MONTH(I366),DAY(I366))&lt;AsOf,1,0),MONTH(I366),DAY(I366)))-YEAR(I366)&lt;1,"",DATE(YEAR(AsOf)+IF(DATE(YEAR(AsOf),MONTH(I366),DAY(I366))&lt;AsOf,1,0),MONTH(I366),DAY(I366))-AsOf))</f>
        <v/>
      </c>
      <c r="AU366" s="43" t="str">
        <f aca="false">IF(B366="","",IF(AV366="",0,LEN(AV366)-LEN(SUBSTITUTE(AV366,";",""))))</f>
        <v/>
      </c>
      <c r="AV366" s="9" t="str">
        <f aca="false">IF(B366="","",IF(COUNTIF($B$6:$B$505,B366)&gt;1,"Duplicate Emp Code; ","")&amp;IF(C366="","Name missing; ","")&amp;IF(I366="","DOJ missing; ","")&amp;IF(AND(J366&lt;&gt;"",I366&lt;&gt;"",J366&lt;I366),"Exit before DOJ; ","")&amp;IF(Q366="","DOB missing; ","")&amp;IF(T366="","Aadhaar missing; ",IF(LEN(T366)&lt;&gt;12,"Aadhaar not 12 digits; ",IF(COUNTIF($T$6:$T$505,T366)&gt;1,"Duplicate Aadhaar; ","")))&amp;IF(U366="","PAN missing; ",IF(LEN(U366)&lt;&gt;10,"PAN not 10 chars; ",""))&amp;IF(V366="","Mobile missing; ",IF(LEN(V366)&lt;&gt;10,"Mobile not 10 digits; ",""))&amp;IF(AG366="","Bank A/c missing; ","")&amp;IF(AH366="","IFSC missing; ",IF(LEN(AH366)&lt;&gt;11,"IFSC not 11 chars; ","")))</f>
        <v/>
      </c>
      <c r="AW366" s="46" t="str">
        <f aca="false">IF(AS366="","",AS366+ROW()/100000)</f>
        <v/>
      </c>
      <c r="AX366" s="46" t="str">
        <f aca="false">IF(AT366="","",AT366+ROW()/100000)</f>
        <v/>
      </c>
    </row>
    <row r="367" customFormat="false" ht="15" hidden="false" customHeight="false" outlineLevel="0" collapsed="false">
      <c r="A367" s="9" t="str">
        <f aca="false">IF(B367="","",ROW()-5)</f>
        <v/>
      </c>
      <c r="B367" s="40"/>
      <c r="C367" s="8"/>
      <c r="D367" s="9" t="str">
        <f aca="false">IF(B367="","",IF(J367="","Active","Exited"))</f>
        <v/>
      </c>
      <c r="E367" s="8"/>
      <c r="F367" s="8"/>
      <c r="G367" s="8"/>
      <c r="H367" s="9" t="str">
        <f aca="false">IF(OR(B367="",I367=""),"",IF(IF(J367="",AsOf,J367)-I367&gt;=Settings!$C$13,"Permanent","Probation"))</f>
        <v/>
      </c>
      <c r="I367" s="41"/>
      <c r="J367" s="41"/>
      <c r="K367" s="8"/>
      <c r="L367" s="42" t="str">
        <f aca="false">IF(OR(B367="",I367=""),"",ROUND((IF(J367="",AsOf,J367)-I367)/365.25,1))</f>
        <v/>
      </c>
      <c r="M367" s="8"/>
      <c r="N367" s="8"/>
      <c r="O367" s="8"/>
      <c r="P367" s="8"/>
      <c r="Q367" s="41"/>
      <c r="R367" s="43" t="str">
        <f aca="false">IF(OR(B367="",Q367=""),"",INT((AsOf-Q367)/365.25))</f>
        <v/>
      </c>
      <c r="S367" s="8"/>
      <c r="T367" s="40"/>
      <c r="U367" s="40"/>
      <c r="V367" s="40"/>
      <c r="W367" s="40"/>
      <c r="X367" s="8"/>
      <c r="Y367" s="8"/>
      <c r="Z367" s="8"/>
      <c r="AA367" s="8"/>
      <c r="AB367" s="8"/>
      <c r="AC367" s="8"/>
      <c r="AD367" s="8"/>
      <c r="AE367" s="40"/>
      <c r="AF367" s="8"/>
      <c r="AG367" s="40"/>
      <c r="AH367" s="40"/>
      <c r="AI367" s="8"/>
      <c r="AJ367" s="40"/>
      <c r="AK367" s="40"/>
      <c r="AL367" s="40"/>
      <c r="AM367" s="44"/>
      <c r="AN367" s="44"/>
      <c r="AO367" s="41"/>
      <c r="AP367" s="45" t="str">
        <f aca="false">IF(B367="","",IF(AND(ISNUMBER(AM367),ISNUMBER(AN367),AM367&gt;0,AN367&gt;0),AN367/AM367-1,""))</f>
        <v/>
      </c>
      <c r="AQ367" s="9" t="str">
        <f aca="false">IF(I367="","",(YEAR(I367)-IF(MONTH(I367)&lt;4,1,0))&amp;"-"&amp;RIGHT((YEAR(I367)-IF(MONTH(I367)&lt;4,1,0))+1,2))</f>
        <v/>
      </c>
      <c r="AR367" s="9" t="str">
        <f aca="false">IF(J367="","",(YEAR(J367)-IF(MONTH(J367)&lt;4,1,0))&amp;"-"&amp;RIGHT((YEAR(J367)-IF(MONTH(J367)&lt;4,1,0))+1,2))</f>
        <v/>
      </c>
      <c r="AS367" s="43" t="str">
        <f aca="false">IF(OR(B367="",Q367="",D367&lt;&gt;"Active"),"",DATE(YEAR(AsOf)+IF(DATE(YEAR(AsOf),MONTH(Q367),DAY(Q367))&lt;AsOf,1,0),MONTH(Q367),DAY(Q367))-AsOf)</f>
        <v/>
      </c>
      <c r="AT367" s="43" t="str">
        <f aca="false">IF(OR(B367="",I367="",D367&lt;&gt;"Active"),"",IF(YEAR(DATE(YEAR(AsOf)+IF(DATE(YEAR(AsOf),MONTH(I367),DAY(I367))&lt;AsOf,1,0),MONTH(I367),DAY(I367)))-YEAR(I367)&lt;1,"",DATE(YEAR(AsOf)+IF(DATE(YEAR(AsOf),MONTH(I367),DAY(I367))&lt;AsOf,1,0),MONTH(I367),DAY(I367))-AsOf))</f>
        <v/>
      </c>
      <c r="AU367" s="43" t="str">
        <f aca="false">IF(B367="","",IF(AV367="",0,LEN(AV367)-LEN(SUBSTITUTE(AV367,";",""))))</f>
        <v/>
      </c>
      <c r="AV367" s="9" t="str">
        <f aca="false">IF(B367="","",IF(COUNTIF($B$6:$B$505,B367)&gt;1,"Duplicate Emp Code; ","")&amp;IF(C367="","Name missing; ","")&amp;IF(I367="","DOJ missing; ","")&amp;IF(AND(J367&lt;&gt;"",I367&lt;&gt;"",J367&lt;I367),"Exit before DOJ; ","")&amp;IF(Q367="","DOB missing; ","")&amp;IF(T367="","Aadhaar missing; ",IF(LEN(T367)&lt;&gt;12,"Aadhaar not 12 digits; ",IF(COUNTIF($T$6:$T$505,T367)&gt;1,"Duplicate Aadhaar; ","")))&amp;IF(U367="","PAN missing; ",IF(LEN(U367)&lt;&gt;10,"PAN not 10 chars; ",""))&amp;IF(V367="","Mobile missing; ",IF(LEN(V367)&lt;&gt;10,"Mobile not 10 digits; ",""))&amp;IF(AG367="","Bank A/c missing; ","")&amp;IF(AH367="","IFSC missing; ",IF(LEN(AH367)&lt;&gt;11,"IFSC not 11 chars; ","")))</f>
        <v/>
      </c>
      <c r="AW367" s="46" t="str">
        <f aca="false">IF(AS367="","",AS367+ROW()/100000)</f>
        <v/>
      </c>
      <c r="AX367" s="46" t="str">
        <f aca="false">IF(AT367="","",AT367+ROW()/100000)</f>
        <v/>
      </c>
    </row>
    <row r="368" customFormat="false" ht="15" hidden="false" customHeight="false" outlineLevel="0" collapsed="false">
      <c r="A368" s="9" t="str">
        <f aca="false">IF(B368="","",ROW()-5)</f>
        <v/>
      </c>
      <c r="B368" s="40"/>
      <c r="C368" s="8"/>
      <c r="D368" s="9" t="str">
        <f aca="false">IF(B368="","",IF(J368="","Active","Exited"))</f>
        <v/>
      </c>
      <c r="E368" s="8"/>
      <c r="F368" s="8"/>
      <c r="G368" s="8"/>
      <c r="H368" s="9" t="str">
        <f aca="false">IF(OR(B368="",I368=""),"",IF(IF(J368="",AsOf,J368)-I368&gt;=Settings!$C$13,"Permanent","Probation"))</f>
        <v/>
      </c>
      <c r="I368" s="41"/>
      <c r="J368" s="41"/>
      <c r="K368" s="8"/>
      <c r="L368" s="42" t="str">
        <f aca="false">IF(OR(B368="",I368=""),"",ROUND((IF(J368="",AsOf,J368)-I368)/365.25,1))</f>
        <v/>
      </c>
      <c r="M368" s="8"/>
      <c r="N368" s="8"/>
      <c r="O368" s="8"/>
      <c r="P368" s="8"/>
      <c r="Q368" s="41"/>
      <c r="R368" s="43" t="str">
        <f aca="false">IF(OR(B368="",Q368=""),"",INT((AsOf-Q368)/365.25))</f>
        <v/>
      </c>
      <c r="S368" s="8"/>
      <c r="T368" s="40"/>
      <c r="U368" s="40"/>
      <c r="V368" s="40"/>
      <c r="W368" s="40"/>
      <c r="X368" s="8"/>
      <c r="Y368" s="8"/>
      <c r="Z368" s="8"/>
      <c r="AA368" s="8"/>
      <c r="AB368" s="8"/>
      <c r="AC368" s="8"/>
      <c r="AD368" s="8"/>
      <c r="AE368" s="40"/>
      <c r="AF368" s="8"/>
      <c r="AG368" s="40"/>
      <c r="AH368" s="40"/>
      <c r="AI368" s="8"/>
      <c r="AJ368" s="40"/>
      <c r="AK368" s="40"/>
      <c r="AL368" s="40"/>
      <c r="AM368" s="44"/>
      <c r="AN368" s="44"/>
      <c r="AO368" s="41"/>
      <c r="AP368" s="45" t="str">
        <f aca="false">IF(B368="","",IF(AND(ISNUMBER(AM368),ISNUMBER(AN368),AM368&gt;0,AN368&gt;0),AN368/AM368-1,""))</f>
        <v/>
      </c>
      <c r="AQ368" s="9" t="str">
        <f aca="false">IF(I368="","",(YEAR(I368)-IF(MONTH(I368)&lt;4,1,0))&amp;"-"&amp;RIGHT((YEAR(I368)-IF(MONTH(I368)&lt;4,1,0))+1,2))</f>
        <v/>
      </c>
      <c r="AR368" s="9" t="str">
        <f aca="false">IF(J368="","",(YEAR(J368)-IF(MONTH(J368)&lt;4,1,0))&amp;"-"&amp;RIGHT((YEAR(J368)-IF(MONTH(J368)&lt;4,1,0))+1,2))</f>
        <v/>
      </c>
      <c r="AS368" s="43" t="str">
        <f aca="false">IF(OR(B368="",Q368="",D368&lt;&gt;"Active"),"",DATE(YEAR(AsOf)+IF(DATE(YEAR(AsOf),MONTH(Q368),DAY(Q368))&lt;AsOf,1,0),MONTH(Q368),DAY(Q368))-AsOf)</f>
        <v/>
      </c>
      <c r="AT368" s="43" t="str">
        <f aca="false">IF(OR(B368="",I368="",D368&lt;&gt;"Active"),"",IF(YEAR(DATE(YEAR(AsOf)+IF(DATE(YEAR(AsOf),MONTH(I368),DAY(I368))&lt;AsOf,1,0),MONTH(I368),DAY(I368)))-YEAR(I368)&lt;1,"",DATE(YEAR(AsOf)+IF(DATE(YEAR(AsOf),MONTH(I368),DAY(I368))&lt;AsOf,1,0),MONTH(I368),DAY(I368))-AsOf))</f>
        <v/>
      </c>
      <c r="AU368" s="43" t="str">
        <f aca="false">IF(B368="","",IF(AV368="",0,LEN(AV368)-LEN(SUBSTITUTE(AV368,";",""))))</f>
        <v/>
      </c>
      <c r="AV368" s="9" t="str">
        <f aca="false">IF(B368="","",IF(COUNTIF($B$6:$B$505,B368)&gt;1,"Duplicate Emp Code; ","")&amp;IF(C368="","Name missing; ","")&amp;IF(I368="","DOJ missing; ","")&amp;IF(AND(J368&lt;&gt;"",I368&lt;&gt;"",J368&lt;I368),"Exit before DOJ; ","")&amp;IF(Q368="","DOB missing; ","")&amp;IF(T368="","Aadhaar missing; ",IF(LEN(T368)&lt;&gt;12,"Aadhaar not 12 digits; ",IF(COUNTIF($T$6:$T$505,T368)&gt;1,"Duplicate Aadhaar; ","")))&amp;IF(U368="","PAN missing; ",IF(LEN(U368)&lt;&gt;10,"PAN not 10 chars; ",""))&amp;IF(V368="","Mobile missing; ",IF(LEN(V368)&lt;&gt;10,"Mobile not 10 digits; ",""))&amp;IF(AG368="","Bank A/c missing; ","")&amp;IF(AH368="","IFSC missing; ",IF(LEN(AH368)&lt;&gt;11,"IFSC not 11 chars; ","")))</f>
        <v/>
      </c>
      <c r="AW368" s="46" t="str">
        <f aca="false">IF(AS368="","",AS368+ROW()/100000)</f>
        <v/>
      </c>
      <c r="AX368" s="46" t="str">
        <f aca="false">IF(AT368="","",AT368+ROW()/100000)</f>
        <v/>
      </c>
    </row>
    <row r="369" customFormat="false" ht="15" hidden="false" customHeight="false" outlineLevel="0" collapsed="false">
      <c r="A369" s="9" t="str">
        <f aca="false">IF(B369="","",ROW()-5)</f>
        <v/>
      </c>
      <c r="B369" s="40"/>
      <c r="C369" s="8"/>
      <c r="D369" s="9" t="str">
        <f aca="false">IF(B369="","",IF(J369="","Active","Exited"))</f>
        <v/>
      </c>
      <c r="E369" s="8"/>
      <c r="F369" s="8"/>
      <c r="G369" s="8"/>
      <c r="H369" s="9" t="str">
        <f aca="false">IF(OR(B369="",I369=""),"",IF(IF(J369="",AsOf,J369)-I369&gt;=Settings!$C$13,"Permanent","Probation"))</f>
        <v/>
      </c>
      <c r="I369" s="41"/>
      <c r="J369" s="41"/>
      <c r="K369" s="8"/>
      <c r="L369" s="42" t="str">
        <f aca="false">IF(OR(B369="",I369=""),"",ROUND((IF(J369="",AsOf,J369)-I369)/365.25,1))</f>
        <v/>
      </c>
      <c r="M369" s="8"/>
      <c r="N369" s="8"/>
      <c r="O369" s="8"/>
      <c r="P369" s="8"/>
      <c r="Q369" s="41"/>
      <c r="R369" s="43" t="str">
        <f aca="false">IF(OR(B369="",Q369=""),"",INT((AsOf-Q369)/365.25))</f>
        <v/>
      </c>
      <c r="S369" s="8"/>
      <c r="T369" s="40"/>
      <c r="U369" s="40"/>
      <c r="V369" s="40"/>
      <c r="W369" s="40"/>
      <c r="X369" s="8"/>
      <c r="Y369" s="8"/>
      <c r="Z369" s="8"/>
      <c r="AA369" s="8"/>
      <c r="AB369" s="8"/>
      <c r="AC369" s="8"/>
      <c r="AD369" s="8"/>
      <c r="AE369" s="40"/>
      <c r="AF369" s="8"/>
      <c r="AG369" s="40"/>
      <c r="AH369" s="40"/>
      <c r="AI369" s="8"/>
      <c r="AJ369" s="40"/>
      <c r="AK369" s="40"/>
      <c r="AL369" s="40"/>
      <c r="AM369" s="44"/>
      <c r="AN369" s="44"/>
      <c r="AO369" s="41"/>
      <c r="AP369" s="45" t="str">
        <f aca="false">IF(B369="","",IF(AND(ISNUMBER(AM369),ISNUMBER(AN369),AM369&gt;0,AN369&gt;0),AN369/AM369-1,""))</f>
        <v/>
      </c>
      <c r="AQ369" s="9" t="str">
        <f aca="false">IF(I369="","",(YEAR(I369)-IF(MONTH(I369)&lt;4,1,0))&amp;"-"&amp;RIGHT((YEAR(I369)-IF(MONTH(I369)&lt;4,1,0))+1,2))</f>
        <v/>
      </c>
      <c r="AR369" s="9" t="str">
        <f aca="false">IF(J369="","",(YEAR(J369)-IF(MONTH(J369)&lt;4,1,0))&amp;"-"&amp;RIGHT((YEAR(J369)-IF(MONTH(J369)&lt;4,1,0))+1,2))</f>
        <v/>
      </c>
      <c r="AS369" s="43" t="str">
        <f aca="false">IF(OR(B369="",Q369="",D369&lt;&gt;"Active"),"",DATE(YEAR(AsOf)+IF(DATE(YEAR(AsOf),MONTH(Q369),DAY(Q369))&lt;AsOf,1,0),MONTH(Q369),DAY(Q369))-AsOf)</f>
        <v/>
      </c>
      <c r="AT369" s="43" t="str">
        <f aca="false">IF(OR(B369="",I369="",D369&lt;&gt;"Active"),"",IF(YEAR(DATE(YEAR(AsOf)+IF(DATE(YEAR(AsOf),MONTH(I369),DAY(I369))&lt;AsOf,1,0),MONTH(I369),DAY(I369)))-YEAR(I369)&lt;1,"",DATE(YEAR(AsOf)+IF(DATE(YEAR(AsOf),MONTH(I369),DAY(I369))&lt;AsOf,1,0),MONTH(I369),DAY(I369))-AsOf))</f>
        <v/>
      </c>
      <c r="AU369" s="43" t="str">
        <f aca="false">IF(B369="","",IF(AV369="",0,LEN(AV369)-LEN(SUBSTITUTE(AV369,";",""))))</f>
        <v/>
      </c>
      <c r="AV369" s="9" t="str">
        <f aca="false">IF(B369="","",IF(COUNTIF($B$6:$B$505,B369)&gt;1,"Duplicate Emp Code; ","")&amp;IF(C369="","Name missing; ","")&amp;IF(I369="","DOJ missing; ","")&amp;IF(AND(J369&lt;&gt;"",I369&lt;&gt;"",J369&lt;I369),"Exit before DOJ; ","")&amp;IF(Q369="","DOB missing; ","")&amp;IF(T369="","Aadhaar missing; ",IF(LEN(T369)&lt;&gt;12,"Aadhaar not 12 digits; ",IF(COUNTIF($T$6:$T$505,T369)&gt;1,"Duplicate Aadhaar; ","")))&amp;IF(U369="","PAN missing; ",IF(LEN(U369)&lt;&gt;10,"PAN not 10 chars; ",""))&amp;IF(V369="","Mobile missing; ",IF(LEN(V369)&lt;&gt;10,"Mobile not 10 digits; ",""))&amp;IF(AG369="","Bank A/c missing; ","")&amp;IF(AH369="","IFSC missing; ",IF(LEN(AH369)&lt;&gt;11,"IFSC not 11 chars; ","")))</f>
        <v/>
      </c>
      <c r="AW369" s="46" t="str">
        <f aca="false">IF(AS369="","",AS369+ROW()/100000)</f>
        <v/>
      </c>
      <c r="AX369" s="46" t="str">
        <f aca="false">IF(AT369="","",AT369+ROW()/100000)</f>
        <v/>
      </c>
    </row>
    <row r="370" customFormat="false" ht="15" hidden="false" customHeight="false" outlineLevel="0" collapsed="false">
      <c r="A370" s="9" t="str">
        <f aca="false">IF(B370="","",ROW()-5)</f>
        <v/>
      </c>
      <c r="B370" s="40"/>
      <c r="C370" s="8"/>
      <c r="D370" s="9" t="str">
        <f aca="false">IF(B370="","",IF(J370="","Active","Exited"))</f>
        <v/>
      </c>
      <c r="E370" s="8"/>
      <c r="F370" s="8"/>
      <c r="G370" s="8"/>
      <c r="H370" s="9" t="str">
        <f aca="false">IF(OR(B370="",I370=""),"",IF(IF(J370="",AsOf,J370)-I370&gt;=Settings!$C$13,"Permanent","Probation"))</f>
        <v/>
      </c>
      <c r="I370" s="41"/>
      <c r="J370" s="41"/>
      <c r="K370" s="8"/>
      <c r="L370" s="42" t="str">
        <f aca="false">IF(OR(B370="",I370=""),"",ROUND((IF(J370="",AsOf,J370)-I370)/365.25,1))</f>
        <v/>
      </c>
      <c r="M370" s="8"/>
      <c r="N370" s="8"/>
      <c r="O370" s="8"/>
      <c r="P370" s="8"/>
      <c r="Q370" s="41"/>
      <c r="R370" s="43" t="str">
        <f aca="false">IF(OR(B370="",Q370=""),"",INT((AsOf-Q370)/365.25))</f>
        <v/>
      </c>
      <c r="S370" s="8"/>
      <c r="T370" s="40"/>
      <c r="U370" s="40"/>
      <c r="V370" s="40"/>
      <c r="W370" s="40"/>
      <c r="X370" s="8"/>
      <c r="Y370" s="8"/>
      <c r="Z370" s="8"/>
      <c r="AA370" s="8"/>
      <c r="AB370" s="8"/>
      <c r="AC370" s="8"/>
      <c r="AD370" s="8"/>
      <c r="AE370" s="40"/>
      <c r="AF370" s="8"/>
      <c r="AG370" s="40"/>
      <c r="AH370" s="40"/>
      <c r="AI370" s="8"/>
      <c r="AJ370" s="40"/>
      <c r="AK370" s="40"/>
      <c r="AL370" s="40"/>
      <c r="AM370" s="44"/>
      <c r="AN370" s="44"/>
      <c r="AO370" s="41"/>
      <c r="AP370" s="45" t="str">
        <f aca="false">IF(B370="","",IF(AND(ISNUMBER(AM370),ISNUMBER(AN370),AM370&gt;0,AN370&gt;0),AN370/AM370-1,""))</f>
        <v/>
      </c>
      <c r="AQ370" s="9" t="str">
        <f aca="false">IF(I370="","",(YEAR(I370)-IF(MONTH(I370)&lt;4,1,0))&amp;"-"&amp;RIGHT((YEAR(I370)-IF(MONTH(I370)&lt;4,1,0))+1,2))</f>
        <v/>
      </c>
      <c r="AR370" s="9" t="str">
        <f aca="false">IF(J370="","",(YEAR(J370)-IF(MONTH(J370)&lt;4,1,0))&amp;"-"&amp;RIGHT((YEAR(J370)-IF(MONTH(J370)&lt;4,1,0))+1,2))</f>
        <v/>
      </c>
      <c r="AS370" s="43" t="str">
        <f aca="false">IF(OR(B370="",Q370="",D370&lt;&gt;"Active"),"",DATE(YEAR(AsOf)+IF(DATE(YEAR(AsOf),MONTH(Q370),DAY(Q370))&lt;AsOf,1,0),MONTH(Q370),DAY(Q370))-AsOf)</f>
        <v/>
      </c>
      <c r="AT370" s="43" t="str">
        <f aca="false">IF(OR(B370="",I370="",D370&lt;&gt;"Active"),"",IF(YEAR(DATE(YEAR(AsOf)+IF(DATE(YEAR(AsOf),MONTH(I370),DAY(I370))&lt;AsOf,1,0),MONTH(I370),DAY(I370)))-YEAR(I370)&lt;1,"",DATE(YEAR(AsOf)+IF(DATE(YEAR(AsOf),MONTH(I370),DAY(I370))&lt;AsOf,1,0),MONTH(I370),DAY(I370))-AsOf))</f>
        <v/>
      </c>
      <c r="AU370" s="43" t="str">
        <f aca="false">IF(B370="","",IF(AV370="",0,LEN(AV370)-LEN(SUBSTITUTE(AV370,";",""))))</f>
        <v/>
      </c>
      <c r="AV370" s="9" t="str">
        <f aca="false">IF(B370="","",IF(COUNTIF($B$6:$B$505,B370)&gt;1,"Duplicate Emp Code; ","")&amp;IF(C370="","Name missing; ","")&amp;IF(I370="","DOJ missing; ","")&amp;IF(AND(J370&lt;&gt;"",I370&lt;&gt;"",J370&lt;I370),"Exit before DOJ; ","")&amp;IF(Q370="","DOB missing; ","")&amp;IF(T370="","Aadhaar missing; ",IF(LEN(T370)&lt;&gt;12,"Aadhaar not 12 digits; ",IF(COUNTIF($T$6:$T$505,T370)&gt;1,"Duplicate Aadhaar; ","")))&amp;IF(U370="","PAN missing; ",IF(LEN(U370)&lt;&gt;10,"PAN not 10 chars; ",""))&amp;IF(V370="","Mobile missing; ",IF(LEN(V370)&lt;&gt;10,"Mobile not 10 digits; ",""))&amp;IF(AG370="","Bank A/c missing; ","")&amp;IF(AH370="","IFSC missing; ",IF(LEN(AH370)&lt;&gt;11,"IFSC not 11 chars; ","")))</f>
        <v/>
      </c>
      <c r="AW370" s="46" t="str">
        <f aca="false">IF(AS370="","",AS370+ROW()/100000)</f>
        <v/>
      </c>
      <c r="AX370" s="46" t="str">
        <f aca="false">IF(AT370="","",AT370+ROW()/100000)</f>
        <v/>
      </c>
    </row>
    <row r="371" customFormat="false" ht="15" hidden="false" customHeight="false" outlineLevel="0" collapsed="false">
      <c r="A371" s="9" t="str">
        <f aca="false">IF(B371="","",ROW()-5)</f>
        <v/>
      </c>
      <c r="B371" s="40"/>
      <c r="C371" s="8"/>
      <c r="D371" s="9" t="str">
        <f aca="false">IF(B371="","",IF(J371="","Active","Exited"))</f>
        <v/>
      </c>
      <c r="E371" s="8"/>
      <c r="F371" s="8"/>
      <c r="G371" s="8"/>
      <c r="H371" s="9" t="str">
        <f aca="false">IF(OR(B371="",I371=""),"",IF(IF(J371="",AsOf,J371)-I371&gt;=Settings!$C$13,"Permanent","Probation"))</f>
        <v/>
      </c>
      <c r="I371" s="41"/>
      <c r="J371" s="41"/>
      <c r="K371" s="8"/>
      <c r="L371" s="42" t="str">
        <f aca="false">IF(OR(B371="",I371=""),"",ROUND((IF(J371="",AsOf,J371)-I371)/365.25,1))</f>
        <v/>
      </c>
      <c r="M371" s="8"/>
      <c r="N371" s="8"/>
      <c r="O371" s="8"/>
      <c r="P371" s="8"/>
      <c r="Q371" s="41"/>
      <c r="R371" s="43" t="str">
        <f aca="false">IF(OR(B371="",Q371=""),"",INT((AsOf-Q371)/365.25))</f>
        <v/>
      </c>
      <c r="S371" s="8"/>
      <c r="T371" s="40"/>
      <c r="U371" s="40"/>
      <c r="V371" s="40"/>
      <c r="W371" s="40"/>
      <c r="X371" s="8"/>
      <c r="Y371" s="8"/>
      <c r="Z371" s="8"/>
      <c r="AA371" s="8"/>
      <c r="AB371" s="8"/>
      <c r="AC371" s="8"/>
      <c r="AD371" s="8"/>
      <c r="AE371" s="40"/>
      <c r="AF371" s="8"/>
      <c r="AG371" s="40"/>
      <c r="AH371" s="40"/>
      <c r="AI371" s="8"/>
      <c r="AJ371" s="40"/>
      <c r="AK371" s="40"/>
      <c r="AL371" s="40"/>
      <c r="AM371" s="44"/>
      <c r="AN371" s="44"/>
      <c r="AO371" s="41"/>
      <c r="AP371" s="45" t="str">
        <f aca="false">IF(B371="","",IF(AND(ISNUMBER(AM371),ISNUMBER(AN371),AM371&gt;0,AN371&gt;0),AN371/AM371-1,""))</f>
        <v/>
      </c>
      <c r="AQ371" s="9" t="str">
        <f aca="false">IF(I371="","",(YEAR(I371)-IF(MONTH(I371)&lt;4,1,0))&amp;"-"&amp;RIGHT((YEAR(I371)-IF(MONTH(I371)&lt;4,1,0))+1,2))</f>
        <v/>
      </c>
      <c r="AR371" s="9" t="str">
        <f aca="false">IF(J371="","",(YEAR(J371)-IF(MONTH(J371)&lt;4,1,0))&amp;"-"&amp;RIGHT((YEAR(J371)-IF(MONTH(J371)&lt;4,1,0))+1,2))</f>
        <v/>
      </c>
      <c r="AS371" s="43" t="str">
        <f aca="false">IF(OR(B371="",Q371="",D371&lt;&gt;"Active"),"",DATE(YEAR(AsOf)+IF(DATE(YEAR(AsOf),MONTH(Q371),DAY(Q371))&lt;AsOf,1,0),MONTH(Q371),DAY(Q371))-AsOf)</f>
        <v/>
      </c>
      <c r="AT371" s="43" t="str">
        <f aca="false">IF(OR(B371="",I371="",D371&lt;&gt;"Active"),"",IF(YEAR(DATE(YEAR(AsOf)+IF(DATE(YEAR(AsOf),MONTH(I371),DAY(I371))&lt;AsOf,1,0),MONTH(I371),DAY(I371)))-YEAR(I371)&lt;1,"",DATE(YEAR(AsOf)+IF(DATE(YEAR(AsOf),MONTH(I371),DAY(I371))&lt;AsOf,1,0),MONTH(I371),DAY(I371))-AsOf))</f>
        <v/>
      </c>
      <c r="AU371" s="43" t="str">
        <f aca="false">IF(B371="","",IF(AV371="",0,LEN(AV371)-LEN(SUBSTITUTE(AV371,";",""))))</f>
        <v/>
      </c>
      <c r="AV371" s="9" t="str">
        <f aca="false">IF(B371="","",IF(COUNTIF($B$6:$B$505,B371)&gt;1,"Duplicate Emp Code; ","")&amp;IF(C371="","Name missing; ","")&amp;IF(I371="","DOJ missing; ","")&amp;IF(AND(J371&lt;&gt;"",I371&lt;&gt;"",J371&lt;I371),"Exit before DOJ; ","")&amp;IF(Q371="","DOB missing; ","")&amp;IF(T371="","Aadhaar missing; ",IF(LEN(T371)&lt;&gt;12,"Aadhaar not 12 digits; ",IF(COUNTIF($T$6:$T$505,T371)&gt;1,"Duplicate Aadhaar; ","")))&amp;IF(U371="","PAN missing; ",IF(LEN(U371)&lt;&gt;10,"PAN not 10 chars; ",""))&amp;IF(V371="","Mobile missing; ",IF(LEN(V371)&lt;&gt;10,"Mobile not 10 digits; ",""))&amp;IF(AG371="","Bank A/c missing; ","")&amp;IF(AH371="","IFSC missing; ",IF(LEN(AH371)&lt;&gt;11,"IFSC not 11 chars; ","")))</f>
        <v/>
      </c>
      <c r="AW371" s="46" t="str">
        <f aca="false">IF(AS371="","",AS371+ROW()/100000)</f>
        <v/>
      </c>
      <c r="AX371" s="46" t="str">
        <f aca="false">IF(AT371="","",AT371+ROW()/100000)</f>
        <v/>
      </c>
    </row>
    <row r="372" customFormat="false" ht="15" hidden="false" customHeight="false" outlineLevel="0" collapsed="false">
      <c r="A372" s="9" t="str">
        <f aca="false">IF(B372="","",ROW()-5)</f>
        <v/>
      </c>
      <c r="B372" s="40"/>
      <c r="C372" s="8"/>
      <c r="D372" s="9" t="str">
        <f aca="false">IF(B372="","",IF(J372="","Active","Exited"))</f>
        <v/>
      </c>
      <c r="E372" s="8"/>
      <c r="F372" s="8"/>
      <c r="G372" s="8"/>
      <c r="H372" s="9" t="str">
        <f aca="false">IF(OR(B372="",I372=""),"",IF(IF(J372="",AsOf,J372)-I372&gt;=Settings!$C$13,"Permanent","Probation"))</f>
        <v/>
      </c>
      <c r="I372" s="41"/>
      <c r="J372" s="41"/>
      <c r="K372" s="8"/>
      <c r="L372" s="42" t="str">
        <f aca="false">IF(OR(B372="",I372=""),"",ROUND((IF(J372="",AsOf,J372)-I372)/365.25,1))</f>
        <v/>
      </c>
      <c r="M372" s="8"/>
      <c r="N372" s="8"/>
      <c r="O372" s="8"/>
      <c r="P372" s="8"/>
      <c r="Q372" s="41"/>
      <c r="R372" s="43" t="str">
        <f aca="false">IF(OR(B372="",Q372=""),"",INT((AsOf-Q372)/365.25))</f>
        <v/>
      </c>
      <c r="S372" s="8"/>
      <c r="T372" s="40"/>
      <c r="U372" s="40"/>
      <c r="V372" s="40"/>
      <c r="W372" s="40"/>
      <c r="X372" s="8"/>
      <c r="Y372" s="8"/>
      <c r="Z372" s="8"/>
      <c r="AA372" s="8"/>
      <c r="AB372" s="8"/>
      <c r="AC372" s="8"/>
      <c r="AD372" s="8"/>
      <c r="AE372" s="40"/>
      <c r="AF372" s="8"/>
      <c r="AG372" s="40"/>
      <c r="AH372" s="40"/>
      <c r="AI372" s="8"/>
      <c r="AJ372" s="40"/>
      <c r="AK372" s="40"/>
      <c r="AL372" s="40"/>
      <c r="AM372" s="44"/>
      <c r="AN372" s="44"/>
      <c r="AO372" s="41"/>
      <c r="AP372" s="45" t="str">
        <f aca="false">IF(B372="","",IF(AND(ISNUMBER(AM372),ISNUMBER(AN372),AM372&gt;0,AN372&gt;0),AN372/AM372-1,""))</f>
        <v/>
      </c>
      <c r="AQ372" s="9" t="str">
        <f aca="false">IF(I372="","",(YEAR(I372)-IF(MONTH(I372)&lt;4,1,0))&amp;"-"&amp;RIGHT((YEAR(I372)-IF(MONTH(I372)&lt;4,1,0))+1,2))</f>
        <v/>
      </c>
      <c r="AR372" s="9" t="str">
        <f aca="false">IF(J372="","",(YEAR(J372)-IF(MONTH(J372)&lt;4,1,0))&amp;"-"&amp;RIGHT((YEAR(J372)-IF(MONTH(J372)&lt;4,1,0))+1,2))</f>
        <v/>
      </c>
      <c r="AS372" s="43" t="str">
        <f aca="false">IF(OR(B372="",Q372="",D372&lt;&gt;"Active"),"",DATE(YEAR(AsOf)+IF(DATE(YEAR(AsOf),MONTH(Q372),DAY(Q372))&lt;AsOf,1,0),MONTH(Q372),DAY(Q372))-AsOf)</f>
        <v/>
      </c>
      <c r="AT372" s="43" t="str">
        <f aca="false">IF(OR(B372="",I372="",D372&lt;&gt;"Active"),"",IF(YEAR(DATE(YEAR(AsOf)+IF(DATE(YEAR(AsOf),MONTH(I372),DAY(I372))&lt;AsOf,1,0),MONTH(I372),DAY(I372)))-YEAR(I372)&lt;1,"",DATE(YEAR(AsOf)+IF(DATE(YEAR(AsOf),MONTH(I372),DAY(I372))&lt;AsOf,1,0),MONTH(I372),DAY(I372))-AsOf))</f>
        <v/>
      </c>
      <c r="AU372" s="43" t="str">
        <f aca="false">IF(B372="","",IF(AV372="",0,LEN(AV372)-LEN(SUBSTITUTE(AV372,";",""))))</f>
        <v/>
      </c>
      <c r="AV372" s="9" t="str">
        <f aca="false">IF(B372="","",IF(COUNTIF($B$6:$B$505,B372)&gt;1,"Duplicate Emp Code; ","")&amp;IF(C372="","Name missing; ","")&amp;IF(I372="","DOJ missing; ","")&amp;IF(AND(J372&lt;&gt;"",I372&lt;&gt;"",J372&lt;I372),"Exit before DOJ; ","")&amp;IF(Q372="","DOB missing; ","")&amp;IF(T372="","Aadhaar missing; ",IF(LEN(T372)&lt;&gt;12,"Aadhaar not 12 digits; ",IF(COUNTIF($T$6:$T$505,T372)&gt;1,"Duplicate Aadhaar; ","")))&amp;IF(U372="","PAN missing; ",IF(LEN(U372)&lt;&gt;10,"PAN not 10 chars; ",""))&amp;IF(V372="","Mobile missing; ",IF(LEN(V372)&lt;&gt;10,"Mobile not 10 digits; ",""))&amp;IF(AG372="","Bank A/c missing; ","")&amp;IF(AH372="","IFSC missing; ",IF(LEN(AH372)&lt;&gt;11,"IFSC not 11 chars; ","")))</f>
        <v/>
      </c>
      <c r="AW372" s="46" t="str">
        <f aca="false">IF(AS372="","",AS372+ROW()/100000)</f>
        <v/>
      </c>
      <c r="AX372" s="46" t="str">
        <f aca="false">IF(AT372="","",AT372+ROW()/100000)</f>
        <v/>
      </c>
    </row>
    <row r="373" customFormat="false" ht="15" hidden="false" customHeight="false" outlineLevel="0" collapsed="false">
      <c r="A373" s="9" t="str">
        <f aca="false">IF(B373="","",ROW()-5)</f>
        <v/>
      </c>
      <c r="B373" s="40"/>
      <c r="C373" s="8"/>
      <c r="D373" s="9" t="str">
        <f aca="false">IF(B373="","",IF(J373="","Active","Exited"))</f>
        <v/>
      </c>
      <c r="E373" s="8"/>
      <c r="F373" s="8"/>
      <c r="G373" s="8"/>
      <c r="H373" s="9" t="str">
        <f aca="false">IF(OR(B373="",I373=""),"",IF(IF(J373="",AsOf,J373)-I373&gt;=Settings!$C$13,"Permanent","Probation"))</f>
        <v/>
      </c>
      <c r="I373" s="41"/>
      <c r="J373" s="41"/>
      <c r="K373" s="8"/>
      <c r="L373" s="42" t="str">
        <f aca="false">IF(OR(B373="",I373=""),"",ROUND((IF(J373="",AsOf,J373)-I373)/365.25,1))</f>
        <v/>
      </c>
      <c r="M373" s="8"/>
      <c r="N373" s="8"/>
      <c r="O373" s="8"/>
      <c r="P373" s="8"/>
      <c r="Q373" s="41"/>
      <c r="R373" s="43" t="str">
        <f aca="false">IF(OR(B373="",Q373=""),"",INT((AsOf-Q373)/365.25))</f>
        <v/>
      </c>
      <c r="S373" s="8"/>
      <c r="T373" s="40"/>
      <c r="U373" s="40"/>
      <c r="V373" s="40"/>
      <c r="W373" s="40"/>
      <c r="X373" s="8"/>
      <c r="Y373" s="8"/>
      <c r="Z373" s="8"/>
      <c r="AA373" s="8"/>
      <c r="AB373" s="8"/>
      <c r="AC373" s="8"/>
      <c r="AD373" s="8"/>
      <c r="AE373" s="40"/>
      <c r="AF373" s="8"/>
      <c r="AG373" s="40"/>
      <c r="AH373" s="40"/>
      <c r="AI373" s="8"/>
      <c r="AJ373" s="40"/>
      <c r="AK373" s="40"/>
      <c r="AL373" s="40"/>
      <c r="AM373" s="44"/>
      <c r="AN373" s="44"/>
      <c r="AO373" s="41"/>
      <c r="AP373" s="45" t="str">
        <f aca="false">IF(B373="","",IF(AND(ISNUMBER(AM373),ISNUMBER(AN373),AM373&gt;0,AN373&gt;0),AN373/AM373-1,""))</f>
        <v/>
      </c>
      <c r="AQ373" s="9" t="str">
        <f aca="false">IF(I373="","",(YEAR(I373)-IF(MONTH(I373)&lt;4,1,0))&amp;"-"&amp;RIGHT((YEAR(I373)-IF(MONTH(I373)&lt;4,1,0))+1,2))</f>
        <v/>
      </c>
      <c r="AR373" s="9" t="str">
        <f aca="false">IF(J373="","",(YEAR(J373)-IF(MONTH(J373)&lt;4,1,0))&amp;"-"&amp;RIGHT((YEAR(J373)-IF(MONTH(J373)&lt;4,1,0))+1,2))</f>
        <v/>
      </c>
      <c r="AS373" s="43" t="str">
        <f aca="false">IF(OR(B373="",Q373="",D373&lt;&gt;"Active"),"",DATE(YEAR(AsOf)+IF(DATE(YEAR(AsOf),MONTH(Q373),DAY(Q373))&lt;AsOf,1,0),MONTH(Q373),DAY(Q373))-AsOf)</f>
        <v/>
      </c>
      <c r="AT373" s="43" t="str">
        <f aca="false">IF(OR(B373="",I373="",D373&lt;&gt;"Active"),"",IF(YEAR(DATE(YEAR(AsOf)+IF(DATE(YEAR(AsOf),MONTH(I373),DAY(I373))&lt;AsOf,1,0),MONTH(I373),DAY(I373)))-YEAR(I373)&lt;1,"",DATE(YEAR(AsOf)+IF(DATE(YEAR(AsOf),MONTH(I373),DAY(I373))&lt;AsOf,1,0),MONTH(I373),DAY(I373))-AsOf))</f>
        <v/>
      </c>
      <c r="AU373" s="43" t="str">
        <f aca="false">IF(B373="","",IF(AV373="",0,LEN(AV373)-LEN(SUBSTITUTE(AV373,";",""))))</f>
        <v/>
      </c>
      <c r="AV373" s="9" t="str">
        <f aca="false">IF(B373="","",IF(COUNTIF($B$6:$B$505,B373)&gt;1,"Duplicate Emp Code; ","")&amp;IF(C373="","Name missing; ","")&amp;IF(I373="","DOJ missing; ","")&amp;IF(AND(J373&lt;&gt;"",I373&lt;&gt;"",J373&lt;I373),"Exit before DOJ; ","")&amp;IF(Q373="","DOB missing; ","")&amp;IF(T373="","Aadhaar missing; ",IF(LEN(T373)&lt;&gt;12,"Aadhaar not 12 digits; ",IF(COUNTIF($T$6:$T$505,T373)&gt;1,"Duplicate Aadhaar; ","")))&amp;IF(U373="","PAN missing; ",IF(LEN(U373)&lt;&gt;10,"PAN not 10 chars; ",""))&amp;IF(V373="","Mobile missing; ",IF(LEN(V373)&lt;&gt;10,"Mobile not 10 digits; ",""))&amp;IF(AG373="","Bank A/c missing; ","")&amp;IF(AH373="","IFSC missing; ",IF(LEN(AH373)&lt;&gt;11,"IFSC not 11 chars; ","")))</f>
        <v/>
      </c>
      <c r="AW373" s="46" t="str">
        <f aca="false">IF(AS373="","",AS373+ROW()/100000)</f>
        <v/>
      </c>
      <c r="AX373" s="46" t="str">
        <f aca="false">IF(AT373="","",AT373+ROW()/100000)</f>
        <v/>
      </c>
    </row>
    <row r="374" customFormat="false" ht="15" hidden="false" customHeight="false" outlineLevel="0" collapsed="false">
      <c r="A374" s="9" t="str">
        <f aca="false">IF(B374="","",ROW()-5)</f>
        <v/>
      </c>
      <c r="B374" s="40"/>
      <c r="C374" s="8"/>
      <c r="D374" s="9" t="str">
        <f aca="false">IF(B374="","",IF(J374="","Active","Exited"))</f>
        <v/>
      </c>
      <c r="E374" s="8"/>
      <c r="F374" s="8"/>
      <c r="G374" s="8"/>
      <c r="H374" s="9" t="str">
        <f aca="false">IF(OR(B374="",I374=""),"",IF(IF(J374="",AsOf,J374)-I374&gt;=Settings!$C$13,"Permanent","Probation"))</f>
        <v/>
      </c>
      <c r="I374" s="41"/>
      <c r="J374" s="41"/>
      <c r="K374" s="8"/>
      <c r="L374" s="42" t="str">
        <f aca="false">IF(OR(B374="",I374=""),"",ROUND((IF(J374="",AsOf,J374)-I374)/365.25,1))</f>
        <v/>
      </c>
      <c r="M374" s="8"/>
      <c r="N374" s="8"/>
      <c r="O374" s="8"/>
      <c r="P374" s="8"/>
      <c r="Q374" s="41"/>
      <c r="R374" s="43" t="str">
        <f aca="false">IF(OR(B374="",Q374=""),"",INT((AsOf-Q374)/365.25))</f>
        <v/>
      </c>
      <c r="S374" s="8"/>
      <c r="T374" s="40"/>
      <c r="U374" s="40"/>
      <c r="V374" s="40"/>
      <c r="W374" s="40"/>
      <c r="X374" s="8"/>
      <c r="Y374" s="8"/>
      <c r="Z374" s="8"/>
      <c r="AA374" s="8"/>
      <c r="AB374" s="8"/>
      <c r="AC374" s="8"/>
      <c r="AD374" s="8"/>
      <c r="AE374" s="40"/>
      <c r="AF374" s="8"/>
      <c r="AG374" s="40"/>
      <c r="AH374" s="40"/>
      <c r="AI374" s="8"/>
      <c r="AJ374" s="40"/>
      <c r="AK374" s="40"/>
      <c r="AL374" s="40"/>
      <c r="AM374" s="44"/>
      <c r="AN374" s="44"/>
      <c r="AO374" s="41"/>
      <c r="AP374" s="45" t="str">
        <f aca="false">IF(B374="","",IF(AND(ISNUMBER(AM374),ISNUMBER(AN374),AM374&gt;0,AN374&gt;0),AN374/AM374-1,""))</f>
        <v/>
      </c>
      <c r="AQ374" s="9" t="str">
        <f aca="false">IF(I374="","",(YEAR(I374)-IF(MONTH(I374)&lt;4,1,0))&amp;"-"&amp;RIGHT((YEAR(I374)-IF(MONTH(I374)&lt;4,1,0))+1,2))</f>
        <v/>
      </c>
      <c r="AR374" s="9" t="str">
        <f aca="false">IF(J374="","",(YEAR(J374)-IF(MONTH(J374)&lt;4,1,0))&amp;"-"&amp;RIGHT((YEAR(J374)-IF(MONTH(J374)&lt;4,1,0))+1,2))</f>
        <v/>
      </c>
      <c r="AS374" s="43" t="str">
        <f aca="false">IF(OR(B374="",Q374="",D374&lt;&gt;"Active"),"",DATE(YEAR(AsOf)+IF(DATE(YEAR(AsOf),MONTH(Q374),DAY(Q374))&lt;AsOf,1,0),MONTH(Q374),DAY(Q374))-AsOf)</f>
        <v/>
      </c>
      <c r="AT374" s="43" t="str">
        <f aca="false">IF(OR(B374="",I374="",D374&lt;&gt;"Active"),"",IF(YEAR(DATE(YEAR(AsOf)+IF(DATE(YEAR(AsOf),MONTH(I374),DAY(I374))&lt;AsOf,1,0),MONTH(I374),DAY(I374)))-YEAR(I374)&lt;1,"",DATE(YEAR(AsOf)+IF(DATE(YEAR(AsOf),MONTH(I374),DAY(I374))&lt;AsOf,1,0),MONTH(I374),DAY(I374))-AsOf))</f>
        <v/>
      </c>
      <c r="AU374" s="43" t="str">
        <f aca="false">IF(B374="","",IF(AV374="",0,LEN(AV374)-LEN(SUBSTITUTE(AV374,";",""))))</f>
        <v/>
      </c>
      <c r="AV374" s="9" t="str">
        <f aca="false">IF(B374="","",IF(COUNTIF($B$6:$B$505,B374)&gt;1,"Duplicate Emp Code; ","")&amp;IF(C374="","Name missing; ","")&amp;IF(I374="","DOJ missing; ","")&amp;IF(AND(J374&lt;&gt;"",I374&lt;&gt;"",J374&lt;I374),"Exit before DOJ; ","")&amp;IF(Q374="","DOB missing; ","")&amp;IF(T374="","Aadhaar missing; ",IF(LEN(T374)&lt;&gt;12,"Aadhaar not 12 digits; ",IF(COUNTIF($T$6:$T$505,T374)&gt;1,"Duplicate Aadhaar; ","")))&amp;IF(U374="","PAN missing; ",IF(LEN(U374)&lt;&gt;10,"PAN not 10 chars; ",""))&amp;IF(V374="","Mobile missing; ",IF(LEN(V374)&lt;&gt;10,"Mobile not 10 digits; ",""))&amp;IF(AG374="","Bank A/c missing; ","")&amp;IF(AH374="","IFSC missing; ",IF(LEN(AH374)&lt;&gt;11,"IFSC not 11 chars; ","")))</f>
        <v/>
      </c>
      <c r="AW374" s="46" t="str">
        <f aca="false">IF(AS374="","",AS374+ROW()/100000)</f>
        <v/>
      </c>
      <c r="AX374" s="46" t="str">
        <f aca="false">IF(AT374="","",AT374+ROW()/100000)</f>
        <v/>
      </c>
    </row>
    <row r="375" customFormat="false" ht="15" hidden="false" customHeight="false" outlineLevel="0" collapsed="false">
      <c r="A375" s="9" t="str">
        <f aca="false">IF(B375="","",ROW()-5)</f>
        <v/>
      </c>
      <c r="B375" s="40"/>
      <c r="C375" s="8"/>
      <c r="D375" s="9" t="str">
        <f aca="false">IF(B375="","",IF(J375="","Active","Exited"))</f>
        <v/>
      </c>
      <c r="E375" s="8"/>
      <c r="F375" s="8"/>
      <c r="G375" s="8"/>
      <c r="H375" s="9" t="str">
        <f aca="false">IF(OR(B375="",I375=""),"",IF(IF(J375="",AsOf,J375)-I375&gt;=Settings!$C$13,"Permanent","Probation"))</f>
        <v/>
      </c>
      <c r="I375" s="41"/>
      <c r="J375" s="41"/>
      <c r="K375" s="8"/>
      <c r="L375" s="42" t="str">
        <f aca="false">IF(OR(B375="",I375=""),"",ROUND((IF(J375="",AsOf,J375)-I375)/365.25,1))</f>
        <v/>
      </c>
      <c r="M375" s="8"/>
      <c r="N375" s="8"/>
      <c r="O375" s="8"/>
      <c r="P375" s="8"/>
      <c r="Q375" s="41"/>
      <c r="R375" s="43" t="str">
        <f aca="false">IF(OR(B375="",Q375=""),"",INT((AsOf-Q375)/365.25))</f>
        <v/>
      </c>
      <c r="S375" s="8"/>
      <c r="T375" s="40"/>
      <c r="U375" s="40"/>
      <c r="V375" s="40"/>
      <c r="W375" s="40"/>
      <c r="X375" s="8"/>
      <c r="Y375" s="8"/>
      <c r="Z375" s="8"/>
      <c r="AA375" s="8"/>
      <c r="AB375" s="8"/>
      <c r="AC375" s="8"/>
      <c r="AD375" s="8"/>
      <c r="AE375" s="40"/>
      <c r="AF375" s="8"/>
      <c r="AG375" s="40"/>
      <c r="AH375" s="40"/>
      <c r="AI375" s="8"/>
      <c r="AJ375" s="40"/>
      <c r="AK375" s="40"/>
      <c r="AL375" s="40"/>
      <c r="AM375" s="44"/>
      <c r="AN375" s="44"/>
      <c r="AO375" s="41"/>
      <c r="AP375" s="45" t="str">
        <f aca="false">IF(B375="","",IF(AND(ISNUMBER(AM375),ISNUMBER(AN375),AM375&gt;0,AN375&gt;0),AN375/AM375-1,""))</f>
        <v/>
      </c>
      <c r="AQ375" s="9" t="str">
        <f aca="false">IF(I375="","",(YEAR(I375)-IF(MONTH(I375)&lt;4,1,0))&amp;"-"&amp;RIGHT((YEAR(I375)-IF(MONTH(I375)&lt;4,1,0))+1,2))</f>
        <v/>
      </c>
      <c r="AR375" s="9" t="str">
        <f aca="false">IF(J375="","",(YEAR(J375)-IF(MONTH(J375)&lt;4,1,0))&amp;"-"&amp;RIGHT((YEAR(J375)-IF(MONTH(J375)&lt;4,1,0))+1,2))</f>
        <v/>
      </c>
      <c r="AS375" s="43" t="str">
        <f aca="false">IF(OR(B375="",Q375="",D375&lt;&gt;"Active"),"",DATE(YEAR(AsOf)+IF(DATE(YEAR(AsOf),MONTH(Q375),DAY(Q375))&lt;AsOf,1,0),MONTH(Q375),DAY(Q375))-AsOf)</f>
        <v/>
      </c>
      <c r="AT375" s="43" t="str">
        <f aca="false">IF(OR(B375="",I375="",D375&lt;&gt;"Active"),"",IF(YEAR(DATE(YEAR(AsOf)+IF(DATE(YEAR(AsOf),MONTH(I375),DAY(I375))&lt;AsOf,1,0),MONTH(I375),DAY(I375)))-YEAR(I375)&lt;1,"",DATE(YEAR(AsOf)+IF(DATE(YEAR(AsOf),MONTH(I375),DAY(I375))&lt;AsOf,1,0),MONTH(I375),DAY(I375))-AsOf))</f>
        <v/>
      </c>
      <c r="AU375" s="43" t="str">
        <f aca="false">IF(B375="","",IF(AV375="",0,LEN(AV375)-LEN(SUBSTITUTE(AV375,";",""))))</f>
        <v/>
      </c>
      <c r="AV375" s="9" t="str">
        <f aca="false">IF(B375="","",IF(COUNTIF($B$6:$B$505,B375)&gt;1,"Duplicate Emp Code; ","")&amp;IF(C375="","Name missing; ","")&amp;IF(I375="","DOJ missing; ","")&amp;IF(AND(J375&lt;&gt;"",I375&lt;&gt;"",J375&lt;I375),"Exit before DOJ; ","")&amp;IF(Q375="","DOB missing; ","")&amp;IF(T375="","Aadhaar missing; ",IF(LEN(T375)&lt;&gt;12,"Aadhaar not 12 digits; ",IF(COUNTIF($T$6:$T$505,T375)&gt;1,"Duplicate Aadhaar; ","")))&amp;IF(U375="","PAN missing; ",IF(LEN(U375)&lt;&gt;10,"PAN not 10 chars; ",""))&amp;IF(V375="","Mobile missing; ",IF(LEN(V375)&lt;&gt;10,"Mobile not 10 digits; ",""))&amp;IF(AG375="","Bank A/c missing; ","")&amp;IF(AH375="","IFSC missing; ",IF(LEN(AH375)&lt;&gt;11,"IFSC not 11 chars; ","")))</f>
        <v/>
      </c>
      <c r="AW375" s="46" t="str">
        <f aca="false">IF(AS375="","",AS375+ROW()/100000)</f>
        <v/>
      </c>
      <c r="AX375" s="46" t="str">
        <f aca="false">IF(AT375="","",AT375+ROW()/100000)</f>
        <v/>
      </c>
    </row>
    <row r="376" customFormat="false" ht="15" hidden="false" customHeight="false" outlineLevel="0" collapsed="false">
      <c r="A376" s="9" t="str">
        <f aca="false">IF(B376="","",ROW()-5)</f>
        <v/>
      </c>
      <c r="B376" s="40"/>
      <c r="C376" s="8"/>
      <c r="D376" s="9" t="str">
        <f aca="false">IF(B376="","",IF(J376="","Active","Exited"))</f>
        <v/>
      </c>
      <c r="E376" s="8"/>
      <c r="F376" s="8"/>
      <c r="G376" s="8"/>
      <c r="H376" s="9" t="str">
        <f aca="false">IF(OR(B376="",I376=""),"",IF(IF(J376="",AsOf,J376)-I376&gt;=Settings!$C$13,"Permanent","Probation"))</f>
        <v/>
      </c>
      <c r="I376" s="41"/>
      <c r="J376" s="41"/>
      <c r="K376" s="8"/>
      <c r="L376" s="42" t="str">
        <f aca="false">IF(OR(B376="",I376=""),"",ROUND((IF(J376="",AsOf,J376)-I376)/365.25,1))</f>
        <v/>
      </c>
      <c r="M376" s="8"/>
      <c r="N376" s="8"/>
      <c r="O376" s="8"/>
      <c r="P376" s="8"/>
      <c r="Q376" s="41"/>
      <c r="R376" s="43" t="str">
        <f aca="false">IF(OR(B376="",Q376=""),"",INT((AsOf-Q376)/365.25))</f>
        <v/>
      </c>
      <c r="S376" s="8"/>
      <c r="T376" s="40"/>
      <c r="U376" s="40"/>
      <c r="V376" s="40"/>
      <c r="W376" s="40"/>
      <c r="X376" s="8"/>
      <c r="Y376" s="8"/>
      <c r="Z376" s="8"/>
      <c r="AA376" s="8"/>
      <c r="AB376" s="8"/>
      <c r="AC376" s="8"/>
      <c r="AD376" s="8"/>
      <c r="AE376" s="40"/>
      <c r="AF376" s="8"/>
      <c r="AG376" s="40"/>
      <c r="AH376" s="40"/>
      <c r="AI376" s="8"/>
      <c r="AJ376" s="40"/>
      <c r="AK376" s="40"/>
      <c r="AL376" s="40"/>
      <c r="AM376" s="44"/>
      <c r="AN376" s="44"/>
      <c r="AO376" s="41"/>
      <c r="AP376" s="45" t="str">
        <f aca="false">IF(B376="","",IF(AND(ISNUMBER(AM376),ISNUMBER(AN376),AM376&gt;0,AN376&gt;0),AN376/AM376-1,""))</f>
        <v/>
      </c>
      <c r="AQ376" s="9" t="str">
        <f aca="false">IF(I376="","",(YEAR(I376)-IF(MONTH(I376)&lt;4,1,0))&amp;"-"&amp;RIGHT((YEAR(I376)-IF(MONTH(I376)&lt;4,1,0))+1,2))</f>
        <v/>
      </c>
      <c r="AR376" s="9" t="str">
        <f aca="false">IF(J376="","",(YEAR(J376)-IF(MONTH(J376)&lt;4,1,0))&amp;"-"&amp;RIGHT((YEAR(J376)-IF(MONTH(J376)&lt;4,1,0))+1,2))</f>
        <v/>
      </c>
      <c r="AS376" s="43" t="str">
        <f aca="false">IF(OR(B376="",Q376="",D376&lt;&gt;"Active"),"",DATE(YEAR(AsOf)+IF(DATE(YEAR(AsOf),MONTH(Q376),DAY(Q376))&lt;AsOf,1,0),MONTH(Q376),DAY(Q376))-AsOf)</f>
        <v/>
      </c>
      <c r="AT376" s="43" t="str">
        <f aca="false">IF(OR(B376="",I376="",D376&lt;&gt;"Active"),"",IF(YEAR(DATE(YEAR(AsOf)+IF(DATE(YEAR(AsOf),MONTH(I376),DAY(I376))&lt;AsOf,1,0),MONTH(I376),DAY(I376)))-YEAR(I376)&lt;1,"",DATE(YEAR(AsOf)+IF(DATE(YEAR(AsOf),MONTH(I376),DAY(I376))&lt;AsOf,1,0),MONTH(I376),DAY(I376))-AsOf))</f>
        <v/>
      </c>
      <c r="AU376" s="43" t="str">
        <f aca="false">IF(B376="","",IF(AV376="",0,LEN(AV376)-LEN(SUBSTITUTE(AV376,";",""))))</f>
        <v/>
      </c>
      <c r="AV376" s="9" t="str">
        <f aca="false">IF(B376="","",IF(COUNTIF($B$6:$B$505,B376)&gt;1,"Duplicate Emp Code; ","")&amp;IF(C376="","Name missing; ","")&amp;IF(I376="","DOJ missing; ","")&amp;IF(AND(J376&lt;&gt;"",I376&lt;&gt;"",J376&lt;I376),"Exit before DOJ; ","")&amp;IF(Q376="","DOB missing; ","")&amp;IF(T376="","Aadhaar missing; ",IF(LEN(T376)&lt;&gt;12,"Aadhaar not 12 digits; ",IF(COUNTIF($T$6:$T$505,T376)&gt;1,"Duplicate Aadhaar; ","")))&amp;IF(U376="","PAN missing; ",IF(LEN(U376)&lt;&gt;10,"PAN not 10 chars; ",""))&amp;IF(V376="","Mobile missing; ",IF(LEN(V376)&lt;&gt;10,"Mobile not 10 digits; ",""))&amp;IF(AG376="","Bank A/c missing; ","")&amp;IF(AH376="","IFSC missing; ",IF(LEN(AH376)&lt;&gt;11,"IFSC not 11 chars; ","")))</f>
        <v/>
      </c>
      <c r="AW376" s="46" t="str">
        <f aca="false">IF(AS376="","",AS376+ROW()/100000)</f>
        <v/>
      </c>
      <c r="AX376" s="46" t="str">
        <f aca="false">IF(AT376="","",AT376+ROW()/100000)</f>
        <v/>
      </c>
    </row>
    <row r="377" customFormat="false" ht="15" hidden="false" customHeight="false" outlineLevel="0" collapsed="false">
      <c r="A377" s="9" t="str">
        <f aca="false">IF(B377="","",ROW()-5)</f>
        <v/>
      </c>
      <c r="B377" s="40"/>
      <c r="C377" s="8"/>
      <c r="D377" s="9" t="str">
        <f aca="false">IF(B377="","",IF(J377="","Active","Exited"))</f>
        <v/>
      </c>
      <c r="E377" s="8"/>
      <c r="F377" s="8"/>
      <c r="G377" s="8"/>
      <c r="H377" s="9" t="str">
        <f aca="false">IF(OR(B377="",I377=""),"",IF(IF(J377="",AsOf,J377)-I377&gt;=Settings!$C$13,"Permanent","Probation"))</f>
        <v/>
      </c>
      <c r="I377" s="41"/>
      <c r="J377" s="41"/>
      <c r="K377" s="8"/>
      <c r="L377" s="42" t="str">
        <f aca="false">IF(OR(B377="",I377=""),"",ROUND((IF(J377="",AsOf,J377)-I377)/365.25,1))</f>
        <v/>
      </c>
      <c r="M377" s="8"/>
      <c r="N377" s="8"/>
      <c r="O377" s="8"/>
      <c r="P377" s="8"/>
      <c r="Q377" s="41"/>
      <c r="R377" s="43" t="str">
        <f aca="false">IF(OR(B377="",Q377=""),"",INT((AsOf-Q377)/365.25))</f>
        <v/>
      </c>
      <c r="S377" s="8"/>
      <c r="T377" s="40"/>
      <c r="U377" s="40"/>
      <c r="V377" s="40"/>
      <c r="W377" s="40"/>
      <c r="X377" s="8"/>
      <c r="Y377" s="8"/>
      <c r="Z377" s="8"/>
      <c r="AA377" s="8"/>
      <c r="AB377" s="8"/>
      <c r="AC377" s="8"/>
      <c r="AD377" s="8"/>
      <c r="AE377" s="40"/>
      <c r="AF377" s="8"/>
      <c r="AG377" s="40"/>
      <c r="AH377" s="40"/>
      <c r="AI377" s="8"/>
      <c r="AJ377" s="40"/>
      <c r="AK377" s="40"/>
      <c r="AL377" s="40"/>
      <c r="AM377" s="44"/>
      <c r="AN377" s="44"/>
      <c r="AO377" s="41"/>
      <c r="AP377" s="45" t="str">
        <f aca="false">IF(B377="","",IF(AND(ISNUMBER(AM377),ISNUMBER(AN377),AM377&gt;0,AN377&gt;0),AN377/AM377-1,""))</f>
        <v/>
      </c>
      <c r="AQ377" s="9" t="str">
        <f aca="false">IF(I377="","",(YEAR(I377)-IF(MONTH(I377)&lt;4,1,0))&amp;"-"&amp;RIGHT((YEAR(I377)-IF(MONTH(I377)&lt;4,1,0))+1,2))</f>
        <v/>
      </c>
      <c r="AR377" s="9" t="str">
        <f aca="false">IF(J377="","",(YEAR(J377)-IF(MONTH(J377)&lt;4,1,0))&amp;"-"&amp;RIGHT((YEAR(J377)-IF(MONTH(J377)&lt;4,1,0))+1,2))</f>
        <v/>
      </c>
      <c r="AS377" s="43" t="str">
        <f aca="false">IF(OR(B377="",Q377="",D377&lt;&gt;"Active"),"",DATE(YEAR(AsOf)+IF(DATE(YEAR(AsOf),MONTH(Q377),DAY(Q377))&lt;AsOf,1,0),MONTH(Q377),DAY(Q377))-AsOf)</f>
        <v/>
      </c>
      <c r="AT377" s="43" t="str">
        <f aca="false">IF(OR(B377="",I377="",D377&lt;&gt;"Active"),"",IF(YEAR(DATE(YEAR(AsOf)+IF(DATE(YEAR(AsOf),MONTH(I377),DAY(I377))&lt;AsOf,1,0),MONTH(I377),DAY(I377)))-YEAR(I377)&lt;1,"",DATE(YEAR(AsOf)+IF(DATE(YEAR(AsOf),MONTH(I377),DAY(I377))&lt;AsOf,1,0),MONTH(I377),DAY(I377))-AsOf))</f>
        <v/>
      </c>
      <c r="AU377" s="43" t="str">
        <f aca="false">IF(B377="","",IF(AV377="",0,LEN(AV377)-LEN(SUBSTITUTE(AV377,";",""))))</f>
        <v/>
      </c>
      <c r="AV377" s="9" t="str">
        <f aca="false">IF(B377="","",IF(COUNTIF($B$6:$B$505,B377)&gt;1,"Duplicate Emp Code; ","")&amp;IF(C377="","Name missing; ","")&amp;IF(I377="","DOJ missing; ","")&amp;IF(AND(J377&lt;&gt;"",I377&lt;&gt;"",J377&lt;I377),"Exit before DOJ; ","")&amp;IF(Q377="","DOB missing; ","")&amp;IF(T377="","Aadhaar missing; ",IF(LEN(T377)&lt;&gt;12,"Aadhaar not 12 digits; ",IF(COUNTIF($T$6:$T$505,T377)&gt;1,"Duplicate Aadhaar; ","")))&amp;IF(U377="","PAN missing; ",IF(LEN(U377)&lt;&gt;10,"PAN not 10 chars; ",""))&amp;IF(V377="","Mobile missing; ",IF(LEN(V377)&lt;&gt;10,"Mobile not 10 digits; ",""))&amp;IF(AG377="","Bank A/c missing; ","")&amp;IF(AH377="","IFSC missing; ",IF(LEN(AH377)&lt;&gt;11,"IFSC not 11 chars; ","")))</f>
        <v/>
      </c>
      <c r="AW377" s="46" t="str">
        <f aca="false">IF(AS377="","",AS377+ROW()/100000)</f>
        <v/>
      </c>
      <c r="AX377" s="46" t="str">
        <f aca="false">IF(AT377="","",AT377+ROW()/100000)</f>
        <v/>
      </c>
    </row>
    <row r="378" customFormat="false" ht="15" hidden="false" customHeight="false" outlineLevel="0" collapsed="false">
      <c r="A378" s="9" t="str">
        <f aca="false">IF(B378="","",ROW()-5)</f>
        <v/>
      </c>
      <c r="B378" s="40"/>
      <c r="C378" s="8"/>
      <c r="D378" s="9" t="str">
        <f aca="false">IF(B378="","",IF(J378="","Active","Exited"))</f>
        <v/>
      </c>
      <c r="E378" s="8"/>
      <c r="F378" s="8"/>
      <c r="G378" s="8"/>
      <c r="H378" s="9" t="str">
        <f aca="false">IF(OR(B378="",I378=""),"",IF(IF(J378="",AsOf,J378)-I378&gt;=Settings!$C$13,"Permanent","Probation"))</f>
        <v/>
      </c>
      <c r="I378" s="41"/>
      <c r="J378" s="41"/>
      <c r="K378" s="8"/>
      <c r="L378" s="42" t="str">
        <f aca="false">IF(OR(B378="",I378=""),"",ROUND((IF(J378="",AsOf,J378)-I378)/365.25,1))</f>
        <v/>
      </c>
      <c r="M378" s="8"/>
      <c r="N378" s="8"/>
      <c r="O378" s="8"/>
      <c r="P378" s="8"/>
      <c r="Q378" s="41"/>
      <c r="R378" s="43" t="str">
        <f aca="false">IF(OR(B378="",Q378=""),"",INT((AsOf-Q378)/365.25))</f>
        <v/>
      </c>
      <c r="S378" s="8"/>
      <c r="T378" s="40"/>
      <c r="U378" s="40"/>
      <c r="V378" s="40"/>
      <c r="W378" s="40"/>
      <c r="X378" s="8"/>
      <c r="Y378" s="8"/>
      <c r="Z378" s="8"/>
      <c r="AA378" s="8"/>
      <c r="AB378" s="8"/>
      <c r="AC378" s="8"/>
      <c r="AD378" s="8"/>
      <c r="AE378" s="40"/>
      <c r="AF378" s="8"/>
      <c r="AG378" s="40"/>
      <c r="AH378" s="40"/>
      <c r="AI378" s="8"/>
      <c r="AJ378" s="40"/>
      <c r="AK378" s="40"/>
      <c r="AL378" s="40"/>
      <c r="AM378" s="44"/>
      <c r="AN378" s="44"/>
      <c r="AO378" s="41"/>
      <c r="AP378" s="45" t="str">
        <f aca="false">IF(B378="","",IF(AND(ISNUMBER(AM378),ISNUMBER(AN378),AM378&gt;0,AN378&gt;0),AN378/AM378-1,""))</f>
        <v/>
      </c>
      <c r="AQ378" s="9" t="str">
        <f aca="false">IF(I378="","",(YEAR(I378)-IF(MONTH(I378)&lt;4,1,0))&amp;"-"&amp;RIGHT((YEAR(I378)-IF(MONTH(I378)&lt;4,1,0))+1,2))</f>
        <v/>
      </c>
      <c r="AR378" s="9" t="str">
        <f aca="false">IF(J378="","",(YEAR(J378)-IF(MONTH(J378)&lt;4,1,0))&amp;"-"&amp;RIGHT((YEAR(J378)-IF(MONTH(J378)&lt;4,1,0))+1,2))</f>
        <v/>
      </c>
      <c r="AS378" s="43" t="str">
        <f aca="false">IF(OR(B378="",Q378="",D378&lt;&gt;"Active"),"",DATE(YEAR(AsOf)+IF(DATE(YEAR(AsOf),MONTH(Q378),DAY(Q378))&lt;AsOf,1,0),MONTH(Q378),DAY(Q378))-AsOf)</f>
        <v/>
      </c>
      <c r="AT378" s="43" t="str">
        <f aca="false">IF(OR(B378="",I378="",D378&lt;&gt;"Active"),"",IF(YEAR(DATE(YEAR(AsOf)+IF(DATE(YEAR(AsOf),MONTH(I378),DAY(I378))&lt;AsOf,1,0),MONTH(I378),DAY(I378)))-YEAR(I378)&lt;1,"",DATE(YEAR(AsOf)+IF(DATE(YEAR(AsOf),MONTH(I378),DAY(I378))&lt;AsOf,1,0),MONTH(I378),DAY(I378))-AsOf))</f>
        <v/>
      </c>
      <c r="AU378" s="43" t="str">
        <f aca="false">IF(B378="","",IF(AV378="",0,LEN(AV378)-LEN(SUBSTITUTE(AV378,";",""))))</f>
        <v/>
      </c>
      <c r="AV378" s="9" t="str">
        <f aca="false">IF(B378="","",IF(COUNTIF($B$6:$B$505,B378)&gt;1,"Duplicate Emp Code; ","")&amp;IF(C378="","Name missing; ","")&amp;IF(I378="","DOJ missing; ","")&amp;IF(AND(J378&lt;&gt;"",I378&lt;&gt;"",J378&lt;I378),"Exit before DOJ; ","")&amp;IF(Q378="","DOB missing; ","")&amp;IF(T378="","Aadhaar missing; ",IF(LEN(T378)&lt;&gt;12,"Aadhaar not 12 digits; ",IF(COUNTIF($T$6:$T$505,T378)&gt;1,"Duplicate Aadhaar; ","")))&amp;IF(U378="","PAN missing; ",IF(LEN(U378)&lt;&gt;10,"PAN not 10 chars; ",""))&amp;IF(V378="","Mobile missing; ",IF(LEN(V378)&lt;&gt;10,"Mobile not 10 digits; ",""))&amp;IF(AG378="","Bank A/c missing; ","")&amp;IF(AH378="","IFSC missing; ",IF(LEN(AH378)&lt;&gt;11,"IFSC not 11 chars; ","")))</f>
        <v/>
      </c>
      <c r="AW378" s="46" t="str">
        <f aca="false">IF(AS378="","",AS378+ROW()/100000)</f>
        <v/>
      </c>
      <c r="AX378" s="46" t="str">
        <f aca="false">IF(AT378="","",AT378+ROW()/100000)</f>
        <v/>
      </c>
    </row>
    <row r="379" customFormat="false" ht="15" hidden="false" customHeight="false" outlineLevel="0" collapsed="false">
      <c r="A379" s="9" t="str">
        <f aca="false">IF(B379="","",ROW()-5)</f>
        <v/>
      </c>
      <c r="B379" s="40"/>
      <c r="C379" s="8"/>
      <c r="D379" s="9" t="str">
        <f aca="false">IF(B379="","",IF(J379="","Active","Exited"))</f>
        <v/>
      </c>
      <c r="E379" s="8"/>
      <c r="F379" s="8"/>
      <c r="G379" s="8"/>
      <c r="H379" s="9" t="str">
        <f aca="false">IF(OR(B379="",I379=""),"",IF(IF(J379="",AsOf,J379)-I379&gt;=Settings!$C$13,"Permanent","Probation"))</f>
        <v/>
      </c>
      <c r="I379" s="41"/>
      <c r="J379" s="41"/>
      <c r="K379" s="8"/>
      <c r="L379" s="42" t="str">
        <f aca="false">IF(OR(B379="",I379=""),"",ROUND((IF(J379="",AsOf,J379)-I379)/365.25,1))</f>
        <v/>
      </c>
      <c r="M379" s="8"/>
      <c r="N379" s="8"/>
      <c r="O379" s="8"/>
      <c r="P379" s="8"/>
      <c r="Q379" s="41"/>
      <c r="R379" s="43" t="str">
        <f aca="false">IF(OR(B379="",Q379=""),"",INT((AsOf-Q379)/365.25))</f>
        <v/>
      </c>
      <c r="S379" s="8"/>
      <c r="T379" s="40"/>
      <c r="U379" s="40"/>
      <c r="V379" s="40"/>
      <c r="W379" s="40"/>
      <c r="X379" s="8"/>
      <c r="Y379" s="8"/>
      <c r="Z379" s="8"/>
      <c r="AA379" s="8"/>
      <c r="AB379" s="8"/>
      <c r="AC379" s="8"/>
      <c r="AD379" s="8"/>
      <c r="AE379" s="40"/>
      <c r="AF379" s="8"/>
      <c r="AG379" s="40"/>
      <c r="AH379" s="40"/>
      <c r="AI379" s="8"/>
      <c r="AJ379" s="40"/>
      <c r="AK379" s="40"/>
      <c r="AL379" s="40"/>
      <c r="AM379" s="44"/>
      <c r="AN379" s="44"/>
      <c r="AO379" s="41"/>
      <c r="AP379" s="45" t="str">
        <f aca="false">IF(B379="","",IF(AND(ISNUMBER(AM379),ISNUMBER(AN379),AM379&gt;0,AN379&gt;0),AN379/AM379-1,""))</f>
        <v/>
      </c>
      <c r="AQ379" s="9" t="str">
        <f aca="false">IF(I379="","",(YEAR(I379)-IF(MONTH(I379)&lt;4,1,0))&amp;"-"&amp;RIGHT((YEAR(I379)-IF(MONTH(I379)&lt;4,1,0))+1,2))</f>
        <v/>
      </c>
      <c r="AR379" s="9" t="str">
        <f aca="false">IF(J379="","",(YEAR(J379)-IF(MONTH(J379)&lt;4,1,0))&amp;"-"&amp;RIGHT((YEAR(J379)-IF(MONTH(J379)&lt;4,1,0))+1,2))</f>
        <v/>
      </c>
      <c r="AS379" s="43" t="str">
        <f aca="false">IF(OR(B379="",Q379="",D379&lt;&gt;"Active"),"",DATE(YEAR(AsOf)+IF(DATE(YEAR(AsOf),MONTH(Q379),DAY(Q379))&lt;AsOf,1,0),MONTH(Q379),DAY(Q379))-AsOf)</f>
        <v/>
      </c>
      <c r="AT379" s="43" t="str">
        <f aca="false">IF(OR(B379="",I379="",D379&lt;&gt;"Active"),"",IF(YEAR(DATE(YEAR(AsOf)+IF(DATE(YEAR(AsOf),MONTH(I379),DAY(I379))&lt;AsOf,1,0),MONTH(I379),DAY(I379)))-YEAR(I379)&lt;1,"",DATE(YEAR(AsOf)+IF(DATE(YEAR(AsOf),MONTH(I379),DAY(I379))&lt;AsOf,1,0),MONTH(I379),DAY(I379))-AsOf))</f>
        <v/>
      </c>
      <c r="AU379" s="43" t="str">
        <f aca="false">IF(B379="","",IF(AV379="",0,LEN(AV379)-LEN(SUBSTITUTE(AV379,";",""))))</f>
        <v/>
      </c>
      <c r="AV379" s="9" t="str">
        <f aca="false">IF(B379="","",IF(COUNTIF($B$6:$B$505,B379)&gt;1,"Duplicate Emp Code; ","")&amp;IF(C379="","Name missing; ","")&amp;IF(I379="","DOJ missing; ","")&amp;IF(AND(J379&lt;&gt;"",I379&lt;&gt;"",J379&lt;I379),"Exit before DOJ; ","")&amp;IF(Q379="","DOB missing; ","")&amp;IF(T379="","Aadhaar missing; ",IF(LEN(T379)&lt;&gt;12,"Aadhaar not 12 digits; ",IF(COUNTIF($T$6:$T$505,T379)&gt;1,"Duplicate Aadhaar; ","")))&amp;IF(U379="","PAN missing; ",IF(LEN(U379)&lt;&gt;10,"PAN not 10 chars; ",""))&amp;IF(V379="","Mobile missing; ",IF(LEN(V379)&lt;&gt;10,"Mobile not 10 digits; ",""))&amp;IF(AG379="","Bank A/c missing; ","")&amp;IF(AH379="","IFSC missing; ",IF(LEN(AH379)&lt;&gt;11,"IFSC not 11 chars; ","")))</f>
        <v/>
      </c>
      <c r="AW379" s="46" t="str">
        <f aca="false">IF(AS379="","",AS379+ROW()/100000)</f>
        <v/>
      </c>
      <c r="AX379" s="46" t="str">
        <f aca="false">IF(AT379="","",AT379+ROW()/100000)</f>
        <v/>
      </c>
    </row>
    <row r="380" customFormat="false" ht="15" hidden="false" customHeight="false" outlineLevel="0" collapsed="false">
      <c r="A380" s="9" t="str">
        <f aca="false">IF(B380="","",ROW()-5)</f>
        <v/>
      </c>
      <c r="B380" s="40"/>
      <c r="C380" s="8"/>
      <c r="D380" s="9" t="str">
        <f aca="false">IF(B380="","",IF(J380="","Active","Exited"))</f>
        <v/>
      </c>
      <c r="E380" s="8"/>
      <c r="F380" s="8"/>
      <c r="G380" s="8"/>
      <c r="H380" s="9" t="str">
        <f aca="false">IF(OR(B380="",I380=""),"",IF(IF(J380="",AsOf,J380)-I380&gt;=Settings!$C$13,"Permanent","Probation"))</f>
        <v/>
      </c>
      <c r="I380" s="41"/>
      <c r="J380" s="41"/>
      <c r="K380" s="8"/>
      <c r="L380" s="42" t="str">
        <f aca="false">IF(OR(B380="",I380=""),"",ROUND((IF(J380="",AsOf,J380)-I380)/365.25,1))</f>
        <v/>
      </c>
      <c r="M380" s="8"/>
      <c r="N380" s="8"/>
      <c r="O380" s="8"/>
      <c r="P380" s="8"/>
      <c r="Q380" s="41"/>
      <c r="R380" s="43" t="str">
        <f aca="false">IF(OR(B380="",Q380=""),"",INT((AsOf-Q380)/365.25))</f>
        <v/>
      </c>
      <c r="S380" s="8"/>
      <c r="T380" s="40"/>
      <c r="U380" s="40"/>
      <c r="V380" s="40"/>
      <c r="W380" s="40"/>
      <c r="X380" s="8"/>
      <c r="Y380" s="8"/>
      <c r="Z380" s="8"/>
      <c r="AA380" s="8"/>
      <c r="AB380" s="8"/>
      <c r="AC380" s="8"/>
      <c r="AD380" s="8"/>
      <c r="AE380" s="40"/>
      <c r="AF380" s="8"/>
      <c r="AG380" s="40"/>
      <c r="AH380" s="40"/>
      <c r="AI380" s="8"/>
      <c r="AJ380" s="40"/>
      <c r="AK380" s="40"/>
      <c r="AL380" s="40"/>
      <c r="AM380" s="44"/>
      <c r="AN380" s="44"/>
      <c r="AO380" s="41"/>
      <c r="AP380" s="45" t="str">
        <f aca="false">IF(B380="","",IF(AND(ISNUMBER(AM380),ISNUMBER(AN380),AM380&gt;0,AN380&gt;0),AN380/AM380-1,""))</f>
        <v/>
      </c>
      <c r="AQ380" s="9" t="str">
        <f aca="false">IF(I380="","",(YEAR(I380)-IF(MONTH(I380)&lt;4,1,0))&amp;"-"&amp;RIGHT((YEAR(I380)-IF(MONTH(I380)&lt;4,1,0))+1,2))</f>
        <v/>
      </c>
      <c r="AR380" s="9" t="str">
        <f aca="false">IF(J380="","",(YEAR(J380)-IF(MONTH(J380)&lt;4,1,0))&amp;"-"&amp;RIGHT((YEAR(J380)-IF(MONTH(J380)&lt;4,1,0))+1,2))</f>
        <v/>
      </c>
      <c r="AS380" s="43" t="str">
        <f aca="false">IF(OR(B380="",Q380="",D380&lt;&gt;"Active"),"",DATE(YEAR(AsOf)+IF(DATE(YEAR(AsOf),MONTH(Q380),DAY(Q380))&lt;AsOf,1,0),MONTH(Q380),DAY(Q380))-AsOf)</f>
        <v/>
      </c>
      <c r="AT380" s="43" t="str">
        <f aca="false">IF(OR(B380="",I380="",D380&lt;&gt;"Active"),"",IF(YEAR(DATE(YEAR(AsOf)+IF(DATE(YEAR(AsOf),MONTH(I380),DAY(I380))&lt;AsOf,1,0),MONTH(I380),DAY(I380)))-YEAR(I380)&lt;1,"",DATE(YEAR(AsOf)+IF(DATE(YEAR(AsOf),MONTH(I380),DAY(I380))&lt;AsOf,1,0),MONTH(I380),DAY(I380))-AsOf))</f>
        <v/>
      </c>
      <c r="AU380" s="43" t="str">
        <f aca="false">IF(B380="","",IF(AV380="",0,LEN(AV380)-LEN(SUBSTITUTE(AV380,";",""))))</f>
        <v/>
      </c>
      <c r="AV380" s="9" t="str">
        <f aca="false">IF(B380="","",IF(COUNTIF($B$6:$B$505,B380)&gt;1,"Duplicate Emp Code; ","")&amp;IF(C380="","Name missing; ","")&amp;IF(I380="","DOJ missing; ","")&amp;IF(AND(J380&lt;&gt;"",I380&lt;&gt;"",J380&lt;I380),"Exit before DOJ; ","")&amp;IF(Q380="","DOB missing; ","")&amp;IF(T380="","Aadhaar missing; ",IF(LEN(T380)&lt;&gt;12,"Aadhaar not 12 digits; ",IF(COUNTIF($T$6:$T$505,T380)&gt;1,"Duplicate Aadhaar; ","")))&amp;IF(U380="","PAN missing; ",IF(LEN(U380)&lt;&gt;10,"PAN not 10 chars; ",""))&amp;IF(V380="","Mobile missing; ",IF(LEN(V380)&lt;&gt;10,"Mobile not 10 digits; ",""))&amp;IF(AG380="","Bank A/c missing; ","")&amp;IF(AH380="","IFSC missing; ",IF(LEN(AH380)&lt;&gt;11,"IFSC not 11 chars; ","")))</f>
        <v/>
      </c>
      <c r="AW380" s="46" t="str">
        <f aca="false">IF(AS380="","",AS380+ROW()/100000)</f>
        <v/>
      </c>
      <c r="AX380" s="46" t="str">
        <f aca="false">IF(AT380="","",AT380+ROW()/100000)</f>
        <v/>
      </c>
    </row>
    <row r="381" customFormat="false" ht="15" hidden="false" customHeight="false" outlineLevel="0" collapsed="false">
      <c r="A381" s="9" t="str">
        <f aca="false">IF(B381="","",ROW()-5)</f>
        <v/>
      </c>
      <c r="B381" s="40"/>
      <c r="C381" s="8"/>
      <c r="D381" s="9" t="str">
        <f aca="false">IF(B381="","",IF(J381="","Active","Exited"))</f>
        <v/>
      </c>
      <c r="E381" s="8"/>
      <c r="F381" s="8"/>
      <c r="G381" s="8"/>
      <c r="H381" s="9" t="str">
        <f aca="false">IF(OR(B381="",I381=""),"",IF(IF(J381="",AsOf,J381)-I381&gt;=Settings!$C$13,"Permanent","Probation"))</f>
        <v/>
      </c>
      <c r="I381" s="41"/>
      <c r="J381" s="41"/>
      <c r="K381" s="8"/>
      <c r="L381" s="42" t="str">
        <f aca="false">IF(OR(B381="",I381=""),"",ROUND((IF(J381="",AsOf,J381)-I381)/365.25,1))</f>
        <v/>
      </c>
      <c r="M381" s="8"/>
      <c r="N381" s="8"/>
      <c r="O381" s="8"/>
      <c r="P381" s="8"/>
      <c r="Q381" s="41"/>
      <c r="R381" s="43" t="str">
        <f aca="false">IF(OR(B381="",Q381=""),"",INT((AsOf-Q381)/365.25))</f>
        <v/>
      </c>
      <c r="S381" s="8"/>
      <c r="T381" s="40"/>
      <c r="U381" s="40"/>
      <c r="V381" s="40"/>
      <c r="W381" s="40"/>
      <c r="X381" s="8"/>
      <c r="Y381" s="8"/>
      <c r="Z381" s="8"/>
      <c r="AA381" s="8"/>
      <c r="AB381" s="8"/>
      <c r="AC381" s="8"/>
      <c r="AD381" s="8"/>
      <c r="AE381" s="40"/>
      <c r="AF381" s="8"/>
      <c r="AG381" s="40"/>
      <c r="AH381" s="40"/>
      <c r="AI381" s="8"/>
      <c r="AJ381" s="40"/>
      <c r="AK381" s="40"/>
      <c r="AL381" s="40"/>
      <c r="AM381" s="44"/>
      <c r="AN381" s="44"/>
      <c r="AO381" s="41"/>
      <c r="AP381" s="45" t="str">
        <f aca="false">IF(B381="","",IF(AND(ISNUMBER(AM381),ISNUMBER(AN381),AM381&gt;0,AN381&gt;0),AN381/AM381-1,""))</f>
        <v/>
      </c>
      <c r="AQ381" s="9" t="str">
        <f aca="false">IF(I381="","",(YEAR(I381)-IF(MONTH(I381)&lt;4,1,0))&amp;"-"&amp;RIGHT((YEAR(I381)-IF(MONTH(I381)&lt;4,1,0))+1,2))</f>
        <v/>
      </c>
      <c r="AR381" s="9" t="str">
        <f aca="false">IF(J381="","",(YEAR(J381)-IF(MONTH(J381)&lt;4,1,0))&amp;"-"&amp;RIGHT((YEAR(J381)-IF(MONTH(J381)&lt;4,1,0))+1,2))</f>
        <v/>
      </c>
      <c r="AS381" s="43" t="str">
        <f aca="false">IF(OR(B381="",Q381="",D381&lt;&gt;"Active"),"",DATE(YEAR(AsOf)+IF(DATE(YEAR(AsOf),MONTH(Q381),DAY(Q381))&lt;AsOf,1,0),MONTH(Q381),DAY(Q381))-AsOf)</f>
        <v/>
      </c>
      <c r="AT381" s="43" t="str">
        <f aca="false">IF(OR(B381="",I381="",D381&lt;&gt;"Active"),"",IF(YEAR(DATE(YEAR(AsOf)+IF(DATE(YEAR(AsOf),MONTH(I381),DAY(I381))&lt;AsOf,1,0),MONTH(I381),DAY(I381)))-YEAR(I381)&lt;1,"",DATE(YEAR(AsOf)+IF(DATE(YEAR(AsOf),MONTH(I381),DAY(I381))&lt;AsOf,1,0),MONTH(I381),DAY(I381))-AsOf))</f>
        <v/>
      </c>
      <c r="AU381" s="43" t="str">
        <f aca="false">IF(B381="","",IF(AV381="",0,LEN(AV381)-LEN(SUBSTITUTE(AV381,";",""))))</f>
        <v/>
      </c>
      <c r="AV381" s="9" t="str">
        <f aca="false">IF(B381="","",IF(COUNTIF($B$6:$B$505,B381)&gt;1,"Duplicate Emp Code; ","")&amp;IF(C381="","Name missing; ","")&amp;IF(I381="","DOJ missing; ","")&amp;IF(AND(J381&lt;&gt;"",I381&lt;&gt;"",J381&lt;I381),"Exit before DOJ; ","")&amp;IF(Q381="","DOB missing; ","")&amp;IF(T381="","Aadhaar missing; ",IF(LEN(T381)&lt;&gt;12,"Aadhaar not 12 digits; ",IF(COUNTIF($T$6:$T$505,T381)&gt;1,"Duplicate Aadhaar; ","")))&amp;IF(U381="","PAN missing; ",IF(LEN(U381)&lt;&gt;10,"PAN not 10 chars; ",""))&amp;IF(V381="","Mobile missing; ",IF(LEN(V381)&lt;&gt;10,"Mobile not 10 digits; ",""))&amp;IF(AG381="","Bank A/c missing; ","")&amp;IF(AH381="","IFSC missing; ",IF(LEN(AH381)&lt;&gt;11,"IFSC not 11 chars; ","")))</f>
        <v/>
      </c>
      <c r="AW381" s="46" t="str">
        <f aca="false">IF(AS381="","",AS381+ROW()/100000)</f>
        <v/>
      </c>
      <c r="AX381" s="46" t="str">
        <f aca="false">IF(AT381="","",AT381+ROW()/100000)</f>
        <v/>
      </c>
    </row>
    <row r="382" customFormat="false" ht="15" hidden="false" customHeight="false" outlineLevel="0" collapsed="false">
      <c r="A382" s="9" t="str">
        <f aca="false">IF(B382="","",ROW()-5)</f>
        <v/>
      </c>
      <c r="B382" s="40"/>
      <c r="C382" s="8"/>
      <c r="D382" s="9" t="str">
        <f aca="false">IF(B382="","",IF(J382="","Active","Exited"))</f>
        <v/>
      </c>
      <c r="E382" s="8"/>
      <c r="F382" s="8"/>
      <c r="G382" s="8"/>
      <c r="H382" s="9" t="str">
        <f aca="false">IF(OR(B382="",I382=""),"",IF(IF(J382="",AsOf,J382)-I382&gt;=Settings!$C$13,"Permanent","Probation"))</f>
        <v/>
      </c>
      <c r="I382" s="41"/>
      <c r="J382" s="41"/>
      <c r="K382" s="8"/>
      <c r="L382" s="42" t="str">
        <f aca="false">IF(OR(B382="",I382=""),"",ROUND((IF(J382="",AsOf,J382)-I382)/365.25,1))</f>
        <v/>
      </c>
      <c r="M382" s="8"/>
      <c r="N382" s="8"/>
      <c r="O382" s="8"/>
      <c r="P382" s="8"/>
      <c r="Q382" s="41"/>
      <c r="R382" s="43" t="str">
        <f aca="false">IF(OR(B382="",Q382=""),"",INT((AsOf-Q382)/365.25))</f>
        <v/>
      </c>
      <c r="S382" s="8"/>
      <c r="T382" s="40"/>
      <c r="U382" s="40"/>
      <c r="V382" s="40"/>
      <c r="W382" s="40"/>
      <c r="X382" s="8"/>
      <c r="Y382" s="8"/>
      <c r="Z382" s="8"/>
      <c r="AA382" s="8"/>
      <c r="AB382" s="8"/>
      <c r="AC382" s="8"/>
      <c r="AD382" s="8"/>
      <c r="AE382" s="40"/>
      <c r="AF382" s="8"/>
      <c r="AG382" s="40"/>
      <c r="AH382" s="40"/>
      <c r="AI382" s="8"/>
      <c r="AJ382" s="40"/>
      <c r="AK382" s="40"/>
      <c r="AL382" s="40"/>
      <c r="AM382" s="44"/>
      <c r="AN382" s="44"/>
      <c r="AO382" s="41"/>
      <c r="AP382" s="45" t="str">
        <f aca="false">IF(B382="","",IF(AND(ISNUMBER(AM382),ISNUMBER(AN382),AM382&gt;0,AN382&gt;0),AN382/AM382-1,""))</f>
        <v/>
      </c>
      <c r="AQ382" s="9" t="str">
        <f aca="false">IF(I382="","",(YEAR(I382)-IF(MONTH(I382)&lt;4,1,0))&amp;"-"&amp;RIGHT((YEAR(I382)-IF(MONTH(I382)&lt;4,1,0))+1,2))</f>
        <v/>
      </c>
      <c r="AR382" s="9" t="str">
        <f aca="false">IF(J382="","",(YEAR(J382)-IF(MONTH(J382)&lt;4,1,0))&amp;"-"&amp;RIGHT((YEAR(J382)-IF(MONTH(J382)&lt;4,1,0))+1,2))</f>
        <v/>
      </c>
      <c r="AS382" s="43" t="str">
        <f aca="false">IF(OR(B382="",Q382="",D382&lt;&gt;"Active"),"",DATE(YEAR(AsOf)+IF(DATE(YEAR(AsOf),MONTH(Q382),DAY(Q382))&lt;AsOf,1,0),MONTH(Q382),DAY(Q382))-AsOf)</f>
        <v/>
      </c>
      <c r="AT382" s="43" t="str">
        <f aca="false">IF(OR(B382="",I382="",D382&lt;&gt;"Active"),"",IF(YEAR(DATE(YEAR(AsOf)+IF(DATE(YEAR(AsOf),MONTH(I382),DAY(I382))&lt;AsOf,1,0),MONTH(I382),DAY(I382)))-YEAR(I382)&lt;1,"",DATE(YEAR(AsOf)+IF(DATE(YEAR(AsOf),MONTH(I382),DAY(I382))&lt;AsOf,1,0),MONTH(I382),DAY(I382))-AsOf))</f>
        <v/>
      </c>
      <c r="AU382" s="43" t="str">
        <f aca="false">IF(B382="","",IF(AV382="",0,LEN(AV382)-LEN(SUBSTITUTE(AV382,";",""))))</f>
        <v/>
      </c>
      <c r="AV382" s="9" t="str">
        <f aca="false">IF(B382="","",IF(COUNTIF($B$6:$B$505,B382)&gt;1,"Duplicate Emp Code; ","")&amp;IF(C382="","Name missing; ","")&amp;IF(I382="","DOJ missing; ","")&amp;IF(AND(J382&lt;&gt;"",I382&lt;&gt;"",J382&lt;I382),"Exit before DOJ; ","")&amp;IF(Q382="","DOB missing; ","")&amp;IF(T382="","Aadhaar missing; ",IF(LEN(T382)&lt;&gt;12,"Aadhaar not 12 digits; ",IF(COUNTIF($T$6:$T$505,T382)&gt;1,"Duplicate Aadhaar; ","")))&amp;IF(U382="","PAN missing; ",IF(LEN(U382)&lt;&gt;10,"PAN not 10 chars; ",""))&amp;IF(V382="","Mobile missing; ",IF(LEN(V382)&lt;&gt;10,"Mobile not 10 digits; ",""))&amp;IF(AG382="","Bank A/c missing; ","")&amp;IF(AH382="","IFSC missing; ",IF(LEN(AH382)&lt;&gt;11,"IFSC not 11 chars; ","")))</f>
        <v/>
      </c>
      <c r="AW382" s="46" t="str">
        <f aca="false">IF(AS382="","",AS382+ROW()/100000)</f>
        <v/>
      </c>
      <c r="AX382" s="46" t="str">
        <f aca="false">IF(AT382="","",AT382+ROW()/100000)</f>
        <v/>
      </c>
    </row>
    <row r="383" customFormat="false" ht="15" hidden="false" customHeight="false" outlineLevel="0" collapsed="false">
      <c r="A383" s="9" t="str">
        <f aca="false">IF(B383="","",ROW()-5)</f>
        <v/>
      </c>
      <c r="B383" s="40"/>
      <c r="C383" s="8"/>
      <c r="D383" s="9" t="str">
        <f aca="false">IF(B383="","",IF(J383="","Active","Exited"))</f>
        <v/>
      </c>
      <c r="E383" s="8"/>
      <c r="F383" s="8"/>
      <c r="G383" s="8"/>
      <c r="H383" s="9" t="str">
        <f aca="false">IF(OR(B383="",I383=""),"",IF(IF(J383="",AsOf,J383)-I383&gt;=Settings!$C$13,"Permanent","Probation"))</f>
        <v/>
      </c>
      <c r="I383" s="41"/>
      <c r="J383" s="41"/>
      <c r="K383" s="8"/>
      <c r="L383" s="42" t="str">
        <f aca="false">IF(OR(B383="",I383=""),"",ROUND((IF(J383="",AsOf,J383)-I383)/365.25,1))</f>
        <v/>
      </c>
      <c r="M383" s="8"/>
      <c r="N383" s="8"/>
      <c r="O383" s="8"/>
      <c r="P383" s="8"/>
      <c r="Q383" s="41"/>
      <c r="R383" s="43" t="str">
        <f aca="false">IF(OR(B383="",Q383=""),"",INT((AsOf-Q383)/365.25))</f>
        <v/>
      </c>
      <c r="S383" s="8"/>
      <c r="T383" s="40"/>
      <c r="U383" s="40"/>
      <c r="V383" s="40"/>
      <c r="W383" s="40"/>
      <c r="X383" s="8"/>
      <c r="Y383" s="8"/>
      <c r="Z383" s="8"/>
      <c r="AA383" s="8"/>
      <c r="AB383" s="8"/>
      <c r="AC383" s="8"/>
      <c r="AD383" s="8"/>
      <c r="AE383" s="40"/>
      <c r="AF383" s="8"/>
      <c r="AG383" s="40"/>
      <c r="AH383" s="40"/>
      <c r="AI383" s="8"/>
      <c r="AJ383" s="40"/>
      <c r="AK383" s="40"/>
      <c r="AL383" s="40"/>
      <c r="AM383" s="44"/>
      <c r="AN383" s="44"/>
      <c r="AO383" s="41"/>
      <c r="AP383" s="45" t="str">
        <f aca="false">IF(B383="","",IF(AND(ISNUMBER(AM383),ISNUMBER(AN383),AM383&gt;0,AN383&gt;0),AN383/AM383-1,""))</f>
        <v/>
      </c>
      <c r="AQ383" s="9" t="str">
        <f aca="false">IF(I383="","",(YEAR(I383)-IF(MONTH(I383)&lt;4,1,0))&amp;"-"&amp;RIGHT((YEAR(I383)-IF(MONTH(I383)&lt;4,1,0))+1,2))</f>
        <v/>
      </c>
      <c r="AR383" s="9" t="str">
        <f aca="false">IF(J383="","",(YEAR(J383)-IF(MONTH(J383)&lt;4,1,0))&amp;"-"&amp;RIGHT((YEAR(J383)-IF(MONTH(J383)&lt;4,1,0))+1,2))</f>
        <v/>
      </c>
      <c r="AS383" s="43" t="str">
        <f aca="false">IF(OR(B383="",Q383="",D383&lt;&gt;"Active"),"",DATE(YEAR(AsOf)+IF(DATE(YEAR(AsOf),MONTH(Q383),DAY(Q383))&lt;AsOf,1,0),MONTH(Q383),DAY(Q383))-AsOf)</f>
        <v/>
      </c>
      <c r="AT383" s="43" t="str">
        <f aca="false">IF(OR(B383="",I383="",D383&lt;&gt;"Active"),"",IF(YEAR(DATE(YEAR(AsOf)+IF(DATE(YEAR(AsOf),MONTH(I383),DAY(I383))&lt;AsOf,1,0),MONTH(I383),DAY(I383)))-YEAR(I383)&lt;1,"",DATE(YEAR(AsOf)+IF(DATE(YEAR(AsOf),MONTH(I383),DAY(I383))&lt;AsOf,1,0),MONTH(I383),DAY(I383))-AsOf))</f>
        <v/>
      </c>
      <c r="AU383" s="43" t="str">
        <f aca="false">IF(B383="","",IF(AV383="",0,LEN(AV383)-LEN(SUBSTITUTE(AV383,";",""))))</f>
        <v/>
      </c>
      <c r="AV383" s="9" t="str">
        <f aca="false">IF(B383="","",IF(COUNTIF($B$6:$B$505,B383)&gt;1,"Duplicate Emp Code; ","")&amp;IF(C383="","Name missing; ","")&amp;IF(I383="","DOJ missing; ","")&amp;IF(AND(J383&lt;&gt;"",I383&lt;&gt;"",J383&lt;I383),"Exit before DOJ; ","")&amp;IF(Q383="","DOB missing; ","")&amp;IF(T383="","Aadhaar missing; ",IF(LEN(T383)&lt;&gt;12,"Aadhaar not 12 digits; ",IF(COUNTIF($T$6:$T$505,T383)&gt;1,"Duplicate Aadhaar; ","")))&amp;IF(U383="","PAN missing; ",IF(LEN(U383)&lt;&gt;10,"PAN not 10 chars; ",""))&amp;IF(V383="","Mobile missing; ",IF(LEN(V383)&lt;&gt;10,"Mobile not 10 digits; ",""))&amp;IF(AG383="","Bank A/c missing; ","")&amp;IF(AH383="","IFSC missing; ",IF(LEN(AH383)&lt;&gt;11,"IFSC not 11 chars; ","")))</f>
        <v/>
      </c>
      <c r="AW383" s="46" t="str">
        <f aca="false">IF(AS383="","",AS383+ROW()/100000)</f>
        <v/>
      </c>
      <c r="AX383" s="46" t="str">
        <f aca="false">IF(AT383="","",AT383+ROW()/100000)</f>
        <v/>
      </c>
    </row>
    <row r="384" customFormat="false" ht="15" hidden="false" customHeight="false" outlineLevel="0" collapsed="false">
      <c r="A384" s="9" t="str">
        <f aca="false">IF(B384="","",ROW()-5)</f>
        <v/>
      </c>
      <c r="B384" s="40"/>
      <c r="C384" s="8"/>
      <c r="D384" s="9" t="str">
        <f aca="false">IF(B384="","",IF(J384="","Active","Exited"))</f>
        <v/>
      </c>
      <c r="E384" s="8"/>
      <c r="F384" s="8"/>
      <c r="G384" s="8"/>
      <c r="H384" s="9" t="str">
        <f aca="false">IF(OR(B384="",I384=""),"",IF(IF(J384="",AsOf,J384)-I384&gt;=Settings!$C$13,"Permanent","Probation"))</f>
        <v/>
      </c>
      <c r="I384" s="41"/>
      <c r="J384" s="41"/>
      <c r="K384" s="8"/>
      <c r="L384" s="42" t="str">
        <f aca="false">IF(OR(B384="",I384=""),"",ROUND((IF(J384="",AsOf,J384)-I384)/365.25,1))</f>
        <v/>
      </c>
      <c r="M384" s="8"/>
      <c r="N384" s="8"/>
      <c r="O384" s="8"/>
      <c r="P384" s="8"/>
      <c r="Q384" s="41"/>
      <c r="R384" s="43" t="str">
        <f aca="false">IF(OR(B384="",Q384=""),"",INT((AsOf-Q384)/365.25))</f>
        <v/>
      </c>
      <c r="S384" s="8"/>
      <c r="T384" s="40"/>
      <c r="U384" s="40"/>
      <c r="V384" s="40"/>
      <c r="W384" s="40"/>
      <c r="X384" s="8"/>
      <c r="Y384" s="8"/>
      <c r="Z384" s="8"/>
      <c r="AA384" s="8"/>
      <c r="AB384" s="8"/>
      <c r="AC384" s="8"/>
      <c r="AD384" s="8"/>
      <c r="AE384" s="40"/>
      <c r="AF384" s="8"/>
      <c r="AG384" s="40"/>
      <c r="AH384" s="40"/>
      <c r="AI384" s="8"/>
      <c r="AJ384" s="40"/>
      <c r="AK384" s="40"/>
      <c r="AL384" s="40"/>
      <c r="AM384" s="44"/>
      <c r="AN384" s="44"/>
      <c r="AO384" s="41"/>
      <c r="AP384" s="45" t="str">
        <f aca="false">IF(B384="","",IF(AND(ISNUMBER(AM384),ISNUMBER(AN384),AM384&gt;0,AN384&gt;0),AN384/AM384-1,""))</f>
        <v/>
      </c>
      <c r="AQ384" s="9" t="str">
        <f aca="false">IF(I384="","",(YEAR(I384)-IF(MONTH(I384)&lt;4,1,0))&amp;"-"&amp;RIGHT((YEAR(I384)-IF(MONTH(I384)&lt;4,1,0))+1,2))</f>
        <v/>
      </c>
      <c r="AR384" s="9" t="str">
        <f aca="false">IF(J384="","",(YEAR(J384)-IF(MONTH(J384)&lt;4,1,0))&amp;"-"&amp;RIGHT((YEAR(J384)-IF(MONTH(J384)&lt;4,1,0))+1,2))</f>
        <v/>
      </c>
      <c r="AS384" s="43" t="str">
        <f aca="false">IF(OR(B384="",Q384="",D384&lt;&gt;"Active"),"",DATE(YEAR(AsOf)+IF(DATE(YEAR(AsOf),MONTH(Q384),DAY(Q384))&lt;AsOf,1,0),MONTH(Q384),DAY(Q384))-AsOf)</f>
        <v/>
      </c>
      <c r="AT384" s="43" t="str">
        <f aca="false">IF(OR(B384="",I384="",D384&lt;&gt;"Active"),"",IF(YEAR(DATE(YEAR(AsOf)+IF(DATE(YEAR(AsOf),MONTH(I384),DAY(I384))&lt;AsOf,1,0),MONTH(I384),DAY(I384)))-YEAR(I384)&lt;1,"",DATE(YEAR(AsOf)+IF(DATE(YEAR(AsOf),MONTH(I384),DAY(I384))&lt;AsOf,1,0),MONTH(I384),DAY(I384))-AsOf))</f>
        <v/>
      </c>
      <c r="AU384" s="43" t="str">
        <f aca="false">IF(B384="","",IF(AV384="",0,LEN(AV384)-LEN(SUBSTITUTE(AV384,";",""))))</f>
        <v/>
      </c>
      <c r="AV384" s="9" t="str">
        <f aca="false">IF(B384="","",IF(COUNTIF($B$6:$B$505,B384)&gt;1,"Duplicate Emp Code; ","")&amp;IF(C384="","Name missing; ","")&amp;IF(I384="","DOJ missing; ","")&amp;IF(AND(J384&lt;&gt;"",I384&lt;&gt;"",J384&lt;I384),"Exit before DOJ; ","")&amp;IF(Q384="","DOB missing; ","")&amp;IF(T384="","Aadhaar missing; ",IF(LEN(T384)&lt;&gt;12,"Aadhaar not 12 digits; ",IF(COUNTIF($T$6:$T$505,T384)&gt;1,"Duplicate Aadhaar; ","")))&amp;IF(U384="","PAN missing; ",IF(LEN(U384)&lt;&gt;10,"PAN not 10 chars; ",""))&amp;IF(V384="","Mobile missing; ",IF(LEN(V384)&lt;&gt;10,"Mobile not 10 digits; ",""))&amp;IF(AG384="","Bank A/c missing; ","")&amp;IF(AH384="","IFSC missing; ",IF(LEN(AH384)&lt;&gt;11,"IFSC not 11 chars; ","")))</f>
        <v/>
      </c>
      <c r="AW384" s="46" t="str">
        <f aca="false">IF(AS384="","",AS384+ROW()/100000)</f>
        <v/>
      </c>
      <c r="AX384" s="46" t="str">
        <f aca="false">IF(AT384="","",AT384+ROW()/100000)</f>
        <v/>
      </c>
    </row>
    <row r="385" customFormat="false" ht="15" hidden="false" customHeight="false" outlineLevel="0" collapsed="false">
      <c r="A385" s="9" t="str">
        <f aca="false">IF(B385="","",ROW()-5)</f>
        <v/>
      </c>
      <c r="B385" s="40"/>
      <c r="C385" s="8"/>
      <c r="D385" s="9" t="str">
        <f aca="false">IF(B385="","",IF(J385="","Active","Exited"))</f>
        <v/>
      </c>
      <c r="E385" s="8"/>
      <c r="F385" s="8"/>
      <c r="G385" s="8"/>
      <c r="H385" s="9" t="str">
        <f aca="false">IF(OR(B385="",I385=""),"",IF(IF(J385="",AsOf,J385)-I385&gt;=Settings!$C$13,"Permanent","Probation"))</f>
        <v/>
      </c>
      <c r="I385" s="41"/>
      <c r="J385" s="41"/>
      <c r="K385" s="8"/>
      <c r="L385" s="42" t="str">
        <f aca="false">IF(OR(B385="",I385=""),"",ROUND((IF(J385="",AsOf,J385)-I385)/365.25,1))</f>
        <v/>
      </c>
      <c r="M385" s="8"/>
      <c r="N385" s="8"/>
      <c r="O385" s="8"/>
      <c r="P385" s="8"/>
      <c r="Q385" s="41"/>
      <c r="R385" s="43" t="str">
        <f aca="false">IF(OR(B385="",Q385=""),"",INT((AsOf-Q385)/365.25))</f>
        <v/>
      </c>
      <c r="S385" s="8"/>
      <c r="T385" s="40"/>
      <c r="U385" s="40"/>
      <c r="V385" s="40"/>
      <c r="W385" s="40"/>
      <c r="X385" s="8"/>
      <c r="Y385" s="8"/>
      <c r="Z385" s="8"/>
      <c r="AA385" s="8"/>
      <c r="AB385" s="8"/>
      <c r="AC385" s="8"/>
      <c r="AD385" s="8"/>
      <c r="AE385" s="40"/>
      <c r="AF385" s="8"/>
      <c r="AG385" s="40"/>
      <c r="AH385" s="40"/>
      <c r="AI385" s="8"/>
      <c r="AJ385" s="40"/>
      <c r="AK385" s="40"/>
      <c r="AL385" s="40"/>
      <c r="AM385" s="44"/>
      <c r="AN385" s="44"/>
      <c r="AO385" s="41"/>
      <c r="AP385" s="45" t="str">
        <f aca="false">IF(B385="","",IF(AND(ISNUMBER(AM385),ISNUMBER(AN385),AM385&gt;0,AN385&gt;0),AN385/AM385-1,""))</f>
        <v/>
      </c>
      <c r="AQ385" s="9" t="str">
        <f aca="false">IF(I385="","",(YEAR(I385)-IF(MONTH(I385)&lt;4,1,0))&amp;"-"&amp;RIGHT((YEAR(I385)-IF(MONTH(I385)&lt;4,1,0))+1,2))</f>
        <v/>
      </c>
      <c r="AR385" s="9" t="str">
        <f aca="false">IF(J385="","",(YEAR(J385)-IF(MONTH(J385)&lt;4,1,0))&amp;"-"&amp;RIGHT((YEAR(J385)-IF(MONTH(J385)&lt;4,1,0))+1,2))</f>
        <v/>
      </c>
      <c r="AS385" s="43" t="str">
        <f aca="false">IF(OR(B385="",Q385="",D385&lt;&gt;"Active"),"",DATE(YEAR(AsOf)+IF(DATE(YEAR(AsOf),MONTH(Q385),DAY(Q385))&lt;AsOf,1,0),MONTH(Q385),DAY(Q385))-AsOf)</f>
        <v/>
      </c>
      <c r="AT385" s="43" t="str">
        <f aca="false">IF(OR(B385="",I385="",D385&lt;&gt;"Active"),"",IF(YEAR(DATE(YEAR(AsOf)+IF(DATE(YEAR(AsOf),MONTH(I385),DAY(I385))&lt;AsOf,1,0),MONTH(I385),DAY(I385)))-YEAR(I385)&lt;1,"",DATE(YEAR(AsOf)+IF(DATE(YEAR(AsOf),MONTH(I385),DAY(I385))&lt;AsOf,1,0),MONTH(I385),DAY(I385))-AsOf))</f>
        <v/>
      </c>
      <c r="AU385" s="43" t="str">
        <f aca="false">IF(B385="","",IF(AV385="",0,LEN(AV385)-LEN(SUBSTITUTE(AV385,";",""))))</f>
        <v/>
      </c>
      <c r="AV385" s="9" t="str">
        <f aca="false">IF(B385="","",IF(COUNTIF($B$6:$B$505,B385)&gt;1,"Duplicate Emp Code; ","")&amp;IF(C385="","Name missing; ","")&amp;IF(I385="","DOJ missing; ","")&amp;IF(AND(J385&lt;&gt;"",I385&lt;&gt;"",J385&lt;I385),"Exit before DOJ; ","")&amp;IF(Q385="","DOB missing; ","")&amp;IF(T385="","Aadhaar missing; ",IF(LEN(T385)&lt;&gt;12,"Aadhaar not 12 digits; ",IF(COUNTIF($T$6:$T$505,T385)&gt;1,"Duplicate Aadhaar; ","")))&amp;IF(U385="","PAN missing; ",IF(LEN(U385)&lt;&gt;10,"PAN not 10 chars; ",""))&amp;IF(V385="","Mobile missing; ",IF(LEN(V385)&lt;&gt;10,"Mobile not 10 digits; ",""))&amp;IF(AG385="","Bank A/c missing; ","")&amp;IF(AH385="","IFSC missing; ",IF(LEN(AH385)&lt;&gt;11,"IFSC not 11 chars; ","")))</f>
        <v/>
      </c>
      <c r="AW385" s="46" t="str">
        <f aca="false">IF(AS385="","",AS385+ROW()/100000)</f>
        <v/>
      </c>
      <c r="AX385" s="46" t="str">
        <f aca="false">IF(AT385="","",AT385+ROW()/100000)</f>
        <v/>
      </c>
    </row>
    <row r="386" customFormat="false" ht="15" hidden="false" customHeight="false" outlineLevel="0" collapsed="false">
      <c r="A386" s="9" t="str">
        <f aca="false">IF(B386="","",ROW()-5)</f>
        <v/>
      </c>
      <c r="B386" s="40"/>
      <c r="C386" s="8"/>
      <c r="D386" s="9" t="str">
        <f aca="false">IF(B386="","",IF(J386="","Active","Exited"))</f>
        <v/>
      </c>
      <c r="E386" s="8"/>
      <c r="F386" s="8"/>
      <c r="G386" s="8"/>
      <c r="H386" s="9" t="str">
        <f aca="false">IF(OR(B386="",I386=""),"",IF(IF(J386="",AsOf,J386)-I386&gt;=Settings!$C$13,"Permanent","Probation"))</f>
        <v/>
      </c>
      <c r="I386" s="41"/>
      <c r="J386" s="41"/>
      <c r="K386" s="8"/>
      <c r="L386" s="42" t="str">
        <f aca="false">IF(OR(B386="",I386=""),"",ROUND((IF(J386="",AsOf,J386)-I386)/365.25,1))</f>
        <v/>
      </c>
      <c r="M386" s="8"/>
      <c r="N386" s="8"/>
      <c r="O386" s="8"/>
      <c r="P386" s="8"/>
      <c r="Q386" s="41"/>
      <c r="R386" s="43" t="str">
        <f aca="false">IF(OR(B386="",Q386=""),"",INT((AsOf-Q386)/365.25))</f>
        <v/>
      </c>
      <c r="S386" s="8"/>
      <c r="T386" s="40"/>
      <c r="U386" s="40"/>
      <c r="V386" s="40"/>
      <c r="W386" s="40"/>
      <c r="X386" s="8"/>
      <c r="Y386" s="8"/>
      <c r="Z386" s="8"/>
      <c r="AA386" s="8"/>
      <c r="AB386" s="8"/>
      <c r="AC386" s="8"/>
      <c r="AD386" s="8"/>
      <c r="AE386" s="40"/>
      <c r="AF386" s="8"/>
      <c r="AG386" s="40"/>
      <c r="AH386" s="40"/>
      <c r="AI386" s="8"/>
      <c r="AJ386" s="40"/>
      <c r="AK386" s="40"/>
      <c r="AL386" s="40"/>
      <c r="AM386" s="44"/>
      <c r="AN386" s="44"/>
      <c r="AO386" s="41"/>
      <c r="AP386" s="45" t="str">
        <f aca="false">IF(B386="","",IF(AND(ISNUMBER(AM386),ISNUMBER(AN386),AM386&gt;0,AN386&gt;0),AN386/AM386-1,""))</f>
        <v/>
      </c>
      <c r="AQ386" s="9" t="str">
        <f aca="false">IF(I386="","",(YEAR(I386)-IF(MONTH(I386)&lt;4,1,0))&amp;"-"&amp;RIGHT((YEAR(I386)-IF(MONTH(I386)&lt;4,1,0))+1,2))</f>
        <v/>
      </c>
      <c r="AR386" s="9" t="str">
        <f aca="false">IF(J386="","",(YEAR(J386)-IF(MONTH(J386)&lt;4,1,0))&amp;"-"&amp;RIGHT((YEAR(J386)-IF(MONTH(J386)&lt;4,1,0))+1,2))</f>
        <v/>
      </c>
      <c r="AS386" s="43" t="str">
        <f aca="false">IF(OR(B386="",Q386="",D386&lt;&gt;"Active"),"",DATE(YEAR(AsOf)+IF(DATE(YEAR(AsOf),MONTH(Q386),DAY(Q386))&lt;AsOf,1,0),MONTH(Q386),DAY(Q386))-AsOf)</f>
        <v/>
      </c>
      <c r="AT386" s="43" t="str">
        <f aca="false">IF(OR(B386="",I386="",D386&lt;&gt;"Active"),"",IF(YEAR(DATE(YEAR(AsOf)+IF(DATE(YEAR(AsOf),MONTH(I386),DAY(I386))&lt;AsOf,1,0),MONTH(I386),DAY(I386)))-YEAR(I386)&lt;1,"",DATE(YEAR(AsOf)+IF(DATE(YEAR(AsOf),MONTH(I386),DAY(I386))&lt;AsOf,1,0),MONTH(I386),DAY(I386))-AsOf))</f>
        <v/>
      </c>
      <c r="AU386" s="43" t="str">
        <f aca="false">IF(B386="","",IF(AV386="",0,LEN(AV386)-LEN(SUBSTITUTE(AV386,";",""))))</f>
        <v/>
      </c>
      <c r="AV386" s="9" t="str">
        <f aca="false">IF(B386="","",IF(COUNTIF($B$6:$B$505,B386)&gt;1,"Duplicate Emp Code; ","")&amp;IF(C386="","Name missing; ","")&amp;IF(I386="","DOJ missing; ","")&amp;IF(AND(J386&lt;&gt;"",I386&lt;&gt;"",J386&lt;I386),"Exit before DOJ; ","")&amp;IF(Q386="","DOB missing; ","")&amp;IF(T386="","Aadhaar missing; ",IF(LEN(T386)&lt;&gt;12,"Aadhaar not 12 digits; ",IF(COUNTIF($T$6:$T$505,T386)&gt;1,"Duplicate Aadhaar; ","")))&amp;IF(U386="","PAN missing; ",IF(LEN(U386)&lt;&gt;10,"PAN not 10 chars; ",""))&amp;IF(V386="","Mobile missing; ",IF(LEN(V386)&lt;&gt;10,"Mobile not 10 digits; ",""))&amp;IF(AG386="","Bank A/c missing; ","")&amp;IF(AH386="","IFSC missing; ",IF(LEN(AH386)&lt;&gt;11,"IFSC not 11 chars; ","")))</f>
        <v/>
      </c>
      <c r="AW386" s="46" t="str">
        <f aca="false">IF(AS386="","",AS386+ROW()/100000)</f>
        <v/>
      </c>
      <c r="AX386" s="46" t="str">
        <f aca="false">IF(AT386="","",AT386+ROW()/100000)</f>
        <v/>
      </c>
    </row>
    <row r="387" customFormat="false" ht="15" hidden="false" customHeight="false" outlineLevel="0" collapsed="false">
      <c r="A387" s="9" t="str">
        <f aca="false">IF(B387="","",ROW()-5)</f>
        <v/>
      </c>
      <c r="B387" s="40"/>
      <c r="C387" s="8"/>
      <c r="D387" s="9" t="str">
        <f aca="false">IF(B387="","",IF(J387="","Active","Exited"))</f>
        <v/>
      </c>
      <c r="E387" s="8"/>
      <c r="F387" s="8"/>
      <c r="G387" s="8"/>
      <c r="H387" s="9" t="str">
        <f aca="false">IF(OR(B387="",I387=""),"",IF(IF(J387="",AsOf,J387)-I387&gt;=Settings!$C$13,"Permanent","Probation"))</f>
        <v/>
      </c>
      <c r="I387" s="41"/>
      <c r="J387" s="41"/>
      <c r="K387" s="8"/>
      <c r="L387" s="42" t="str">
        <f aca="false">IF(OR(B387="",I387=""),"",ROUND((IF(J387="",AsOf,J387)-I387)/365.25,1))</f>
        <v/>
      </c>
      <c r="M387" s="8"/>
      <c r="N387" s="8"/>
      <c r="O387" s="8"/>
      <c r="P387" s="8"/>
      <c r="Q387" s="41"/>
      <c r="R387" s="43" t="str">
        <f aca="false">IF(OR(B387="",Q387=""),"",INT((AsOf-Q387)/365.25))</f>
        <v/>
      </c>
      <c r="S387" s="8"/>
      <c r="T387" s="40"/>
      <c r="U387" s="40"/>
      <c r="V387" s="40"/>
      <c r="W387" s="40"/>
      <c r="X387" s="8"/>
      <c r="Y387" s="8"/>
      <c r="Z387" s="8"/>
      <c r="AA387" s="8"/>
      <c r="AB387" s="8"/>
      <c r="AC387" s="8"/>
      <c r="AD387" s="8"/>
      <c r="AE387" s="40"/>
      <c r="AF387" s="8"/>
      <c r="AG387" s="40"/>
      <c r="AH387" s="40"/>
      <c r="AI387" s="8"/>
      <c r="AJ387" s="40"/>
      <c r="AK387" s="40"/>
      <c r="AL387" s="40"/>
      <c r="AM387" s="44"/>
      <c r="AN387" s="44"/>
      <c r="AO387" s="41"/>
      <c r="AP387" s="45" t="str">
        <f aca="false">IF(B387="","",IF(AND(ISNUMBER(AM387),ISNUMBER(AN387),AM387&gt;0,AN387&gt;0),AN387/AM387-1,""))</f>
        <v/>
      </c>
      <c r="AQ387" s="9" t="str">
        <f aca="false">IF(I387="","",(YEAR(I387)-IF(MONTH(I387)&lt;4,1,0))&amp;"-"&amp;RIGHT((YEAR(I387)-IF(MONTH(I387)&lt;4,1,0))+1,2))</f>
        <v/>
      </c>
      <c r="AR387" s="9" t="str">
        <f aca="false">IF(J387="","",(YEAR(J387)-IF(MONTH(J387)&lt;4,1,0))&amp;"-"&amp;RIGHT((YEAR(J387)-IF(MONTH(J387)&lt;4,1,0))+1,2))</f>
        <v/>
      </c>
      <c r="AS387" s="43" t="str">
        <f aca="false">IF(OR(B387="",Q387="",D387&lt;&gt;"Active"),"",DATE(YEAR(AsOf)+IF(DATE(YEAR(AsOf),MONTH(Q387),DAY(Q387))&lt;AsOf,1,0),MONTH(Q387),DAY(Q387))-AsOf)</f>
        <v/>
      </c>
      <c r="AT387" s="43" t="str">
        <f aca="false">IF(OR(B387="",I387="",D387&lt;&gt;"Active"),"",IF(YEAR(DATE(YEAR(AsOf)+IF(DATE(YEAR(AsOf),MONTH(I387),DAY(I387))&lt;AsOf,1,0),MONTH(I387),DAY(I387)))-YEAR(I387)&lt;1,"",DATE(YEAR(AsOf)+IF(DATE(YEAR(AsOf),MONTH(I387),DAY(I387))&lt;AsOf,1,0),MONTH(I387),DAY(I387))-AsOf))</f>
        <v/>
      </c>
      <c r="AU387" s="43" t="str">
        <f aca="false">IF(B387="","",IF(AV387="",0,LEN(AV387)-LEN(SUBSTITUTE(AV387,";",""))))</f>
        <v/>
      </c>
      <c r="AV387" s="9" t="str">
        <f aca="false">IF(B387="","",IF(COUNTIF($B$6:$B$505,B387)&gt;1,"Duplicate Emp Code; ","")&amp;IF(C387="","Name missing; ","")&amp;IF(I387="","DOJ missing; ","")&amp;IF(AND(J387&lt;&gt;"",I387&lt;&gt;"",J387&lt;I387),"Exit before DOJ; ","")&amp;IF(Q387="","DOB missing; ","")&amp;IF(T387="","Aadhaar missing; ",IF(LEN(T387)&lt;&gt;12,"Aadhaar not 12 digits; ",IF(COUNTIF($T$6:$T$505,T387)&gt;1,"Duplicate Aadhaar; ","")))&amp;IF(U387="","PAN missing; ",IF(LEN(U387)&lt;&gt;10,"PAN not 10 chars; ",""))&amp;IF(V387="","Mobile missing; ",IF(LEN(V387)&lt;&gt;10,"Mobile not 10 digits; ",""))&amp;IF(AG387="","Bank A/c missing; ","")&amp;IF(AH387="","IFSC missing; ",IF(LEN(AH387)&lt;&gt;11,"IFSC not 11 chars; ","")))</f>
        <v/>
      </c>
      <c r="AW387" s="46" t="str">
        <f aca="false">IF(AS387="","",AS387+ROW()/100000)</f>
        <v/>
      </c>
      <c r="AX387" s="46" t="str">
        <f aca="false">IF(AT387="","",AT387+ROW()/100000)</f>
        <v/>
      </c>
    </row>
    <row r="388" customFormat="false" ht="15" hidden="false" customHeight="false" outlineLevel="0" collapsed="false">
      <c r="A388" s="9" t="str">
        <f aca="false">IF(B388="","",ROW()-5)</f>
        <v/>
      </c>
      <c r="B388" s="40"/>
      <c r="C388" s="8"/>
      <c r="D388" s="9" t="str">
        <f aca="false">IF(B388="","",IF(J388="","Active","Exited"))</f>
        <v/>
      </c>
      <c r="E388" s="8"/>
      <c r="F388" s="8"/>
      <c r="G388" s="8"/>
      <c r="H388" s="9" t="str">
        <f aca="false">IF(OR(B388="",I388=""),"",IF(IF(J388="",AsOf,J388)-I388&gt;=Settings!$C$13,"Permanent","Probation"))</f>
        <v/>
      </c>
      <c r="I388" s="41"/>
      <c r="J388" s="41"/>
      <c r="K388" s="8"/>
      <c r="L388" s="42" t="str">
        <f aca="false">IF(OR(B388="",I388=""),"",ROUND((IF(J388="",AsOf,J388)-I388)/365.25,1))</f>
        <v/>
      </c>
      <c r="M388" s="8"/>
      <c r="N388" s="8"/>
      <c r="O388" s="8"/>
      <c r="P388" s="8"/>
      <c r="Q388" s="41"/>
      <c r="R388" s="43" t="str">
        <f aca="false">IF(OR(B388="",Q388=""),"",INT((AsOf-Q388)/365.25))</f>
        <v/>
      </c>
      <c r="S388" s="8"/>
      <c r="T388" s="40"/>
      <c r="U388" s="40"/>
      <c r="V388" s="40"/>
      <c r="W388" s="40"/>
      <c r="X388" s="8"/>
      <c r="Y388" s="8"/>
      <c r="Z388" s="8"/>
      <c r="AA388" s="8"/>
      <c r="AB388" s="8"/>
      <c r="AC388" s="8"/>
      <c r="AD388" s="8"/>
      <c r="AE388" s="40"/>
      <c r="AF388" s="8"/>
      <c r="AG388" s="40"/>
      <c r="AH388" s="40"/>
      <c r="AI388" s="8"/>
      <c r="AJ388" s="40"/>
      <c r="AK388" s="40"/>
      <c r="AL388" s="40"/>
      <c r="AM388" s="44"/>
      <c r="AN388" s="44"/>
      <c r="AO388" s="41"/>
      <c r="AP388" s="45" t="str">
        <f aca="false">IF(B388="","",IF(AND(ISNUMBER(AM388),ISNUMBER(AN388),AM388&gt;0,AN388&gt;0),AN388/AM388-1,""))</f>
        <v/>
      </c>
      <c r="AQ388" s="9" t="str">
        <f aca="false">IF(I388="","",(YEAR(I388)-IF(MONTH(I388)&lt;4,1,0))&amp;"-"&amp;RIGHT((YEAR(I388)-IF(MONTH(I388)&lt;4,1,0))+1,2))</f>
        <v/>
      </c>
      <c r="AR388" s="9" t="str">
        <f aca="false">IF(J388="","",(YEAR(J388)-IF(MONTH(J388)&lt;4,1,0))&amp;"-"&amp;RIGHT((YEAR(J388)-IF(MONTH(J388)&lt;4,1,0))+1,2))</f>
        <v/>
      </c>
      <c r="AS388" s="43" t="str">
        <f aca="false">IF(OR(B388="",Q388="",D388&lt;&gt;"Active"),"",DATE(YEAR(AsOf)+IF(DATE(YEAR(AsOf),MONTH(Q388),DAY(Q388))&lt;AsOf,1,0),MONTH(Q388),DAY(Q388))-AsOf)</f>
        <v/>
      </c>
      <c r="AT388" s="43" t="str">
        <f aca="false">IF(OR(B388="",I388="",D388&lt;&gt;"Active"),"",IF(YEAR(DATE(YEAR(AsOf)+IF(DATE(YEAR(AsOf),MONTH(I388),DAY(I388))&lt;AsOf,1,0),MONTH(I388),DAY(I388)))-YEAR(I388)&lt;1,"",DATE(YEAR(AsOf)+IF(DATE(YEAR(AsOf),MONTH(I388),DAY(I388))&lt;AsOf,1,0),MONTH(I388),DAY(I388))-AsOf))</f>
        <v/>
      </c>
      <c r="AU388" s="43" t="str">
        <f aca="false">IF(B388="","",IF(AV388="",0,LEN(AV388)-LEN(SUBSTITUTE(AV388,";",""))))</f>
        <v/>
      </c>
      <c r="AV388" s="9" t="str">
        <f aca="false">IF(B388="","",IF(COUNTIF($B$6:$B$505,B388)&gt;1,"Duplicate Emp Code; ","")&amp;IF(C388="","Name missing; ","")&amp;IF(I388="","DOJ missing; ","")&amp;IF(AND(J388&lt;&gt;"",I388&lt;&gt;"",J388&lt;I388),"Exit before DOJ; ","")&amp;IF(Q388="","DOB missing; ","")&amp;IF(T388="","Aadhaar missing; ",IF(LEN(T388)&lt;&gt;12,"Aadhaar not 12 digits; ",IF(COUNTIF($T$6:$T$505,T388)&gt;1,"Duplicate Aadhaar; ","")))&amp;IF(U388="","PAN missing; ",IF(LEN(U388)&lt;&gt;10,"PAN not 10 chars; ",""))&amp;IF(V388="","Mobile missing; ",IF(LEN(V388)&lt;&gt;10,"Mobile not 10 digits; ",""))&amp;IF(AG388="","Bank A/c missing; ","")&amp;IF(AH388="","IFSC missing; ",IF(LEN(AH388)&lt;&gt;11,"IFSC not 11 chars; ","")))</f>
        <v/>
      </c>
      <c r="AW388" s="46" t="str">
        <f aca="false">IF(AS388="","",AS388+ROW()/100000)</f>
        <v/>
      </c>
      <c r="AX388" s="46" t="str">
        <f aca="false">IF(AT388="","",AT388+ROW()/100000)</f>
        <v/>
      </c>
    </row>
    <row r="389" customFormat="false" ht="15" hidden="false" customHeight="false" outlineLevel="0" collapsed="false">
      <c r="A389" s="9" t="str">
        <f aca="false">IF(B389="","",ROW()-5)</f>
        <v/>
      </c>
      <c r="B389" s="40"/>
      <c r="C389" s="8"/>
      <c r="D389" s="9" t="str">
        <f aca="false">IF(B389="","",IF(J389="","Active","Exited"))</f>
        <v/>
      </c>
      <c r="E389" s="8"/>
      <c r="F389" s="8"/>
      <c r="G389" s="8"/>
      <c r="H389" s="9" t="str">
        <f aca="false">IF(OR(B389="",I389=""),"",IF(IF(J389="",AsOf,J389)-I389&gt;=Settings!$C$13,"Permanent","Probation"))</f>
        <v/>
      </c>
      <c r="I389" s="41"/>
      <c r="J389" s="41"/>
      <c r="K389" s="8"/>
      <c r="L389" s="42" t="str">
        <f aca="false">IF(OR(B389="",I389=""),"",ROUND((IF(J389="",AsOf,J389)-I389)/365.25,1))</f>
        <v/>
      </c>
      <c r="M389" s="8"/>
      <c r="N389" s="8"/>
      <c r="O389" s="8"/>
      <c r="P389" s="8"/>
      <c r="Q389" s="41"/>
      <c r="R389" s="43" t="str">
        <f aca="false">IF(OR(B389="",Q389=""),"",INT((AsOf-Q389)/365.25))</f>
        <v/>
      </c>
      <c r="S389" s="8"/>
      <c r="T389" s="40"/>
      <c r="U389" s="40"/>
      <c r="V389" s="40"/>
      <c r="W389" s="40"/>
      <c r="X389" s="8"/>
      <c r="Y389" s="8"/>
      <c r="Z389" s="8"/>
      <c r="AA389" s="8"/>
      <c r="AB389" s="8"/>
      <c r="AC389" s="8"/>
      <c r="AD389" s="8"/>
      <c r="AE389" s="40"/>
      <c r="AF389" s="8"/>
      <c r="AG389" s="40"/>
      <c r="AH389" s="40"/>
      <c r="AI389" s="8"/>
      <c r="AJ389" s="40"/>
      <c r="AK389" s="40"/>
      <c r="AL389" s="40"/>
      <c r="AM389" s="44"/>
      <c r="AN389" s="44"/>
      <c r="AO389" s="41"/>
      <c r="AP389" s="45" t="str">
        <f aca="false">IF(B389="","",IF(AND(ISNUMBER(AM389),ISNUMBER(AN389),AM389&gt;0,AN389&gt;0),AN389/AM389-1,""))</f>
        <v/>
      </c>
      <c r="AQ389" s="9" t="str">
        <f aca="false">IF(I389="","",(YEAR(I389)-IF(MONTH(I389)&lt;4,1,0))&amp;"-"&amp;RIGHT((YEAR(I389)-IF(MONTH(I389)&lt;4,1,0))+1,2))</f>
        <v/>
      </c>
      <c r="AR389" s="9" t="str">
        <f aca="false">IF(J389="","",(YEAR(J389)-IF(MONTH(J389)&lt;4,1,0))&amp;"-"&amp;RIGHT((YEAR(J389)-IF(MONTH(J389)&lt;4,1,0))+1,2))</f>
        <v/>
      </c>
      <c r="AS389" s="43" t="str">
        <f aca="false">IF(OR(B389="",Q389="",D389&lt;&gt;"Active"),"",DATE(YEAR(AsOf)+IF(DATE(YEAR(AsOf),MONTH(Q389),DAY(Q389))&lt;AsOf,1,0),MONTH(Q389),DAY(Q389))-AsOf)</f>
        <v/>
      </c>
      <c r="AT389" s="43" t="str">
        <f aca="false">IF(OR(B389="",I389="",D389&lt;&gt;"Active"),"",IF(YEAR(DATE(YEAR(AsOf)+IF(DATE(YEAR(AsOf),MONTH(I389),DAY(I389))&lt;AsOf,1,0),MONTH(I389),DAY(I389)))-YEAR(I389)&lt;1,"",DATE(YEAR(AsOf)+IF(DATE(YEAR(AsOf),MONTH(I389),DAY(I389))&lt;AsOf,1,0),MONTH(I389),DAY(I389))-AsOf))</f>
        <v/>
      </c>
      <c r="AU389" s="43" t="str">
        <f aca="false">IF(B389="","",IF(AV389="",0,LEN(AV389)-LEN(SUBSTITUTE(AV389,";",""))))</f>
        <v/>
      </c>
      <c r="AV389" s="9" t="str">
        <f aca="false">IF(B389="","",IF(COUNTIF($B$6:$B$505,B389)&gt;1,"Duplicate Emp Code; ","")&amp;IF(C389="","Name missing; ","")&amp;IF(I389="","DOJ missing; ","")&amp;IF(AND(J389&lt;&gt;"",I389&lt;&gt;"",J389&lt;I389),"Exit before DOJ; ","")&amp;IF(Q389="","DOB missing; ","")&amp;IF(T389="","Aadhaar missing; ",IF(LEN(T389)&lt;&gt;12,"Aadhaar not 12 digits; ",IF(COUNTIF($T$6:$T$505,T389)&gt;1,"Duplicate Aadhaar; ","")))&amp;IF(U389="","PAN missing; ",IF(LEN(U389)&lt;&gt;10,"PAN not 10 chars; ",""))&amp;IF(V389="","Mobile missing; ",IF(LEN(V389)&lt;&gt;10,"Mobile not 10 digits; ",""))&amp;IF(AG389="","Bank A/c missing; ","")&amp;IF(AH389="","IFSC missing; ",IF(LEN(AH389)&lt;&gt;11,"IFSC not 11 chars; ","")))</f>
        <v/>
      </c>
      <c r="AW389" s="46" t="str">
        <f aca="false">IF(AS389="","",AS389+ROW()/100000)</f>
        <v/>
      </c>
      <c r="AX389" s="46" t="str">
        <f aca="false">IF(AT389="","",AT389+ROW()/100000)</f>
        <v/>
      </c>
    </row>
    <row r="390" customFormat="false" ht="15" hidden="false" customHeight="false" outlineLevel="0" collapsed="false">
      <c r="A390" s="9" t="str">
        <f aca="false">IF(B390="","",ROW()-5)</f>
        <v/>
      </c>
      <c r="B390" s="40"/>
      <c r="C390" s="8"/>
      <c r="D390" s="9" t="str">
        <f aca="false">IF(B390="","",IF(J390="","Active","Exited"))</f>
        <v/>
      </c>
      <c r="E390" s="8"/>
      <c r="F390" s="8"/>
      <c r="G390" s="8"/>
      <c r="H390" s="9" t="str">
        <f aca="false">IF(OR(B390="",I390=""),"",IF(IF(J390="",AsOf,J390)-I390&gt;=Settings!$C$13,"Permanent","Probation"))</f>
        <v/>
      </c>
      <c r="I390" s="41"/>
      <c r="J390" s="41"/>
      <c r="K390" s="8"/>
      <c r="L390" s="42" t="str">
        <f aca="false">IF(OR(B390="",I390=""),"",ROUND((IF(J390="",AsOf,J390)-I390)/365.25,1))</f>
        <v/>
      </c>
      <c r="M390" s="8"/>
      <c r="N390" s="8"/>
      <c r="O390" s="8"/>
      <c r="P390" s="8"/>
      <c r="Q390" s="41"/>
      <c r="R390" s="43" t="str">
        <f aca="false">IF(OR(B390="",Q390=""),"",INT((AsOf-Q390)/365.25))</f>
        <v/>
      </c>
      <c r="S390" s="8"/>
      <c r="T390" s="40"/>
      <c r="U390" s="40"/>
      <c r="V390" s="40"/>
      <c r="W390" s="40"/>
      <c r="X390" s="8"/>
      <c r="Y390" s="8"/>
      <c r="Z390" s="8"/>
      <c r="AA390" s="8"/>
      <c r="AB390" s="8"/>
      <c r="AC390" s="8"/>
      <c r="AD390" s="8"/>
      <c r="AE390" s="40"/>
      <c r="AF390" s="8"/>
      <c r="AG390" s="40"/>
      <c r="AH390" s="40"/>
      <c r="AI390" s="8"/>
      <c r="AJ390" s="40"/>
      <c r="AK390" s="40"/>
      <c r="AL390" s="40"/>
      <c r="AM390" s="44"/>
      <c r="AN390" s="44"/>
      <c r="AO390" s="41"/>
      <c r="AP390" s="45" t="str">
        <f aca="false">IF(B390="","",IF(AND(ISNUMBER(AM390),ISNUMBER(AN390),AM390&gt;0,AN390&gt;0),AN390/AM390-1,""))</f>
        <v/>
      </c>
      <c r="AQ390" s="9" t="str">
        <f aca="false">IF(I390="","",(YEAR(I390)-IF(MONTH(I390)&lt;4,1,0))&amp;"-"&amp;RIGHT((YEAR(I390)-IF(MONTH(I390)&lt;4,1,0))+1,2))</f>
        <v/>
      </c>
      <c r="AR390" s="9" t="str">
        <f aca="false">IF(J390="","",(YEAR(J390)-IF(MONTH(J390)&lt;4,1,0))&amp;"-"&amp;RIGHT((YEAR(J390)-IF(MONTH(J390)&lt;4,1,0))+1,2))</f>
        <v/>
      </c>
      <c r="AS390" s="43" t="str">
        <f aca="false">IF(OR(B390="",Q390="",D390&lt;&gt;"Active"),"",DATE(YEAR(AsOf)+IF(DATE(YEAR(AsOf),MONTH(Q390),DAY(Q390))&lt;AsOf,1,0),MONTH(Q390),DAY(Q390))-AsOf)</f>
        <v/>
      </c>
      <c r="AT390" s="43" t="str">
        <f aca="false">IF(OR(B390="",I390="",D390&lt;&gt;"Active"),"",IF(YEAR(DATE(YEAR(AsOf)+IF(DATE(YEAR(AsOf),MONTH(I390),DAY(I390))&lt;AsOf,1,0),MONTH(I390),DAY(I390)))-YEAR(I390)&lt;1,"",DATE(YEAR(AsOf)+IF(DATE(YEAR(AsOf),MONTH(I390),DAY(I390))&lt;AsOf,1,0),MONTH(I390),DAY(I390))-AsOf))</f>
        <v/>
      </c>
      <c r="AU390" s="43" t="str">
        <f aca="false">IF(B390="","",IF(AV390="",0,LEN(AV390)-LEN(SUBSTITUTE(AV390,";",""))))</f>
        <v/>
      </c>
      <c r="AV390" s="9" t="str">
        <f aca="false">IF(B390="","",IF(COUNTIF($B$6:$B$505,B390)&gt;1,"Duplicate Emp Code; ","")&amp;IF(C390="","Name missing; ","")&amp;IF(I390="","DOJ missing; ","")&amp;IF(AND(J390&lt;&gt;"",I390&lt;&gt;"",J390&lt;I390),"Exit before DOJ; ","")&amp;IF(Q390="","DOB missing; ","")&amp;IF(T390="","Aadhaar missing; ",IF(LEN(T390)&lt;&gt;12,"Aadhaar not 12 digits; ",IF(COUNTIF($T$6:$T$505,T390)&gt;1,"Duplicate Aadhaar; ","")))&amp;IF(U390="","PAN missing; ",IF(LEN(U390)&lt;&gt;10,"PAN not 10 chars; ",""))&amp;IF(V390="","Mobile missing; ",IF(LEN(V390)&lt;&gt;10,"Mobile not 10 digits; ",""))&amp;IF(AG390="","Bank A/c missing; ","")&amp;IF(AH390="","IFSC missing; ",IF(LEN(AH390)&lt;&gt;11,"IFSC not 11 chars; ","")))</f>
        <v/>
      </c>
      <c r="AW390" s="46" t="str">
        <f aca="false">IF(AS390="","",AS390+ROW()/100000)</f>
        <v/>
      </c>
      <c r="AX390" s="46" t="str">
        <f aca="false">IF(AT390="","",AT390+ROW()/100000)</f>
        <v/>
      </c>
    </row>
    <row r="391" customFormat="false" ht="15" hidden="false" customHeight="false" outlineLevel="0" collapsed="false">
      <c r="A391" s="9" t="str">
        <f aca="false">IF(B391="","",ROW()-5)</f>
        <v/>
      </c>
      <c r="B391" s="40"/>
      <c r="C391" s="8"/>
      <c r="D391" s="9" t="str">
        <f aca="false">IF(B391="","",IF(J391="","Active","Exited"))</f>
        <v/>
      </c>
      <c r="E391" s="8"/>
      <c r="F391" s="8"/>
      <c r="G391" s="8"/>
      <c r="H391" s="9" t="str">
        <f aca="false">IF(OR(B391="",I391=""),"",IF(IF(J391="",AsOf,J391)-I391&gt;=Settings!$C$13,"Permanent","Probation"))</f>
        <v/>
      </c>
      <c r="I391" s="41"/>
      <c r="J391" s="41"/>
      <c r="K391" s="8"/>
      <c r="L391" s="42" t="str">
        <f aca="false">IF(OR(B391="",I391=""),"",ROUND((IF(J391="",AsOf,J391)-I391)/365.25,1))</f>
        <v/>
      </c>
      <c r="M391" s="8"/>
      <c r="N391" s="8"/>
      <c r="O391" s="8"/>
      <c r="P391" s="8"/>
      <c r="Q391" s="41"/>
      <c r="R391" s="43" t="str">
        <f aca="false">IF(OR(B391="",Q391=""),"",INT((AsOf-Q391)/365.25))</f>
        <v/>
      </c>
      <c r="S391" s="8"/>
      <c r="T391" s="40"/>
      <c r="U391" s="40"/>
      <c r="V391" s="40"/>
      <c r="W391" s="40"/>
      <c r="X391" s="8"/>
      <c r="Y391" s="8"/>
      <c r="Z391" s="8"/>
      <c r="AA391" s="8"/>
      <c r="AB391" s="8"/>
      <c r="AC391" s="8"/>
      <c r="AD391" s="8"/>
      <c r="AE391" s="40"/>
      <c r="AF391" s="8"/>
      <c r="AG391" s="40"/>
      <c r="AH391" s="40"/>
      <c r="AI391" s="8"/>
      <c r="AJ391" s="40"/>
      <c r="AK391" s="40"/>
      <c r="AL391" s="40"/>
      <c r="AM391" s="44"/>
      <c r="AN391" s="44"/>
      <c r="AO391" s="41"/>
      <c r="AP391" s="45" t="str">
        <f aca="false">IF(B391="","",IF(AND(ISNUMBER(AM391),ISNUMBER(AN391),AM391&gt;0,AN391&gt;0),AN391/AM391-1,""))</f>
        <v/>
      </c>
      <c r="AQ391" s="9" t="str">
        <f aca="false">IF(I391="","",(YEAR(I391)-IF(MONTH(I391)&lt;4,1,0))&amp;"-"&amp;RIGHT((YEAR(I391)-IF(MONTH(I391)&lt;4,1,0))+1,2))</f>
        <v/>
      </c>
      <c r="AR391" s="9" t="str">
        <f aca="false">IF(J391="","",(YEAR(J391)-IF(MONTH(J391)&lt;4,1,0))&amp;"-"&amp;RIGHT((YEAR(J391)-IF(MONTH(J391)&lt;4,1,0))+1,2))</f>
        <v/>
      </c>
      <c r="AS391" s="43" t="str">
        <f aca="false">IF(OR(B391="",Q391="",D391&lt;&gt;"Active"),"",DATE(YEAR(AsOf)+IF(DATE(YEAR(AsOf),MONTH(Q391),DAY(Q391))&lt;AsOf,1,0),MONTH(Q391),DAY(Q391))-AsOf)</f>
        <v/>
      </c>
      <c r="AT391" s="43" t="str">
        <f aca="false">IF(OR(B391="",I391="",D391&lt;&gt;"Active"),"",IF(YEAR(DATE(YEAR(AsOf)+IF(DATE(YEAR(AsOf),MONTH(I391),DAY(I391))&lt;AsOf,1,0),MONTH(I391),DAY(I391)))-YEAR(I391)&lt;1,"",DATE(YEAR(AsOf)+IF(DATE(YEAR(AsOf),MONTH(I391),DAY(I391))&lt;AsOf,1,0),MONTH(I391),DAY(I391))-AsOf))</f>
        <v/>
      </c>
      <c r="AU391" s="43" t="str">
        <f aca="false">IF(B391="","",IF(AV391="",0,LEN(AV391)-LEN(SUBSTITUTE(AV391,";",""))))</f>
        <v/>
      </c>
      <c r="AV391" s="9" t="str">
        <f aca="false">IF(B391="","",IF(COUNTIF($B$6:$B$505,B391)&gt;1,"Duplicate Emp Code; ","")&amp;IF(C391="","Name missing; ","")&amp;IF(I391="","DOJ missing; ","")&amp;IF(AND(J391&lt;&gt;"",I391&lt;&gt;"",J391&lt;I391),"Exit before DOJ; ","")&amp;IF(Q391="","DOB missing; ","")&amp;IF(T391="","Aadhaar missing; ",IF(LEN(T391)&lt;&gt;12,"Aadhaar not 12 digits; ",IF(COUNTIF($T$6:$T$505,T391)&gt;1,"Duplicate Aadhaar; ","")))&amp;IF(U391="","PAN missing; ",IF(LEN(U391)&lt;&gt;10,"PAN not 10 chars; ",""))&amp;IF(V391="","Mobile missing; ",IF(LEN(V391)&lt;&gt;10,"Mobile not 10 digits; ",""))&amp;IF(AG391="","Bank A/c missing; ","")&amp;IF(AH391="","IFSC missing; ",IF(LEN(AH391)&lt;&gt;11,"IFSC not 11 chars; ","")))</f>
        <v/>
      </c>
      <c r="AW391" s="46" t="str">
        <f aca="false">IF(AS391="","",AS391+ROW()/100000)</f>
        <v/>
      </c>
      <c r="AX391" s="46" t="str">
        <f aca="false">IF(AT391="","",AT391+ROW()/100000)</f>
        <v/>
      </c>
    </row>
    <row r="392" customFormat="false" ht="15" hidden="false" customHeight="false" outlineLevel="0" collapsed="false">
      <c r="A392" s="9" t="str">
        <f aca="false">IF(B392="","",ROW()-5)</f>
        <v/>
      </c>
      <c r="B392" s="40"/>
      <c r="C392" s="8"/>
      <c r="D392" s="9" t="str">
        <f aca="false">IF(B392="","",IF(J392="","Active","Exited"))</f>
        <v/>
      </c>
      <c r="E392" s="8"/>
      <c r="F392" s="8"/>
      <c r="G392" s="8"/>
      <c r="H392" s="9" t="str">
        <f aca="false">IF(OR(B392="",I392=""),"",IF(IF(J392="",AsOf,J392)-I392&gt;=Settings!$C$13,"Permanent","Probation"))</f>
        <v/>
      </c>
      <c r="I392" s="41"/>
      <c r="J392" s="41"/>
      <c r="K392" s="8"/>
      <c r="L392" s="42" t="str">
        <f aca="false">IF(OR(B392="",I392=""),"",ROUND((IF(J392="",AsOf,J392)-I392)/365.25,1))</f>
        <v/>
      </c>
      <c r="M392" s="8"/>
      <c r="N392" s="8"/>
      <c r="O392" s="8"/>
      <c r="P392" s="8"/>
      <c r="Q392" s="41"/>
      <c r="R392" s="43" t="str">
        <f aca="false">IF(OR(B392="",Q392=""),"",INT((AsOf-Q392)/365.25))</f>
        <v/>
      </c>
      <c r="S392" s="8"/>
      <c r="T392" s="40"/>
      <c r="U392" s="40"/>
      <c r="V392" s="40"/>
      <c r="W392" s="40"/>
      <c r="X392" s="8"/>
      <c r="Y392" s="8"/>
      <c r="Z392" s="8"/>
      <c r="AA392" s="8"/>
      <c r="AB392" s="8"/>
      <c r="AC392" s="8"/>
      <c r="AD392" s="8"/>
      <c r="AE392" s="40"/>
      <c r="AF392" s="8"/>
      <c r="AG392" s="40"/>
      <c r="AH392" s="40"/>
      <c r="AI392" s="8"/>
      <c r="AJ392" s="40"/>
      <c r="AK392" s="40"/>
      <c r="AL392" s="40"/>
      <c r="AM392" s="44"/>
      <c r="AN392" s="44"/>
      <c r="AO392" s="41"/>
      <c r="AP392" s="45" t="str">
        <f aca="false">IF(B392="","",IF(AND(ISNUMBER(AM392),ISNUMBER(AN392),AM392&gt;0,AN392&gt;0),AN392/AM392-1,""))</f>
        <v/>
      </c>
      <c r="AQ392" s="9" t="str">
        <f aca="false">IF(I392="","",(YEAR(I392)-IF(MONTH(I392)&lt;4,1,0))&amp;"-"&amp;RIGHT((YEAR(I392)-IF(MONTH(I392)&lt;4,1,0))+1,2))</f>
        <v/>
      </c>
      <c r="AR392" s="9" t="str">
        <f aca="false">IF(J392="","",(YEAR(J392)-IF(MONTH(J392)&lt;4,1,0))&amp;"-"&amp;RIGHT((YEAR(J392)-IF(MONTH(J392)&lt;4,1,0))+1,2))</f>
        <v/>
      </c>
      <c r="AS392" s="43" t="str">
        <f aca="false">IF(OR(B392="",Q392="",D392&lt;&gt;"Active"),"",DATE(YEAR(AsOf)+IF(DATE(YEAR(AsOf),MONTH(Q392),DAY(Q392))&lt;AsOf,1,0),MONTH(Q392),DAY(Q392))-AsOf)</f>
        <v/>
      </c>
      <c r="AT392" s="43" t="str">
        <f aca="false">IF(OR(B392="",I392="",D392&lt;&gt;"Active"),"",IF(YEAR(DATE(YEAR(AsOf)+IF(DATE(YEAR(AsOf),MONTH(I392),DAY(I392))&lt;AsOf,1,0),MONTH(I392),DAY(I392)))-YEAR(I392)&lt;1,"",DATE(YEAR(AsOf)+IF(DATE(YEAR(AsOf),MONTH(I392),DAY(I392))&lt;AsOf,1,0),MONTH(I392),DAY(I392))-AsOf))</f>
        <v/>
      </c>
      <c r="AU392" s="43" t="str">
        <f aca="false">IF(B392="","",IF(AV392="",0,LEN(AV392)-LEN(SUBSTITUTE(AV392,";",""))))</f>
        <v/>
      </c>
      <c r="AV392" s="9" t="str">
        <f aca="false">IF(B392="","",IF(COUNTIF($B$6:$B$505,B392)&gt;1,"Duplicate Emp Code; ","")&amp;IF(C392="","Name missing; ","")&amp;IF(I392="","DOJ missing; ","")&amp;IF(AND(J392&lt;&gt;"",I392&lt;&gt;"",J392&lt;I392),"Exit before DOJ; ","")&amp;IF(Q392="","DOB missing; ","")&amp;IF(T392="","Aadhaar missing; ",IF(LEN(T392)&lt;&gt;12,"Aadhaar not 12 digits; ",IF(COUNTIF($T$6:$T$505,T392)&gt;1,"Duplicate Aadhaar; ","")))&amp;IF(U392="","PAN missing; ",IF(LEN(U392)&lt;&gt;10,"PAN not 10 chars; ",""))&amp;IF(V392="","Mobile missing; ",IF(LEN(V392)&lt;&gt;10,"Mobile not 10 digits; ",""))&amp;IF(AG392="","Bank A/c missing; ","")&amp;IF(AH392="","IFSC missing; ",IF(LEN(AH392)&lt;&gt;11,"IFSC not 11 chars; ","")))</f>
        <v/>
      </c>
      <c r="AW392" s="46" t="str">
        <f aca="false">IF(AS392="","",AS392+ROW()/100000)</f>
        <v/>
      </c>
      <c r="AX392" s="46" t="str">
        <f aca="false">IF(AT392="","",AT392+ROW()/100000)</f>
        <v/>
      </c>
    </row>
    <row r="393" customFormat="false" ht="15" hidden="false" customHeight="false" outlineLevel="0" collapsed="false">
      <c r="A393" s="9" t="str">
        <f aca="false">IF(B393="","",ROW()-5)</f>
        <v/>
      </c>
      <c r="B393" s="40"/>
      <c r="C393" s="8"/>
      <c r="D393" s="9" t="str">
        <f aca="false">IF(B393="","",IF(J393="","Active","Exited"))</f>
        <v/>
      </c>
      <c r="E393" s="8"/>
      <c r="F393" s="8"/>
      <c r="G393" s="8"/>
      <c r="H393" s="9" t="str">
        <f aca="false">IF(OR(B393="",I393=""),"",IF(IF(J393="",AsOf,J393)-I393&gt;=Settings!$C$13,"Permanent","Probation"))</f>
        <v/>
      </c>
      <c r="I393" s="41"/>
      <c r="J393" s="41"/>
      <c r="K393" s="8"/>
      <c r="L393" s="42" t="str">
        <f aca="false">IF(OR(B393="",I393=""),"",ROUND((IF(J393="",AsOf,J393)-I393)/365.25,1))</f>
        <v/>
      </c>
      <c r="M393" s="8"/>
      <c r="N393" s="8"/>
      <c r="O393" s="8"/>
      <c r="P393" s="8"/>
      <c r="Q393" s="41"/>
      <c r="R393" s="43" t="str">
        <f aca="false">IF(OR(B393="",Q393=""),"",INT((AsOf-Q393)/365.25))</f>
        <v/>
      </c>
      <c r="S393" s="8"/>
      <c r="T393" s="40"/>
      <c r="U393" s="40"/>
      <c r="V393" s="40"/>
      <c r="W393" s="40"/>
      <c r="X393" s="8"/>
      <c r="Y393" s="8"/>
      <c r="Z393" s="8"/>
      <c r="AA393" s="8"/>
      <c r="AB393" s="8"/>
      <c r="AC393" s="8"/>
      <c r="AD393" s="8"/>
      <c r="AE393" s="40"/>
      <c r="AF393" s="8"/>
      <c r="AG393" s="40"/>
      <c r="AH393" s="40"/>
      <c r="AI393" s="8"/>
      <c r="AJ393" s="40"/>
      <c r="AK393" s="40"/>
      <c r="AL393" s="40"/>
      <c r="AM393" s="44"/>
      <c r="AN393" s="44"/>
      <c r="AO393" s="41"/>
      <c r="AP393" s="45" t="str">
        <f aca="false">IF(B393="","",IF(AND(ISNUMBER(AM393),ISNUMBER(AN393),AM393&gt;0,AN393&gt;0),AN393/AM393-1,""))</f>
        <v/>
      </c>
      <c r="AQ393" s="9" t="str">
        <f aca="false">IF(I393="","",(YEAR(I393)-IF(MONTH(I393)&lt;4,1,0))&amp;"-"&amp;RIGHT((YEAR(I393)-IF(MONTH(I393)&lt;4,1,0))+1,2))</f>
        <v/>
      </c>
      <c r="AR393" s="9" t="str">
        <f aca="false">IF(J393="","",(YEAR(J393)-IF(MONTH(J393)&lt;4,1,0))&amp;"-"&amp;RIGHT((YEAR(J393)-IF(MONTH(J393)&lt;4,1,0))+1,2))</f>
        <v/>
      </c>
      <c r="AS393" s="43" t="str">
        <f aca="false">IF(OR(B393="",Q393="",D393&lt;&gt;"Active"),"",DATE(YEAR(AsOf)+IF(DATE(YEAR(AsOf),MONTH(Q393),DAY(Q393))&lt;AsOf,1,0),MONTH(Q393),DAY(Q393))-AsOf)</f>
        <v/>
      </c>
      <c r="AT393" s="43" t="str">
        <f aca="false">IF(OR(B393="",I393="",D393&lt;&gt;"Active"),"",IF(YEAR(DATE(YEAR(AsOf)+IF(DATE(YEAR(AsOf),MONTH(I393),DAY(I393))&lt;AsOf,1,0),MONTH(I393),DAY(I393)))-YEAR(I393)&lt;1,"",DATE(YEAR(AsOf)+IF(DATE(YEAR(AsOf),MONTH(I393),DAY(I393))&lt;AsOf,1,0),MONTH(I393),DAY(I393))-AsOf))</f>
        <v/>
      </c>
      <c r="AU393" s="43" t="str">
        <f aca="false">IF(B393="","",IF(AV393="",0,LEN(AV393)-LEN(SUBSTITUTE(AV393,";",""))))</f>
        <v/>
      </c>
      <c r="AV393" s="9" t="str">
        <f aca="false">IF(B393="","",IF(COUNTIF($B$6:$B$505,B393)&gt;1,"Duplicate Emp Code; ","")&amp;IF(C393="","Name missing; ","")&amp;IF(I393="","DOJ missing; ","")&amp;IF(AND(J393&lt;&gt;"",I393&lt;&gt;"",J393&lt;I393),"Exit before DOJ; ","")&amp;IF(Q393="","DOB missing; ","")&amp;IF(T393="","Aadhaar missing; ",IF(LEN(T393)&lt;&gt;12,"Aadhaar not 12 digits; ",IF(COUNTIF($T$6:$T$505,T393)&gt;1,"Duplicate Aadhaar; ","")))&amp;IF(U393="","PAN missing; ",IF(LEN(U393)&lt;&gt;10,"PAN not 10 chars; ",""))&amp;IF(V393="","Mobile missing; ",IF(LEN(V393)&lt;&gt;10,"Mobile not 10 digits; ",""))&amp;IF(AG393="","Bank A/c missing; ","")&amp;IF(AH393="","IFSC missing; ",IF(LEN(AH393)&lt;&gt;11,"IFSC not 11 chars; ","")))</f>
        <v/>
      </c>
      <c r="AW393" s="46" t="str">
        <f aca="false">IF(AS393="","",AS393+ROW()/100000)</f>
        <v/>
      </c>
      <c r="AX393" s="46" t="str">
        <f aca="false">IF(AT393="","",AT393+ROW()/100000)</f>
        <v/>
      </c>
    </row>
    <row r="394" customFormat="false" ht="15" hidden="false" customHeight="false" outlineLevel="0" collapsed="false">
      <c r="A394" s="9" t="str">
        <f aca="false">IF(B394="","",ROW()-5)</f>
        <v/>
      </c>
      <c r="B394" s="40"/>
      <c r="C394" s="8"/>
      <c r="D394" s="9" t="str">
        <f aca="false">IF(B394="","",IF(J394="","Active","Exited"))</f>
        <v/>
      </c>
      <c r="E394" s="8"/>
      <c r="F394" s="8"/>
      <c r="G394" s="8"/>
      <c r="H394" s="9" t="str">
        <f aca="false">IF(OR(B394="",I394=""),"",IF(IF(J394="",AsOf,J394)-I394&gt;=Settings!$C$13,"Permanent","Probation"))</f>
        <v/>
      </c>
      <c r="I394" s="41"/>
      <c r="J394" s="41"/>
      <c r="K394" s="8"/>
      <c r="L394" s="42" t="str">
        <f aca="false">IF(OR(B394="",I394=""),"",ROUND((IF(J394="",AsOf,J394)-I394)/365.25,1))</f>
        <v/>
      </c>
      <c r="M394" s="8"/>
      <c r="N394" s="8"/>
      <c r="O394" s="8"/>
      <c r="P394" s="8"/>
      <c r="Q394" s="41"/>
      <c r="R394" s="43" t="str">
        <f aca="false">IF(OR(B394="",Q394=""),"",INT((AsOf-Q394)/365.25))</f>
        <v/>
      </c>
      <c r="S394" s="8"/>
      <c r="T394" s="40"/>
      <c r="U394" s="40"/>
      <c r="V394" s="40"/>
      <c r="W394" s="40"/>
      <c r="X394" s="8"/>
      <c r="Y394" s="8"/>
      <c r="Z394" s="8"/>
      <c r="AA394" s="8"/>
      <c r="AB394" s="8"/>
      <c r="AC394" s="8"/>
      <c r="AD394" s="8"/>
      <c r="AE394" s="40"/>
      <c r="AF394" s="8"/>
      <c r="AG394" s="40"/>
      <c r="AH394" s="40"/>
      <c r="AI394" s="8"/>
      <c r="AJ394" s="40"/>
      <c r="AK394" s="40"/>
      <c r="AL394" s="40"/>
      <c r="AM394" s="44"/>
      <c r="AN394" s="44"/>
      <c r="AO394" s="41"/>
      <c r="AP394" s="45" t="str">
        <f aca="false">IF(B394="","",IF(AND(ISNUMBER(AM394),ISNUMBER(AN394),AM394&gt;0,AN394&gt;0),AN394/AM394-1,""))</f>
        <v/>
      </c>
      <c r="AQ394" s="9" t="str">
        <f aca="false">IF(I394="","",(YEAR(I394)-IF(MONTH(I394)&lt;4,1,0))&amp;"-"&amp;RIGHT((YEAR(I394)-IF(MONTH(I394)&lt;4,1,0))+1,2))</f>
        <v/>
      </c>
      <c r="AR394" s="9" t="str">
        <f aca="false">IF(J394="","",(YEAR(J394)-IF(MONTH(J394)&lt;4,1,0))&amp;"-"&amp;RIGHT((YEAR(J394)-IF(MONTH(J394)&lt;4,1,0))+1,2))</f>
        <v/>
      </c>
      <c r="AS394" s="43" t="str">
        <f aca="false">IF(OR(B394="",Q394="",D394&lt;&gt;"Active"),"",DATE(YEAR(AsOf)+IF(DATE(YEAR(AsOf),MONTH(Q394),DAY(Q394))&lt;AsOf,1,0),MONTH(Q394),DAY(Q394))-AsOf)</f>
        <v/>
      </c>
      <c r="AT394" s="43" t="str">
        <f aca="false">IF(OR(B394="",I394="",D394&lt;&gt;"Active"),"",IF(YEAR(DATE(YEAR(AsOf)+IF(DATE(YEAR(AsOf),MONTH(I394),DAY(I394))&lt;AsOf,1,0),MONTH(I394),DAY(I394)))-YEAR(I394)&lt;1,"",DATE(YEAR(AsOf)+IF(DATE(YEAR(AsOf),MONTH(I394),DAY(I394))&lt;AsOf,1,0),MONTH(I394),DAY(I394))-AsOf))</f>
        <v/>
      </c>
      <c r="AU394" s="43" t="str">
        <f aca="false">IF(B394="","",IF(AV394="",0,LEN(AV394)-LEN(SUBSTITUTE(AV394,";",""))))</f>
        <v/>
      </c>
      <c r="AV394" s="9" t="str">
        <f aca="false">IF(B394="","",IF(COUNTIF($B$6:$B$505,B394)&gt;1,"Duplicate Emp Code; ","")&amp;IF(C394="","Name missing; ","")&amp;IF(I394="","DOJ missing; ","")&amp;IF(AND(J394&lt;&gt;"",I394&lt;&gt;"",J394&lt;I394),"Exit before DOJ; ","")&amp;IF(Q394="","DOB missing; ","")&amp;IF(T394="","Aadhaar missing; ",IF(LEN(T394)&lt;&gt;12,"Aadhaar not 12 digits; ",IF(COUNTIF($T$6:$T$505,T394)&gt;1,"Duplicate Aadhaar; ","")))&amp;IF(U394="","PAN missing; ",IF(LEN(U394)&lt;&gt;10,"PAN not 10 chars; ",""))&amp;IF(V394="","Mobile missing; ",IF(LEN(V394)&lt;&gt;10,"Mobile not 10 digits; ",""))&amp;IF(AG394="","Bank A/c missing; ","")&amp;IF(AH394="","IFSC missing; ",IF(LEN(AH394)&lt;&gt;11,"IFSC not 11 chars; ","")))</f>
        <v/>
      </c>
      <c r="AW394" s="46" t="str">
        <f aca="false">IF(AS394="","",AS394+ROW()/100000)</f>
        <v/>
      </c>
      <c r="AX394" s="46" t="str">
        <f aca="false">IF(AT394="","",AT394+ROW()/100000)</f>
        <v/>
      </c>
    </row>
    <row r="395" customFormat="false" ht="15" hidden="false" customHeight="false" outlineLevel="0" collapsed="false">
      <c r="A395" s="9" t="str">
        <f aca="false">IF(B395="","",ROW()-5)</f>
        <v/>
      </c>
      <c r="B395" s="40"/>
      <c r="C395" s="8"/>
      <c r="D395" s="9" t="str">
        <f aca="false">IF(B395="","",IF(J395="","Active","Exited"))</f>
        <v/>
      </c>
      <c r="E395" s="8"/>
      <c r="F395" s="8"/>
      <c r="G395" s="8"/>
      <c r="H395" s="9" t="str">
        <f aca="false">IF(OR(B395="",I395=""),"",IF(IF(J395="",AsOf,J395)-I395&gt;=Settings!$C$13,"Permanent","Probation"))</f>
        <v/>
      </c>
      <c r="I395" s="41"/>
      <c r="J395" s="41"/>
      <c r="K395" s="8"/>
      <c r="L395" s="42" t="str">
        <f aca="false">IF(OR(B395="",I395=""),"",ROUND((IF(J395="",AsOf,J395)-I395)/365.25,1))</f>
        <v/>
      </c>
      <c r="M395" s="8"/>
      <c r="N395" s="8"/>
      <c r="O395" s="8"/>
      <c r="P395" s="8"/>
      <c r="Q395" s="41"/>
      <c r="R395" s="43" t="str">
        <f aca="false">IF(OR(B395="",Q395=""),"",INT((AsOf-Q395)/365.25))</f>
        <v/>
      </c>
      <c r="S395" s="8"/>
      <c r="T395" s="40"/>
      <c r="U395" s="40"/>
      <c r="V395" s="40"/>
      <c r="W395" s="40"/>
      <c r="X395" s="8"/>
      <c r="Y395" s="8"/>
      <c r="Z395" s="8"/>
      <c r="AA395" s="8"/>
      <c r="AB395" s="8"/>
      <c r="AC395" s="8"/>
      <c r="AD395" s="8"/>
      <c r="AE395" s="40"/>
      <c r="AF395" s="8"/>
      <c r="AG395" s="40"/>
      <c r="AH395" s="40"/>
      <c r="AI395" s="8"/>
      <c r="AJ395" s="40"/>
      <c r="AK395" s="40"/>
      <c r="AL395" s="40"/>
      <c r="AM395" s="44"/>
      <c r="AN395" s="44"/>
      <c r="AO395" s="41"/>
      <c r="AP395" s="45" t="str">
        <f aca="false">IF(B395="","",IF(AND(ISNUMBER(AM395),ISNUMBER(AN395),AM395&gt;0,AN395&gt;0),AN395/AM395-1,""))</f>
        <v/>
      </c>
      <c r="AQ395" s="9" t="str">
        <f aca="false">IF(I395="","",(YEAR(I395)-IF(MONTH(I395)&lt;4,1,0))&amp;"-"&amp;RIGHT((YEAR(I395)-IF(MONTH(I395)&lt;4,1,0))+1,2))</f>
        <v/>
      </c>
      <c r="AR395" s="9" t="str">
        <f aca="false">IF(J395="","",(YEAR(J395)-IF(MONTH(J395)&lt;4,1,0))&amp;"-"&amp;RIGHT((YEAR(J395)-IF(MONTH(J395)&lt;4,1,0))+1,2))</f>
        <v/>
      </c>
      <c r="AS395" s="43" t="str">
        <f aca="false">IF(OR(B395="",Q395="",D395&lt;&gt;"Active"),"",DATE(YEAR(AsOf)+IF(DATE(YEAR(AsOf),MONTH(Q395),DAY(Q395))&lt;AsOf,1,0),MONTH(Q395),DAY(Q395))-AsOf)</f>
        <v/>
      </c>
      <c r="AT395" s="43" t="str">
        <f aca="false">IF(OR(B395="",I395="",D395&lt;&gt;"Active"),"",IF(YEAR(DATE(YEAR(AsOf)+IF(DATE(YEAR(AsOf),MONTH(I395),DAY(I395))&lt;AsOf,1,0),MONTH(I395),DAY(I395)))-YEAR(I395)&lt;1,"",DATE(YEAR(AsOf)+IF(DATE(YEAR(AsOf),MONTH(I395),DAY(I395))&lt;AsOf,1,0),MONTH(I395),DAY(I395))-AsOf))</f>
        <v/>
      </c>
      <c r="AU395" s="43" t="str">
        <f aca="false">IF(B395="","",IF(AV395="",0,LEN(AV395)-LEN(SUBSTITUTE(AV395,";",""))))</f>
        <v/>
      </c>
      <c r="AV395" s="9" t="str">
        <f aca="false">IF(B395="","",IF(COUNTIF($B$6:$B$505,B395)&gt;1,"Duplicate Emp Code; ","")&amp;IF(C395="","Name missing; ","")&amp;IF(I395="","DOJ missing; ","")&amp;IF(AND(J395&lt;&gt;"",I395&lt;&gt;"",J395&lt;I395),"Exit before DOJ; ","")&amp;IF(Q395="","DOB missing; ","")&amp;IF(T395="","Aadhaar missing; ",IF(LEN(T395)&lt;&gt;12,"Aadhaar not 12 digits; ",IF(COUNTIF($T$6:$T$505,T395)&gt;1,"Duplicate Aadhaar; ","")))&amp;IF(U395="","PAN missing; ",IF(LEN(U395)&lt;&gt;10,"PAN not 10 chars; ",""))&amp;IF(V395="","Mobile missing; ",IF(LEN(V395)&lt;&gt;10,"Mobile not 10 digits; ",""))&amp;IF(AG395="","Bank A/c missing; ","")&amp;IF(AH395="","IFSC missing; ",IF(LEN(AH395)&lt;&gt;11,"IFSC not 11 chars; ","")))</f>
        <v/>
      </c>
      <c r="AW395" s="46" t="str">
        <f aca="false">IF(AS395="","",AS395+ROW()/100000)</f>
        <v/>
      </c>
      <c r="AX395" s="46" t="str">
        <f aca="false">IF(AT395="","",AT395+ROW()/100000)</f>
        <v/>
      </c>
    </row>
    <row r="396" customFormat="false" ht="15" hidden="false" customHeight="false" outlineLevel="0" collapsed="false">
      <c r="A396" s="9" t="str">
        <f aca="false">IF(B396="","",ROW()-5)</f>
        <v/>
      </c>
      <c r="B396" s="40"/>
      <c r="C396" s="8"/>
      <c r="D396" s="9" t="str">
        <f aca="false">IF(B396="","",IF(J396="","Active","Exited"))</f>
        <v/>
      </c>
      <c r="E396" s="8"/>
      <c r="F396" s="8"/>
      <c r="G396" s="8"/>
      <c r="H396" s="9" t="str">
        <f aca="false">IF(OR(B396="",I396=""),"",IF(IF(J396="",AsOf,J396)-I396&gt;=Settings!$C$13,"Permanent","Probation"))</f>
        <v/>
      </c>
      <c r="I396" s="41"/>
      <c r="J396" s="41"/>
      <c r="K396" s="8"/>
      <c r="L396" s="42" t="str">
        <f aca="false">IF(OR(B396="",I396=""),"",ROUND((IF(J396="",AsOf,J396)-I396)/365.25,1))</f>
        <v/>
      </c>
      <c r="M396" s="8"/>
      <c r="N396" s="8"/>
      <c r="O396" s="8"/>
      <c r="P396" s="8"/>
      <c r="Q396" s="41"/>
      <c r="R396" s="43" t="str">
        <f aca="false">IF(OR(B396="",Q396=""),"",INT((AsOf-Q396)/365.25))</f>
        <v/>
      </c>
      <c r="S396" s="8"/>
      <c r="T396" s="40"/>
      <c r="U396" s="40"/>
      <c r="V396" s="40"/>
      <c r="W396" s="40"/>
      <c r="X396" s="8"/>
      <c r="Y396" s="8"/>
      <c r="Z396" s="8"/>
      <c r="AA396" s="8"/>
      <c r="AB396" s="8"/>
      <c r="AC396" s="8"/>
      <c r="AD396" s="8"/>
      <c r="AE396" s="40"/>
      <c r="AF396" s="8"/>
      <c r="AG396" s="40"/>
      <c r="AH396" s="40"/>
      <c r="AI396" s="8"/>
      <c r="AJ396" s="40"/>
      <c r="AK396" s="40"/>
      <c r="AL396" s="40"/>
      <c r="AM396" s="44"/>
      <c r="AN396" s="44"/>
      <c r="AO396" s="41"/>
      <c r="AP396" s="45" t="str">
        <f aca="false">IF(B396="","",IF(AND(ISNUMBER(AM396),ISNUMBER(AN396),AM396&gt;0,AN396&gt;0),AN396/AM396-1,""))</f>
        <v/>
      </c>
      <c r="AQ396" s="9" t="str">
        <f aca="false">IF(I396="","",(YEAR(I396)-IF(MONTH(I396)&lt;4,1,0))&amp;"-"&amp;RIGHT((YEAR(I396)-IF(MONTH(I396)&lt;4,1,0))+1,2))</f>
        <v/>
      </c>
      <c r="AR396" s="9" t="str">
        <f aca="false">IF(J396="","",(YEAR(J396)-IF(MONTH(J396)&lt;4,1,0))&amp;"-"&amp;RIGHT((YEAR(J396)-IF(MONTH(J396)&lt;4,1,0))+1,2))</f>
        <v/>
      </c>
      <c r="AS396" s="43" t="str">
        <f aca="false">IF(OR(B396="",Q396="",D396&lt;&gt;"Active"),"",DATE(YEAR(AsOf)+IF(DATE(YEAR(AsOf),MONTH(Q396),DAY(Q396))&lt;AsOf,1,0),MONTH(Q396),DAY(Q396))-AsOf)</f>
        <v/>
      </c>
      <c r="AT396" s="43" t="str">
        <f aca="false">IF(OR(B396="",I396="",D396&lt;&gt;"Active"),"",IF(YEAR(DATE(YEAR(AsOf)+IF(DATE(YEAR(AsOf),MONTH(I396),DAY(I396))&lt;AsOf,1,0),MONTH(I396),DAY(I396)))-YEAR(I396)&lt;1,"",DATE(YEAR(AsOf)+IF(DATE(YEAR(AsOf),MONTH(I396),DAY(I396))&lt;AsOf,1,0),MONTH(I396),DAY(I396))-AsOf))</f>
        <v/>
      </c>
      <c r="AU396" s="43" t="str">
        <f aca="false">IF(B396="","",IF(AV396="",0,LEN(AV396)-LEN(SUBSTITUTE(AV396,";",""))))</f>
        <v/>
      </c>
      <c r="AV396" s="9" t="str">
        <f aca="false">IF(B396="","",IF(COUNTIF($B$6:$B$505,B396)&gt;1,"Duplicate Emp Code; ","")&amp;IF(C396="","Name missing; ","")&amp;IF(I396="","DOJ missing; ","")&amp;IF(AND(J396&lt;&gt;"",I396&lt;&gt;"",J396&lt;I396),"Exit before DOJ; ","")&amp;IF(Q396="","DOB missing; ","")&amp;IF(T396="","Aadhaar missing; ",IF(LEN(T396)&lt;&gt;12,"Aadhaar not 12 digits; ",IF(COUNTIF($T$6:$T$505,T396)&gt;1,"Duplicate Aadhaar; ","")))&amp;IF(U396="","PAN missing; ",IF(LEN(U396)&lt;&gt;10,"PAN not 10 chars; ",""))&amp;IF(V396="","Mobile missing; ",IF(LEN(V396)&lt;&gt;10,"Mobile not 10 digits; ",""))&amp;IF(AG396="","Bank A/c missing; ","")&amp;IF(AH396="","IFSC missing; ",IF(LEN(AH396)&lt;&gt;11,"IFSC not 11 chars; ","")))</f>
        <v/>
      </c>
      <c r="AW396" s="46" t="str">
        <f aca="false">IF(AS396="","",AS396+ROW()/100000)</f>
        <v/>
      </c>
      <c r="AX396" s="46" t="str">
        <f aca="false">IF(AT396="","",AT396+ROW()/100000)</f>
        <v/>
      </c>
    </row>
    <row r="397" customFormat="false" ht="15" hidden="false" customHeight="false" outlineLevel="0" collapsed="false">
      <c r="A397" s="9" t="str">
        <f aca="false">IF(B397="","",ROW()-5)</f>
        <v/>
      </c>
      <c r="B397" s="40"/>
      <c r="C397" s="8"/>
      <c r="D397" s="9" t="str">
        <f aca="false">IF(B397="","",IF(J397="","Active","Exited"))</f>
        <v/>
      </c>
      <c r="E397" s="8"/>
      <c r="F397" s="8"/>
      <c r="G397" s="8"/>
      <c r="H397" s="9" t="str">
        <f aca="false">IF(OR(B397="",I397=""),"",IF(IF(J397="",AsOf,J397)-I397&gt;=Settings!$C$13,"Permanent","Probation"))</f>
        <v/>
      </c>
      <c r="I397" s="41"/>
      <c r="J397" s="41"/>
      <c r="K397" s="8"/>
      <c r="L397" s="42" t="str">
        <f aca="false">IF(OR(B397="",I397=""),"",ROUND((IF(J397="",AsOf,J397)-I397)/365.25,1))</f>
        <v/>
      </c>
      <c r="M397" s="8"/>
      <c r="N397" s="8"/>
      <c r="O397" s="8"/>
      <c r="P397" s="8"/>
      <c r="Q397" s="41"/>
      <c r="R397" s="43" t="str">
        <f aca="false">IF(OR(B397="",Q397=""),"",INT((AsOf-Q397)/365.25))</f>
        <v/>
      </c>
      <c r="S397" s="8"/>
      <c r="T397" s="40"/>
      <c r="U397" s="40"/>
      <c r="V397" s="40"/>
      <c r="W397" s="40"/>
      <c r="X397" s="8"/>
      <c r="Y397" s="8"/>
      <c r="Z397" s="8"/>
      <c r="AA397" s="8"/>
      <c r="AB397" s="8"/>
      <c r="AC397" s="8"/>
      <c r="AD397" s="8"/>
      <c r="AE397" s="40"/>
      <c r="AF397" s="8"/>
      <c r="AG397" s="40"/>
      <c r="AH397" s="40"/>
      <c r="AI397" s="8"/>
      <c r="AJ397" s="40"/>
      <c r="AK397" s="40"/>
      <c r="AL397" s="40"/>
      <c r="AM397" s="44"/>
      <c r="AN397" s="44"/>
      <c r="AO397" s="41"/>
      <c r="AP397" s="45" t="str">
        <f aca="false">IF(B397="","",IF(AND(ISNUMBER(AM397),ISNUMBER(AN397),AM397&gt;0,AN397&gt;0),AN397/AM397-1,""))</f>
        <v/>
      </c>
      <c r="AQ397" s="9" t="str">
        <f aca="false">IF(I397="","",(YEAR(I397)-IF(MONTH(I397)&lt;4,1,0))&amp;"-"&amp;RIGHT((YEAR(I397)-IF(MONTH(I397)&lt;4,1,0))+1,2))</f>
        <v/>
      </c>
      <c r="AR397" s="9" t="str">
        <f aca="false">IF(J397="","",(YEAR(J397)-IF(MONTH(J397)&lt;4,1,0))&amp;"-"&amp;RIGHT((YEAR(J397)-IF(MONTH(J397)&lt;4,1,0))+1,2))</f>
        <v/>
      </c>
      <c r="AS397" s="43" t="str">
        <f aca="false">IF(OR(B397="",Q397="",D397&lt;&gt;"Active"),"",DATE(YEAR(AsOf)+IF(DATE(YEAR(AsOf),MONTH(Q397),DAY(Q397))&lt;AsOf,1,0),MONTH(Q397),DAY(Q397))-AsOf)</f>
        <v/>
      </c>
      <c r="AT397" s="43" t="str">
        <f aca="false">IF(OR(B397="",I397="",D397&lt;&gt;"Active"),"",IF(YEAR(DATE(YEAR(AsOf)+IF(DATE(YEAR(AsOf),MONTH(I397),DAY(I397))&lt;AsOf,1,0),MONTH(I397),DAY(I397)))-YEAR(I397)&lt;1,"",DATE(YEAR(AsOf)+IF(DATE(YEAR(AsOf),MONTH(I397),DAY(I397))&lt;AsOf,1,0),MONTH(I397),DAY(I397))-AsOf))</f>
        <v/>
      </c>
      <c r="AU397" s="43" t="str">
        <f aca="false">IF(B397="","",IF(AV397="",0,LEN(AV397)-LEN(SUBSTITUTE(AV397,";",""))))</f>
        <v/>
      </c>
      <c r="AV397" s="9" t="str">
        <f aca="false">IF(B397="","",IF(COUNTIF($B$6:$B$505,B397)&gt;1,"Duplicate Emp Code; ","")&amp;IF(C397="","Name missing; ","")&amp;IF(I397="","DOJ missing; ","")&amp;IF(AND(J397&lt;&gt;"",I397&lt;&gt;"",J397&lt;I397),"Exit before DOJ; ","")&amp;IF(Q397="","DOB missing; ","")&amp;IF(T397="","Aadhaar missing; ",IF(LEN(T397)&lt;&gt;12,"Aadhaar not 12 digits; ",IF(COUNTIF($T$6:$T$505,T397)&gt;1,"Duplicate Aadhaar; ","")))&amp;IF(U397="","PAN missing; ",IF(LEN(U397)&lt;&gt;10,"PAN not 10 chars; ",""))&amp;IF(V397="","Mobile missing; ",IF(LEN(V397)&lt;&gt;10,"Mobile not 10 digits; ",""))&amp;IF(AG397="","Bank A/c missing; ","")&amp;IF(AH397="","IFSC missing; ",IF(LEN(AH397)&lt;&gt;11,"IFSC not 11 chars; ","")))</f>
        <v/>
      </c>
      <c r="AW397" s="46" t="str">
        <f aca="false">IF(AS397="","",AS397+ROW()/100000)</f>
        <v/>
      </c>
      <c r="AX397" s="46" t="str">
        <f aca="false">IF(AT397="","",AT397+ROW()/100000)</f>
        <v/>
      </c>
    </row>
    <row r="398" customFormat="false" ht="15" hidden="false" customHeight="false" outlineLevel="0" collapsed="false">
      <c r="A398" s="9" t="str">
        <f aca="false">IF(B398="","",ROW()-5)</f>
        <v/>
      </c>
      <c r="B398" s="40"/>
      <c r="C398" s="8"/>
      <c r="D398" s="9" t="str">
        <f aca="false">IF(B398="","",IF(J398="","Active","Exited"))</f>
        <v/>
      </c>
      <c r="E398" s="8"/>
      <c r="F398" s="8"/>
      <c r="G398" s="8"/>
      <c r="H398" s="9" t="str">
        <f aca="false">IF(OR(B398="",I398=""),"",IF(IF(J398="",AsOf,J398)-I398&gt;=Settings!$C$13,"Permanent","Probation"))</f>
        <v/>
      </c>
      <c r="I398" s="41"/>
      <c r="J398" s="41"/>
      <c r="K398" s="8"/>
      <c r="L398" s="42" t="str">
        <f aca="false">IF(OR(B398="",I398=""),"",ROUND((IF(J398="",AsOf,J398)-I398)/365.25,1))</f>
        <v/>
      </c>
      <c r="M398" s="8"/>
      <c r="N398" s="8"/>
      <c r="O398" s="8"/>
      <c r="P398" s="8"/>
      <c r="Q398" s="41"/>
      <c r="R398" s="43" t="str">
        <f aca="false">IF(OR(B398="",Q398=""),"",INT((AsOf-Q398)/365.25))</f>
        <v/>
      </c>
      <c r="S398" s="8"/>
      <c r="T398" s="40"/>
      <c r="U398" s="40"/>
      <c r="V398" s="40"/>
      <c r="W398" s="40"/>
      <c r="X398" s="8"/>
      <c r="Y398" s="8"/>
      <c r="Z398" s="8"/>
      <c r="AA398" s="8"/>
      <c r="AB398" s="8"/>
      <c r="AC398" s="8"/>
      <c r="AD398" s="8"/>
      <c r="AE398" s="40"/>
      <c r="AF398" s="8"/>
      <c r="AG398" s="40"/>
      <c r="AH398" s="40"/>
      <c r="AI398" s="8"/>
      <c r="AJ398" s="40"/>
      <c r="AK398" s="40"/>
      <c r="AL398" s="40"/>
      <c r="AM398" s="44"/>
      <c r="AN398" s="44"/>
      <c r="AO398" s="41"/>
      <c r="AP398" s="45" t="str">
        <f aca="false">IF(B398="","",IF(AND(ISNUMBER(AM398),ISNUMBER(AN398),AM398&gt;0,AN398&gt;0),AN398/AM398-1,""))</f>
        <v/>
      </c>
      <c r="AQ398" s="9" t="str">
        <f aca="false">IF(I398="","",(YEAR(I398)-IF(MONTH(I398)&lt;4,1,0))&amp;"-"&amp;RIGHT((YEAR(I398)-IF(MONTH(I398)&lt;4,1,0))+1,2))</f>
        <v/>
      </c>
      <c r="AR398" s="9" t="str">
        <f aca="false">IF(J398="","",(YEAR(J398)-IF(MONTH(J398)&lt;4,1,0))&amp;"-"&amp;RIGHT((YEAR(J398)-IF(MONTH(J398)&lt;4,1,0))+1,2))</f>
        <v/>
      </c>
      <c r="AS398" s="43" t="str">
        <f aca="false">IF(OR(B398="",Q398="",D398&lt;&gt;"Active"),"",DATE(YEAR(AsOf)+IF(DATE(YEAR(AsOf),MONTH(Q398),DAY(Q398))&lt;AsOf,1,0),MONTH(Q398),DAY(Q398))-AsOf)</f>
        <v/>
      </c>
      <c r="AT398" s="43" t="str">
        <f aca="false">IF(OR(B398="",I398="",D398&lt;&gt;"Active"),"",IF(YEAR(DATE(YEAR(AsOf)+IF(DATE(YEAR(AsOf),MONTH(I398),DAY(I398))&lt;AsOf,1,0),MONTH(I398),DAY(I398)))-YEAR(I398)&lt;1,"",DATE(YEAR(AsOf)+IF(DATE(YEAR(AsOf),MONTH(I398),DAY(I398))&lt;AsOf,1,0),MONTH(I398),DAY(I398))-AsOf))</f>
        <v/>
      </c>
      <c r="AU398" s="43" t="str">
        <f aca="false">IF(B398="","",IF(AV398="",0,LEN(AV398)-LEN(SUBSTITUTE(AV398,";",""))))</f>
        <v/>
      </c>
      <c r="AV398" s="9" t="str">
        <f aca="false">IF(B398="","",IF(COUNTIF($B$6:$B$505,B398)&gt;1,"Duplicate Emp Code; ","")&amp;IF(C398="","Name missing; ","")&amp;IF(I398="","DOJ missing; ","")&amp;IF(AND(J398&lt;&gt;"",I398&lt;&gt;"",J398&lt;I398),"Exit before DOJ; ","")&amp;IF(Q398="","DOB missing; ","")&amp;IF(T398="","Aadhaar missing; ",IF(LEN(T398)&lt;&gt;12,"Aadhaar not 12 digits; ",IF(COUNTIF($T$6:$T$505,T398)&gt;1,"Duplicate Aadhaar; ","")))&amp;IF(U398="","PAN missing; ",IF(LEN(U398)&lt;&gt;10,"PAN not 10 chars; ",""))&amp;IF(V398="","Mobile missing; ",IF(LEN(V398)&lt;&gt;10,"Mobile not 10 digits; ",""))&amp;IF(AG398="","Bank A/c missing; ","")&amp;IF(AH398="","IFSC missing; ",IF(LEN(AH398)&lt;&gt;11,"IFSC not 11 chars; ","")))</f>
        <v/>
      </c>
      <c r="AW398" s="46" t="str">
        <f aca="false">IF(AS398="","",AS398+ROW()/100000)</f>
        <v/>
      </c>
      <c r="AX398" s="46" t="str">
        <f aca="false">IF(AT398="","",AT398+ROW()/100000)</f>
        <v/>
      </c>
    </row>
    <row r="399" customFormat="false" ht="15" hidden="false" customHeight="false" outlineLevel="0" collapsed="false">
      <c r="A399" s="9" t="str">
        <f aca="false">IF(B399="","",ROW()-5)</f>
        <v/>
      </c>
      <c r="B399" s="40"/>
      <c r="C399" s="8"/>
      <c r="D399" s="9" t="str">
        <f aca="false">IF(B399="","",IF(J399="","Active","Exited"))</f>
        <v/>
      </c>
      <c r="E399" s="8"/>
      <c r="F399" s="8"/>
      <c r="G399" s="8"/>
      <c r="H399" s="9" t="str">
        <f aca="false">IF(OR(B399="",I399=""),"",IF(IF(J399="",AsOf,J399)-I399&gt;=Settings!$C$13,"Permanent","Probation"))</f>
        <v/>
      </c>
      <c r="I399" s="41"/>
      <c r="J399" s="41"/>
      <c r="K399" s="8"/>
      <c r="L399" s="42" t="str">
        <f aca="false">IF(OR(B399="",I399=""),"",ROUND((IF(J399="",AsOf,J399)-I399)/365.25,1))</f>
        <v/>
      </c>
      <c r="M399" s="8"/>
      <c r="N399" s="8"/>
      <c r="O399" s="8"/>
      <c r="P399" s="8"/>
      <c r="Q399" s="41"/>
      <c r="R399" s="43" t="str">
        <f aca="false">IF(OR(B399="",Q399=""),"",INT((AsOf-Q399)/365.25))</f>
        <v/>
      </c>
      <c r="S399" s="8"/>
      <c r="T399" s="40"/>
      <c r="U399" s="40"/>
      <c r="V399" s="40"/>
      <c r="W399" s="40"/>
      <c r="X399" s="8"/>
      <c r="Y399" s="8"/>
      <c r="Z399" s="8"/>
      <c r="AA399" s="8"/>
      <c r="AB399" s="8"/>
      <c r="AC399" s="8"/>
      <c r="AD399" s="8"/>
      <c r="AE399" s="40"/>
      <c r="AF399" s="8"/>
      <c r="AG399" s="40"/>
      <c r="AH399" s="40"/>
      <c r="AI399" s="8"/>
      <c r="AJ399" s="40"/>
      <c r="AK399" s="40"/>
      <c r="AL399" s="40"/>
      <c r="AM399" s="44"/>
      <c r="AN399" s="44"/>
      <c r="AO399" s="41"/>
      <c r="AP399" s="45" t="str">
        <f aca="false">IF(B399="","",IF(AND(ISNUMBER(AM399),ISNUMBER(AN399),AM399&gt;0,AN399&gt;0),AN399/AM399-1,""))</f>
        <v/>
      </c>
      <c r="AQ399" s="9" t="str">
        <f aca="false">IF(I399="","",(YEAR(I399)-IF(MONTH(I399)&lt;4,1,0))&amp;"-"&amp;RIGHT((YEAR(I399)-IF(MONTH(I399)&lt;4,1,0))+1,2))</f>
        <v/>
      </c>
      <c r="AR399" s="9" t="str">
        <f aca="false">IF(J399="","",(YEAR(J399)-IF(MONTH(J399)&lt;4,1,0))&amp;"-"&amp;RIGHT((YEAR(J399)-IF(MONTH(J399)&lt;4,1,0))+1,2))</f>
        <v/>
      </c>
      <c r="AS399" s="43" t="str">
        <f aca="false">IF(OR(B399="",Q399="",D399&lt;&gt;"Active"),"",DATE(YEAR(AsOf)+IF(DATE(YEAR(AsOf),MONTH(Q399),DAY(Q399))&lt;AsOf,1,0),MONTH(Q399),DAY(Q399))-AsOf)</f>
        <v/>
      </c>
      <c r="AT399" s="43" t="str">
        <f aca="false">IF(OR(B399="",I399="",D399&lt;&gt;"Active"),"",IF(YEAR(DATE(YEAR(AsOf)+IF(DATE(YEAR(AsOf),MONTH(I399),DAY(I399))&lt;AsOf,1,0),MONTH(I399),DAY(I399)))-YEAR(I399)&lt;1,"",DATE(YEAR(AsOf)+IF(DATE(YEAR(AsOf),MONTH(I399),DAY(I399))&lt;AsOf,1,0),MONTH(I399),DAY(I399))-AsOf))</f>
        <v/>
      </c>
      <c r="AU399" s="43" t="str">
        <f aca="false">IF(B399="","",IF(AV399="",0,LEN(AV399)-LEN(SUBSTITUTE(AV399,";",""))))</f>
        <v/>
      </c>
      <c r="AV399" s="9" t="str">
        <f aca="false">IF(B399="","",IF(COUNTIF($B$6:$B$505,B399)&gt;1,"Duplicate Emp Code; ","")&amp;IF(C399="","Name missing; ","")&amp;IF(I399="","DOJ missing; ","")&amp;IF(AND(J399&lt;&gt;"",I399&lt;&gt;"",J399&lt;I399),"Exit before DOJ; ","")&amp;IF(Q399="","DOB missing; ","")&amp;IF(T399="","Aadhaar missing; ",IF(LEN(T399)&lt;&gt;12,"Aadhaar not 12 digits; ",IF(COUNTIF($T$6:$T$505,T399)&gt;1,"Duplicate Aadhaar; ","")))&amp;IF(U399="","PAN missing; ",IF(LEN(U399)&lt;&gt;10,"PAN not 10 chars; ",""))&amp;IF(V399="","Mobile missing; ",IF(LEN(V399)&lt;&gt;10,"Mobile not 10 digits; ",""))&amp;IF(AG399="","Bank A/c missing; ","")&amp;IF(AH399="","IFSC missing; ",IF(LEN(AH399)&lt;&gt;11,"IFSC not 11 chars; ","")))</f>
        <v/>
      </c>
      <c r="AW399" s="46" t="str">
        <f aca="false">IF(AS399="","",AS399+ROW()/100000)</f>
        <v/>
      </c>
      <c r="AX399" s="46" t="str">
        <f aca="false">IF(AT399="","",AT399+ROW()/100000)</f>
        <v/>
      </c>
    </row>
    <row r="400" customFormat="false" ht="15" hidden="false" customHeight="false" outlineLevel="0" collapsed="false">
      <c r="A400" s="9" t="str">
        <f aca="false">IF(B400="","",ROW()-5)</f>
        <v/>
      </c>
      <c r="B400" s="40"/>
      <c r="C400" s="8"/>
      <c r="D400" s="9" t="str">
        <f aca="false">IF(B400="","",IF(J400="","Active","Exited"))</f>
        <v/>
      </c>
      <c r="E400" s="8"/>
      <c r="F400" s="8"/>
      <c r="G400" s="8"/>
      <c r="H400" s="9" t="str">
        <f aca="false">IF(OR(B400="",I400=""),"",IF(IF(J400="",AsOf,J400)-I400&gt;=Settings!$C$13,"Permanent","Probation"))</f>
        <v/>
      </c>
      <c r="I400" s="41"/>
      <c r="J400" s="41"/>
      <c r="K400" s="8"/>
      <c r="L400" s="42" t="str">
        <f aca="false">IF(OR(B400="",I400=""),"",ROUND((IF(J400="",AsOf,J400)-I400)/365.25,1))</f>
        <v/>
      </c>
      <c r="M400" s="8"/>
      <c r="N400" s="8"/>
      <c r="O400" s="8"/>
      <c r="P400" s="8"/>
      <c r="Q400" s="41"/>
      <c r="R400" s="43" t="str">
        <f aca="false">IF(OR(B400="",Q400=""),"",INT((AsOf-Q400)/365.25))</f>
        <v/>
      </c>
      <c r="S400" s="8"/>
      <c r="T400" s="40"/>
      <c r="U400" s="40"/>
      <c r="V400" s="40"/>
      <c r="W400" s="40"/>
      <c r="X400" s="8"/>
      <c r="Y400" s="8"/>
      <c r="Z400" s="8"/>
      <c r="AA400" s="8"/>
      <c r="AB400" s="8"/>
      <c r="AC400" s="8"/>
      <c r="AD400" s="8"/>
      <c r="AE400" s="40"/>
      <c r="AF400" s="8"/>
      <c r="AG400" s="40"/>
      <c r="AH400" s="40"/>
      <c r="AI400" s="8"/>
      <c r="AJ400" s="40"/>
      <c r="AK400" s="40"/>
      <c r="AL400" s="40"/>
      <c r="AM400" s="44"/>
      <c r="AN400" s="44"/>
      <c r="AO400" s="41"/>
      <c r="AP400" s="45" t="str">
        <f aca="false">IF(B400="","",IF(AND(ISNUMBER(AM400),ISNUMBER(AN400),AM400&gt;0,AN400&gt;0),AN400/AM400-1,""))</f>
        <v/>
      </c>
      <c r="AQ400" s="9" t="str">
        <f aca="false">IF(I400="","",(YEAR(I400)-IF(MONTH(I400)&lt;4,1,0))&amp;"-"&amp;RIGHT((YEAR(I400)-IF(MONTH(I400)&lt;4,1,0))+1,2))</f>
        <v/>
      </c>
      <c r="AR400" s="9" t="str">
        <f aca="false">IF(J400="","",(YEAR(J400)-IF(MONTH(J400)&lt;4,1,0))&amp;"-"&amp;RIGHT((YEAR(J400)-IF(MONTH(J400)&lt;4,1,0))+1,2))</f>
        <v/>
      </c>
      <c r="AS400" s="43" t="str">
        <f aca="false">IF(OR(B400="",Q400="",D400&lt;&gt;"Active"),"",DATE(YEAR(AsOf)+IF(DATE(YEAR(AsOf),MONTH(Q400),DAY(Q400))&lt;AsOf,1,0),MONTH(Q400),DAY(Q400))-AsOf)</f>
        <v/>
      </c>
      <c r="AT400" s="43" t="str">
        <f aca="false">IF(OR(B400="",I400="",D400&lt;&gt;"Active"),"",IF(YEAR(DATE(YEAR(AsOf)+IF(DATE(YEAR(AsOf),MONTH(I400),DAY(I400))&lt;AsOf,1,0),MONTH(I400),DAY(I400)))-YEAR(I400)&lt;1,"",DATE(YEAR(AsOf)+IF(DATE(YEAR(AsOf),MONTH(I400),DAY(I400))&lt;AsOf,1,0),MONTH(I400),DAY(I400))-AsOf))</f>
        <v/>
      </c>
      <c r="AU400" s="43" t="str">
        <f aca="false">IF(B400="","",IF(AV400="",0,LEN(AV400)-LEN(SUBSTITUTE(AV400,";",""))))</f>
        <v/>
      </c>
      <c r="AV400" s="9" t="str">
        <f aca="false">IF(B400="","",IF(COUNTIF($B$6:$B$505,B400)&gt;1,"Duplicate Emp Code; ","")&amp;IF(C400="","Name missing; ","")&amp;IF(I400="","DOJ missing; ","")&amp;IF(AND(J400&lt;&gt;"",I400&lt;&gt;"",J400&lt;I400),"Exit before DOJ; ","")&amp;IF(Q400="","DOB missing; ","")&amp;IF(T400="","Aadhaar missing; ",IF(LEN(T400)&lt;&gt;12,"Aadhaar not 12 digits; ",IF(COUNTIF($T$6:$T$505,T400)&gt;1,"Duplicate Aadhaar; ","")))&amp;IF(U400="","PAN missing; ",IF(LEN(U400)&lt;&gt;10,"PAN not 10 chars; ",""))&amp;IF(V400="","Mobile missing; ",IF(LEN(V400)&lt;&gt;10,"Mobile not 10 digits; ",""))&amp;IF(AG400="","Bank A/c missing; ","")&amp;IF(AH400="","IFSC missing; ",IF(LEN(AH400)&lt;&gt;11,"IFSC not 11 chars; ","")))</f>
        <v/>
      </c>
      <c r="AW400" s="46" t="str">
        <f aca="false">IF(AS400="","",AS400+ROW()/100000)</f>
        <v/>
      </c>
      <c r="AX400" s="46" t="str">
        <f aca="false">IF(AT400="","",AT400+ROW()/100000)</f>
        <v/>
      </c>
    </row>
    <row r="401" customFormat="false" ht="15" hidden="false" customHeight="false" outlineLevel="0" collapsed="false">
      <c r="A401" s="9" t="str">
        <f aca="false">IF(B401="","",ROW()-5)</f>
        <v/>
      </c>
      <c r="B401" s="40"/>
      <c r="C401" s="8"/>
      <c r="D401" s="9" t="str">
        <f aca="false">IF(B401="","",IF(J401="","Active","Exited"))</f>
        <v/>
      </c>
      <c r="E401" s="8"/>
      <c r="F401" s="8"/>
      <c r="G401" s="8"/>
      <c r="H401" s="9" t="str">
        <f aca="false">IF(OR(B401="",I401=""),"",IF(IF(J401="",AsOf,J401)-I401&gt;=Settings!$C$13,"Permanent","Probation"))</f>
        <v/>
      </c>
      <c r="I401" s="41"/>
      <c r="J401" s="41"/>
      <c r="K401" s="8"/>
      <c r="L401" s="42" t="str">
        <f aca="false">IF(OR(B401="",I401=""),"",ROUND((IF(J401="",AsOf,J401)-I401)/365.25,1))</f>
        <v/>
      </c>
      <c r="M401" s="8"/>
      <c r="N401" s="8"/>
      <c r="O401" s="8"/>
      <c r="P401" s="8"/>
      <c r="Q401" s="41"/>
      <c r="R401" s="43" t="str">
        <f aca="false">IF(OR(B401="",Q401=""),"",INT((AsOf-Q401)/365.25))</f>
        <v/>
      </c>
      <c r="S401" s="8"/>
      <c r="T401" s="40"/>
      <c r="U401" s="40"/>
      <c r="V401" s="40"/>
      <c r="W401" s="40"/>
      <c r="X401" s="8"/>
      <c r="Y401" s="8"/>
      <c r="Z401" s="8"/>
      <c r="AA401" s="8"/>
      <c r="AB401" s="8"/>
      <c r="AC401" s="8"/>
      <c r="AD401" s="8"/>
      <c r="AE401" s="40"/>
      <c r="AF401" s="8"/>
      <c r="AG401" s="40"/>
      <c r="AH401" s="40"/>
      <c r="AI401" s="8"/>
      <c r="AJ401" s="40"/>
      <c r="AK401" s="40"/>
      <c r="AL401" s="40"/>
      <c r="AM401" s="44"/>
      <c r="AN401" s="44"/>
      <c r="AO401" s="41"/>
      <c r="AP401" s="45" t="str">
        <f aca="false">IF(B401="","",IF(AND(ISNUMBER(AM401),ISNUMBER(AN401),AM401&gt;0,AN401&gt;0),AN401/AM401-1,""))</f>
        <v/>
      </c>
      <c r="AQ401" s="9" t="str">
        <f aca="false">IF(I401="","",(YEAR(I401)-IF(MONTH(I401)&lt;4,1,0))&amp;"-"&amp;RIGHT((YEAR(I401)-IF(MONTH(I401)&lt;4,1,0))+1,2))</f>
        <v/>
      </c>
      <c r="AR401" s="9" t="str">
        <f aca="false">IF(J401="","",(YEAR(J401)-IF(MONTH(J401)&lt;4,1,0))&amp;"-"&amp;RIGHT((YEAR(J401)-IF(MONTH(J401)&lt;4,1,0))+1,2))</f>
        <v/>
      </c>
      <c r="AS401" s="43" t="str">
        <f aca="false">IF(OR(B401="",Q401="",D401&lt;&gt;"Active"),"",DATE(YEAR(AsOf)+IF(DATE(YEAR(AsOf),MONTH(Q401),DAY(Q401))&lt;AsOf,1,0),MONTH(Q401),DAY(Q401))-AsOf)</f>
        <v/>
      </c>
      <c r="AT401" s="43" t="str">
        <f aca="false">IF(OR(B401="",I401="",D401&lt;&gt;"Active"),"",IF(YEAR(DATE(YEAR(AsOf)+IF(DATE(YEAR(AsOf),MONTH(I401),DAY(I401))&lt;AsOf,1,0),MONTH(I401),DAY(I401)))-YEAR(I401)&lt;1,"",DATE(YEAR(AsOf)+IF(DATE(YEAR(AsOf),MONTH(I401),DAY(I401))&lt;AsOf,1,0),MONTH(I401),DAY(I401))-AsOf))</f>
        <v/>
      </c>
      <c r="AU401" s="43" t="str">
        <f aca="false">IF(B401="","",IF(AV401="",0,LEN(AV401)-LEN(SUBSTITUTE(AV401,";",""))))</f>
        <v/>
      </c>
      <c r="AV401" s="9" t="str">
        <f aca="false">IF(B401="","",IF(COUNTIF($B$6:$B$505,B401)&gt;1,"Duplicate Emp Code; ","")&amp;IF(C401="","Name missing; ","")&amp;IF(I401="","DOJ missing; ","")&amp;IF(AND(J401&lt;&gt;"",I401&lt;&gt;"",J401&lt;I401),"Exit before DOJ; ","")&amp;IF(Q401="","DOB missing; ","")&amp;IF(T401="","Aadhaar missing; ",IF(LEN(T401)&lt;&gt;12,"Aadhaar not 12 digits; ",IF(COUNTIF($T$6:$T$505,T401)&gt;1,"Duplicate Aadhaar; ","")))&amp;IF(U401="","PAN missing; ",IF(LEN(U401)&lt;&gt;10,"PAN not 10 chars; ",""))&amp;IF(V401="","Mobile missing; ",IF(LEN(V401)&lt;&gt;10,"Mobile not 10 digits; ",""))&amp;IF(AG401="","Bank A/c missing; ","")&amp;IF(AH401="","IFSC missing; ",IF(LEN(AH401)&lt;&gt;11,"IFSC not 11 chars; ","")))</f>
        <v/>
      </c>
      <c r="AW401" s="46" t="str">
        <f aca="false">IF(AS401="","",AS401+ROW()/100000)</f>
        <v/>
      </c>
      <c r="AX401" s="46" t="str">
        <f aca="false">IF(AT401="","",AT401+ROW()/100000)</f>
        <v/>
      </c>
    </row>
    <row r="402" customFormat="false" ht="15" hidden="false" customHeight="false" outlineLevel="0" collapsed="false">
      <c r="A402" s="9" t="str">
        <f aca="false">IF(B402="","",ROW()-5)</f>
        <v/>
      </c>
      <c r="B402" s="40"/>
      <c r="C402" s="8"/>
      <c r="D402" s="9" t="str">
        <f aca="false">IF(B402="","",IF(J402="","Active","Exited"))</f>
        <v/>
      </c>
      <c r="E402" s="8"/>
      <c r="F402" s="8"/>
      <c r="G402" s="8"/>
      <c r="H402" s="9" t="str">
        <f aca="false">IF(OR(B402="",I402=""),"",IF(IF(J402="",AsOf,J402)-I402&gt;=Settings!$C$13,"Permanent","Probation"))</f>
        <v/>
      </c>
      <c r="I402" s="41"/>
      <c r="J402" s="41"/>
      <c r="K402" s="8"/>
      <c r="L402" s="42" t="str">
        <f aca="false">IF(OR(B402="",I402=""),"",ROUND((IF(J402="",AsOf,J402)-I402)/365.25,1))</f>
        <v/>
      </c>
      <c r="M402" s="8"/>
      <c r="N402" s="8"/>
      <c r="O402" s="8"/>
      <c r="P402" s="8"/>
      <c r="Q402" s="41"/>
      <c r="R402" s="43" t="str">
        <f aca="false">IF(OR(B402="",Q402=""),"",INT((AsOf-Q402)/365.25))</f>
        <v/>
      </c>
      <c r="S402" s="8"/>
      <c r="T402" s="40"/>
      <c r="U402" s="40"/>
      <c r="V402" s="40"/>
      <c r="W402" s="40"/>
      <c r="X402" s="8"/>
      <c r="Y402" s="8"/>
      <c r="Z402" s="8"/>
      <c r="AA402" s="8"/>
      <c r="AB402" s="8"/>
      <c r="AC402" s="8"/>
      <c r="AD402" s="8"/>
      <c r="AE402" s="40"/>
      <c r="AF402" s="8"/>
      <c r="AG402" s="40"/>
      <c r="AH402" s="40"/>
      <c r="AI402" s="8"/>
      <c r="AJ402" s="40"/>
      <c r="AK402" s="40"/>
      <c r="AL402" s="40"/>
      <c r="AM402" s="44"/>
      <c r="AN402" s="44"/>
      <c r="AO402" s="41"/>
      <c r="AP402" s="45" t="str">
        <f aca="false">IF(B402="","",IF(AND(ISNUMBER(AM402),ISNUMBER(AN402),AM402&gt;0,AN402&gt;0),AN402/AM402-1,""))</f>
        <v/>
      </c>
      <c r="AQ402" s="9" t="str">
        <f aca="false">IF(I402="","",(YEAR(I402)-IF(MONTH(I402)&lt;4,1,0))&amp;"-"&amp;RIGHT((YEAR(I402)-IF(MONTH(I402)&lt;4,1,0))+1,2))</f>
        <v/>
      </c>
      <c r="AR402" s="9" t="str">
        <f aca="false">IF(J402="","",(YEAR(J402)-IF(MONTH(J402)&lt;4,1,0))&amp;"-"&amp;RIGHT((YEAR(J402)-IF(MONTH(J402)&lt;4,1,0))+1,2))</f>
        <v/>
      </c>
      <c r="AS402" s="43" t="str">
        <f aca="false">IF(OR(B402="",Q402="",D402&lt;&gt;"Active"),"",DATE(YEAR(AsOf)+IF(DATE(YEAR(AsOf),MONTH(Q402),DAY(Q402))&lt;AsOf,1,0),MONTH(Q402),DAY(Q402))-AsOf)</f>
        <v/>
      </c>
      <c r="AT402" s="43" t="str">
        <f aca="false">IF(OR(B402="",I402="",D402&lt;&gt;"Active"),"",IF(YEAR(DATE(YEAR(AsOf)+IF(DATE(YEAR(AsOf),MONTH(I402),DAY(I402))&lt;AsOf,1,0),MONTH(I402),DAY(I402)))-YEAR(I402)&lt;1,"",DATE(YEAR(AsOf)+IF(DATE(YEAR(AsOf),MONTH(I402),DAY(I402))&lt;AsOf,1,0),MONTH(I402),DAY(I402))-AsOf))</f>
        <v/>
      </c>
      <c r="AU402" s="43" t="str">
        <f aca="false">IF(B402="","",IF(AV402="",0,LEN(AV402)-LEN(SUBSTITUTE(AV402,";",""))))</f>
        <v/>
      </c>
      <c r="AV402" s="9" t="str">
        <f aca="false">IF(B402="","",IF(COUNTIF($B$6:$B$505,B402)&gt;1,"Duplicate Emp Code; ","")&amp;IF(C402="","Name missing; ","")&amp;IF(I402="","DOJ missing; ","")&amp;IF(AND(J402&lt;&gt;"",I402&lt;&gt;"",J402&lt;I402),"Exit before DOJ; ","")&amp;IF(Q402="","DOB missing; ","")&amp;IF(T402="","Aadhaar missing; ",IF(LEN(T402)&lt;&gt;12,"Aadhaar not 12 digits; ",IF(COUNTIF($T$6:$T$505,T402)&gt;1,"Duplicate Aadhaar; ","")))&amp;IF(U402="","PAN missing; ",IF(LEN(U402)&lt;&gt;10,"PAN not 10 chars; ",""))&amp;IF(V402="","Mobile missing; ",IF(LEN(V402)&lt;&gt;10,"Mobile not 10 digits; ",""))&amp;IF(AG402="","Bank A/c missing; ","")&amp;IF(AH402="","IFSC missing; ",IF(LEN(AH402)&lt;&gt;11,"IFSC not 11 chars; ","")))</f>
        <v/>
      </c>
      <c r="AW402" s="46" t="str">
        <f aca="false">IF(AS402="","",AS402+ROW()/100000)</f>
        <v/>
      </c>
      <c r="AX402" s="46" t="str">
        <f aca="false">IF(AT402="","",AT402+ROW()/100000)</f>
        <v/>
      </c>
    </row>
    <row r="403" customFormat="false" ht="15" hidden="false" customHeight="false" outlineLevel="0" collapsed="false">
      <c r="A403" s="9" t="str">
        <f aca="false">IF(B403="","",ROW()-5)</f>
        <v/>
      </c>
      <c r="B403" s="40"/>
      <c r="C403" s="8"/>
      <c r="D403" s="9" t="str">
        <f aca="false">IF(B403="","",IF(J403="","Active","Exited"))</f>
        <v/>
      </c>
      <c r="E403" s="8"/>
      <c r="F403" s="8"/>
      <c r="G403" s="8"/>
      <c r="H403" s="9" t="str">
        <f aca="false">IF(OR(B403="",I403=""),"",IF(IF(J403="",AsOf,J403)-I403&gt;=Settings!$C$13,"Permanent","Probation"))</f>
        <v/>
      </c>
      <c r="I403" s="41"/>
      <c r="J403" s="41"/>
      <c r="K403" s="8"/>
      <c r="L403" s="42" t="str">
        <f aca="false">IF(OR(B403="",I403=""),"",ROUND((IF(J403="",AsOf,J403)-I403)/365.25,1))</f>
        <v/>
      </c>
      <c r="M403" s="8"/>
      <c r="N403" s="8"/>
      <c r="O403" s="8"/>
      <c r="P403" s="8"/>
      <c r="Q403" s="41"/>
      <c r="R403" s="43" t="str">
        <f aca="false">IF(OR(B403="",Q403=""),"",INT((AsOf-Q403)/365.25))</f>
        <v/>
      </c>
      <c r="S403" s="8"/>
      <c r="T403" s="40"/>
      <c r="U403" s="40"/>
      <c r="V403" s="40"/>
      <c r="W403" s="40"/>
      <c r="X403" s="8"/>
      <c r="Y403" s="8"/>
      <c r="Z403" s="8"/>
      <c r="AA403" s="8"/>
      <c r="AB403" s="8"/>
      <c r="AC403" s="8"/>
      <c r="AD403" s="8"/>
      <c r="AE403" s="40"/>
      <c r="AF403" s="8"/>
      <c r="AG403" s="40"/>
      <c r="AH403" s="40"/>
      <c r="AI403" s="8"/>
      <c r="AJ403" s="40"/>
      <c r="AK403" s="40"/>
      <c r="AL403" s="40"/>
      <c r="AM403" s="44"/>
      <c r="AN403" s="44"/>
      <c r="AO403" s="41"/>
      <c r="AP403" s="45" t="str">
        <f aca="false">IF(B403="","",IF(AND(ISNUMBER(AM403),ISNUMBER(AN403),AM403&gt;0,AN403&gt;0),AN403/AM403-1,""))</f>
        <v/>
      </c>
      <c r="AQ403" s="9" t="str">
        <f aca="false">IF(I403="","",(YEAR(I403)-IF(MONTH(I403)&lt;4,1,0))&amp;"-"&amp;RIGHT((YEAR(I403)-IF(MONTH(I403)&lt;4,1,0))+1,2))</f>
        <v/>
      </c>
      <c r="AR403" s="9" t="str">
        <f aca="false">IF(J403="","",(YEAR(J403)-IF(MONTH(J403)&lt;4,1,0))&amp;"-"&amp;RIGHT((YEAR(J403)-IF(MONTH(J403)&lt;4,1,0))+1,2))</f>
        <v/>
      </c>
      <c r="AS403" s="43" t="str">
        <f aca="false">IF(OR(B403="",Q403="",D403&lt;&gt;"Active"),"",DATE(YEAR(AsOf)+IF(DATE(YEAR(AsOf),MONTH(Q403),DAY(Q403))&lt;AsOf,1,0),MONTH(Q403),DAY(Q403))-AsOf)</f>
        <v/>
      </c>
      <c r="AT403" s="43" t="str">
        <f aca="false">IF(OR(B403="",I403="",D403&lt;&gt;"Active"),"",IF(YEAR(DATE(YEAR(AsOf)+IF(DATE(YEAR(AsOf),MONTH(I403),DAY(I403))&lt;AsOf,1,0),MONTH(I403),DAY(I403)))-YEAR(I403)&lt;1,"",DATE(YEAR(AsOf)+IF(DATE(YEAR(AsOf),MONTH(I403),DAY(I403))&lt;AsOf,1,0),MONTH(I403),DAY(I403))-AsOf))</f>
        <v/>
      </c>
      <c r="AU403" s="43" t="str">
        <f aca="false">IF(B403="","",IF(AV403="",0,LEN(AV403)-LEN(SUBSTITUTE(AV403,";",""))))</f>
        <v/>
      </c>
      <c r="AV403" s="9" t="str">
        <f aca="false">IF(B403="","",IF(COUNTIF($B$6:$B$505,B403)&gt;1,"Duplicate Emp Code; ","")&amp;IF(C403="","Name missing; ","")&amp;IF(I403="","DOJ missing; ","")&amp;IF(AND(J403&lt;&gt;"",I403&lt;&gt;"",J403&lt;I403),"Exit before DOJ; ","")&amp;IF(Q403="","DOB missing; ","")&amp;IF(T403="","Aadhaar missing; ",IF(LEN(T403)&lt;&gt;12,"Aadhaar not 12 digits; ",IF(COUNTIF($T$6:$T$505,T403)&gt;1,"Duplicate Aadhaar; ","")))&amp;IF(U403="","PAN missing; ",IF(LEN(U403)&lt;&gt;10,"PAN not 10 chars; ",""))&amp;IF(V403="","Mobile missing; ",IF(LEN(V403)&lt;&gt;10,"Mobile not 10 digits; ",""))&amp;IF(AG403="","Bank A/c missing; ","")&amp;IF(AH403="","IFSC missing; ",IF(LEN(AH403)&lt;&gt;11,"IFSC not 11 chars; ","")))</f>
        <v/>
      </c>
      <c r="AW403" s="46" t="str">
        <f aca="false">IF(AS403="","",AS403+ROW()/100000)</f>
        <v/>
      </c>
      <c r="AX403" s="46" t="str">
        <f aca="false">IF(AT403="","",AT403+ROW()/100000)</f>
        <v/>
      </c>
    </row>
    <row r="404" customFormat="false" ht="15" hidden="false" customHeight="false" outlineLevel="0" collapsed="false">
      <c r="A404" s="9" t="str">
        <f aca="false">IF(B404="","",ROW()-5)</f>
        <v/>
      </c>
      <c r="B404" s="40"/>
      <c r="C404" s="8"/>
      <c r="D404" s="9" t="str">
        <f aca="false">IF(B404="","",IF(J404="","Active","Exited"))</f>
        <v/>
      </c>
      <c r="E404" s="8"/>
      <c r="F404" s="8"/>
      <c r="G404" s="8"/>
      <c r="H404" s="9" t="str">
        <f aca="false">IF(OR(B404="",I404=""),"",IF(IF(J404="",AsOf,J404)-I404&gt;=Settings!$C$13,"Permanent","Probation"))</f>
        <v/>
      </c>
      <c r="I404" s="41"/>
      <c r="J404" s="41"/>
      <c r="K404" s="8"/>
      <c r="L404" s="42" t="str">
        <f aca="false">IF(OR(B404="",I404=""),"",ROUND((IF(J404="",AsOf,J404)-I404)/365.25,1))</f>
        <v/>
      </c>
      <c r="M404" s="8"/>
      <c r="N404" s="8"/>
      <c r="O404" s="8"/>
      <c r="P404" s="8"/>
      <c r="Q404" s="41"/>
      <c r="R404" s="43" t="str">
        <f aca="false">IF(OR(B404="",Q404=""),"",INT((AsOf-Q404)/365.25))</f>
        <v/>
      </c>
      <c r="S404" s="8"/>
      <c r="T404" s="40"/>
      <c r="U404" s="40"/>
      <c r="V404" s="40"/>
      <c r="W404" s="40"/>
      <c r="X404" s="8"/>
      <c r="Y404" s="8"/>
      <c r="Z404" s="8"/>
      <c r="AA404" s="8"/>
      <c r="AB404" s="8"/>
      <c r="AC404" s="8"/>
      <c r="AD404" s="8"/>
      <c r="AE404" s="40"/>
      <c r="AF404" s="8"/>
      <c r="AG404" s="40"/>
      <c r="AH404" s="40"/>
      <c r="AI404" s="8"/>
      <c r="AJ404" s="40"/>
      <c r="AK404" s="40"/>
      <c r="AL404" s="40"/>
      <c r="AM404" s="44"/>
      <c r="AN404" s="44"/>
      <c r="AO404" s="41"/>
      <c r="AP404" s="45" t="str">
        <f aca="false">IF(B404="","",IF(AND(ISNUMBER(AM404),ISNUMBER(AN404),AM404&gt;0,AN404&gt;0),AN404/AM404-1,""))</f>
        <v/>
      </c>
      <c r="AQ404" s="9" t="str">
        <f aca="false">IF(I404="","",(YEAR(I404)-IF(MONTH(I404)&lt;4,1,0))&amp;"-"&amp;RIGHT((YEAR(I404)-IF(MONTH(I404)&lt;4,1,0))+1,2))</f>
        <v/>
      </c>
      <c r="AR404" s="9" t="str">
        <f aca="false">IF(J404="","",(YEAR(J404)-IF(MONTH(J404)&lt;4,1,0))&amp;"-"&amp;RIGHT((YEAR(J404)-IF(MONTH(J404)&lt;4,1,0))+1,2))</f>
        <v/>
      </c>
      <c r="AS404" s="43" t="str">
        <f aca="false">IF(OR(B404="",Q404="",D404&lt;&gt;"Active"),"",DATE(YEAR(AsOf)+IF(DATE(YEAR(AsOf),MONTH(Q404),DAY(Q404))&lt;AsOf,1,0),MONTH(Q404),DAY(Q404))-AsOf)</f>
        <v/>
      </c>
      <c r="AT404" s="43" t="str">
        <f aca="false">IF(OR(B404="",I404="",D404&lt;&gt;"Active"),"",IF(YEAR(DATE(YEAR(AsOf)+IF(DATE(YEAR(AsOf),MONTH(I404),DAY(I404))&lt;AsOf,1,0),MONTH(I404),DAY(I404)))-YEAR(I404)&lt;1,"",DATE(YEAR(AsOf)+IF(DATE(YEAR(AsOf),MONTH(I404),DAY(I404))&lt;AsOf,1,0),MONTH(I404),DAY(I404))-AsOf))</f>
        <v/>
      </c>
      <c r="AU404" s="43" t="str">
        <f aca="false">IF(B404="","",IF(AV404="",0,LEN(AV404)-LEN(SUBSTITUTE(AV404,";",""))))</f>
        <v/>
      </c>
      <c r="AV404" s="9" t="str">
        <f aca="false">IF(B404="","",IF(COUNTIF($B$6:$B$505,B404)&gt;1,"Duplicate Emp Code; ","")&amp;IF(C404="","Name missing; ","")&amp;IF(I404="","DOJ missing; ","")&amp;IF(AND(J404&lt;&gt;"",I404&lt;&gt;"",J404&lt;I404),"Exit before DOJ; ","")&amp;IF(Q404="","DOB missing; ","")&amp;IF(T404="","Aadhaar missing; ",IF(LEN(T404)&lt;&gt;12,"Aadhaar not 12 digits; ",IF(COUNTIF($T$6:$T$505,T404)&gt;1,"Duplicate Aadhaar; ","")))&amp;IF(U404="","PAN missing; ",IF(LEN(U404)&lt;&gt;10,"PAN not 10 chars; ",""))&amp;IF(V404="","Mobile missing; ",IF(LEN(V404)&lt;&gt;10,"Mobile not 10 digits; ",""))&amp;IF(AG404="","Bank A/c missing; ","")&amp;IF(AH404="","IFSC missing; ",IF(LEN(AH404)&lt;&gt;11,"IFSC not 11 chars; ","")))</f>
        <v/>
      </c>
      <c r="AW404" s="46" t="str">
        <f aca="false">IF(AS404="","",AS404+ROW()/100000)</f>
        <v/>
      </c>
      <c r="AX404" s="46" t="str">
        <f aca="false">IF(AT404="","",AT404+ROW()/100000)</f>
        <v/>
      </c>
    </row>
    <row r="405" customFormat="false" ht="15" hidden="false" customHeight="false" outlineLevel="0" collapsed="false">
      <c r="A405" s="9" t="str">
        <f aca="false">IF(B405="","",ROW()-5)</f>
        <v/>
      </c>
      <c r="B405" s="40"/>
      <c r="C405" s="8"/>
      <c r="D405" s="9" t="str">
        <f aca="false">IF(B405="","",IF(J405="","Active","Exited"))</f>
        <v/>
      </c>
      <c r="E405" s="8"/>
      <c r="F405" s="8"/>
      <c r="G405" s="8"/>
      <c r="H405" s="9" t="str">
        <f aca="false">IF(OR(B405="",I405=""),"",IF(IF(J405="",AsOf,J405)-I405&gt;=Settings!$C$13,"Permanent","Probation"))</f>
        <v/>
      </c>
      <c r="I405" s="41"/>
      <c r="J405" s="41"/>
      <c r="K405" s="8"/>
      <c r="L405" s="42" t="str">
        <f aca="false">IF(OR(B405="",I405=""),"",ROUND((IF(J405="",AsOf,J405)-I405)/365.25,1))</f>
        <v/>
      </c>
      <c r="M405" s="8"/>
      <c r="N405" s="8"/>
      <c r="O405" s="8"/>
      <c r="P405" s="8"/>
      <c r="Q405" s="41"/>
      <c r="R405" s="43" t="str">
        <f aca="false">IF(OR(B405="",Q405=""),"",INT((AsOf-Q405)/365.25))</f>
        <v/>
      </c>
      <c r="S405" s="8"/>
      <c r="T405" s="40"/>
      <c r="U405" s="40"/>
      <c r="V405" s="40"/>
      <c r="W405" s="40"/>
      <c r="X405" s="8"/>
      <c r="Y405" s="8"/>
      <c r="Z405" s="8"/>
      <c r="AA405" s="8"/>
      <c r="AB405" s="8"/>
      <c r="AC405" s="8"/>
      <c r="AD405" s="8"/>
      <c r="AE405" s="40"/>
      <c r="AF405" s="8"/>
      <c r="AG405" s="40"/>
      <c r="AH405" s="40"/>
      <c r="AI405" s="8"/>
      <c r="AJ405" s="40"/>
      <c r="AK405" s="40"/>
      <c r="AL405" s="40"/>
      <c r="AM405" s="44"/>
      <c r="AN405" s="44"/>
      <c r="AO405" s="41"/>
      <c r="AP405" s="45" t="str">
        <f aca="false">IF(B405="","",IF(AND(ISNUMBER(AM405),ISNUMBER(AN405),AM405&gt;0,AN405&gt;0),AN405/AM405-1,""))</f>
        <v/>
      </c>
      <c r="AQ405" s="9" t="str">
        <f aca="false">IF(I405="","",(YEAR(I405)-IF(MONTH(I405)&lt;4,1,0))&amp;"-"&amp;RIGHT((YEAR(I405)-IF(MONTH(I405)&lt;4,1,0))+1,2))</f>
        <v/>
      </c>
      <c r="AR405" s="9" t="str">
        <f aca="false">IF(J405="","",(YEAR(J405)-IF(MONTH(J405)&lt;4,1,0))&amp;"-"&amp;RIGHT((YEAR(J405)-IF(MONTH(J405)&lt;4,1,0))+1,2))</f>
        <v/>
      </c>
      <c r="AS405" s="43" t="str">
        <f aca="false">IF(OR(B405="",Q405="",D405&lt;&gt;"Active"),"",DATE(YEAR(AsOf)+IF(DATE(YEAR(AsOf),MONTH(Q405),DAY(Q405))&lt;AsOf,1,0),MONTH(Q405),DAY(Q405))-AsOf)</f>
        <v/>
      </c>
      <c r="AT405" s="43" t="str">
        <f aca="false">IF(OR(B405="",I405="",D405&lt;&gt;"Active"),"",IF(YEAR(DATE(YEAR(AsOf)+IF(DATE(YEAR(AsOf),MONTH(I405),DAY(I405))&lt;AsOf,1,0),MONTH(I405),DAY(I405)))-YEAR(I405)&lt;1,"",DATE(YEAR(AsOf)+IF(DATE(YEAR(AsOf),MONTH(I405),DAY(I405))&lt;AsOf,1,0),MONTH(I405),DAY(I405))-AsOf))</f>
        <v/>
      </c>
      <c r="AU405" s="43" t="str">
        <f aca="false">IF(B405="","",IF(AV405="",0,LEN(AV405)-LEN(SUBSTITUTE(AV405,";",""))))</f>
        <v/>
      </c>
      <c r="AV405" s="9" t="str">
        <f aca="false">IF(B405="","",IF(COUNTIF($B$6:$B$505,B405)&gt;1,"Duplicate Emp Code; ","")&amp;IF(C405="","Name missing; ","")&amp;IF(I405="","DOJ missing; ","")&amp;IF(AND(J405&lt;&gt;"",I405&lt;&gt;"",J405&lt;I405),"Exit before DOJ; ","")&amp;IF(Q405="","DOB missing; ","")&amp;IF(T405="","Aadhaar missing; ",IF(LEN(T405)&lt;&gt;12,"Aadhaar not 12 digits; ",IF(COUNTIF($T$6:$T$505,T405)&gt;1,"Duplicate Aadhaar; ","")))&amp;IF(U405="","PAN missing; ",IF(LEN(U405)&lt;&gt;10,"PAN not 10 chars; ",""))&amp;IF(V405="","Mobile missing; ",IF(LEN(V405)&lt;&gt;10,"Mobile not 10 digits; ",""))&amp;IF(AG405="","Bank A/c missing; ","")&amp;IF(AH405="","IFSC missing; ",IF(LEN(AH405)&lt;&gt;11,"IFSC not 11 chars; ","")))</f>
        <v/>
      </c>
      <c r="AW405" s="46" t="str">
        <f aca="false">IF(AS405="","",AS405+ROW()/100000)</f>
        <v/>
      </c>
      <c r="AX405" s="46" t="str">
        <f aca="false">IF(AT405="","",AT405+ROW()/100000)</f>
        <v/>
      </c>
    </row>
    <row r="406" customFormat="false" ht="15" hidden="false" customHeight="false" outlineLevel="0" collapsed="false">
      <c r="A406" s="9" t="str">
        <f aca="false">IF(B406="","",ROW()-5)</f>
        <v/>
      </c>
      <c r="B406" s="40"/>
      <c r="C406" s="8"/>
      <c r="D406" s="9" t="str">
        <f aca="false">IF(B406="","",IF(J406="","Active","Exited"))</f>
        <v/>
      </c>
      <c r="E406" s="8"/>
      <c r="F406" s="8"/>
      <c r="G406" s="8"/>
      <c r="H406" s="9" t="str">
        <f aca="false">IF(OR(B406="",I406=""),"",IF(IF(J406="",AsOf,J406)-I406&gt;=Settings!$C$13,"Permanent","Probation"))</f>
        <v/>
      </c>
      <c r="I406" s="41"/>
      <c r="J406" s="41"/>
      <c r="K406" s="8"/>
      <c r="L406" s="42" t="str">
        <f aca="false">IF(OR(B406="",I406=""),"",ROUND((IF(J406="",AsOf,J406)-I406)/365.25,1))</f>
        <v/>
      </c>
      <c r="M406" s="8"/>
      <c r="N406" s="8"/>
      <c r="O406" s="8"/>
      <c r="P406" s="8"/>
      <c r="Q406" s="41"/>
      <c r="R406" s="43" t="str">
        <f aca="false">IF(OR(B406="",Q406=""),"",INT((AsOf-Q406)/365.25))</f>
        <v/>
      </c>
      <c r="S406" s="8"/>
      <c r="T406" s="40"/>
      <c r="U406" s="40"/>
      <c r="V406" s="40"/>
      <c r="W406" s="40"/>
      <c r="X406" s="8"/>
      <c r="Y406" s="8"/>
      <c r="Z406" s="8"/>
      <c r="AA406" s="8"/>
      <c r="AB406" s="8"/>
      <c r="AC406" s="8"/>
      <c r="AD406" s="8"/>
      <c r="AE406" s="40"/>
      <c r="AF406" s="8"/>
      <c r="AG406" s="40"/>
      <c r="AH406" s="40"/>
      <c r="AI406" s="8"/>
      <c r="AJ406" s="40"/>
      <c r="AK406" s="40"/>
      <c r="AL406" s="40"/>
      <c r="AM406" s="44"/>
      <c r="AN406" s="44"/>
      <c r="AO406" s="41"/>
      <c r="AP406" s="45" t="str">
        <f aca="false">IF(B406="","",IF(AND(ISNUMBER(AM406),ISNUMBER(AN406),AM406&gt;0,AN406&gt;0),AN406/AM406-1,""))</f>
        <v/>
      </c>
      <c r="AQ406" s="9" t="str">
        <f aca="false">IF(I406="","",(YEAR(I406)-IF(MONTH(I406)&lt;4,1,0))&amp;"-"&amp;RIGHT((YEAR(I406)-IF(MONTH(I406)&lt;4,1,0))+1,2))</f>
        <v/>
      </c>
      <c r="AR406" s="9" t="str">
        <f aca="false">IF(J406="","",(YEAR(J406)-IF(MONTH(J406)&lt;4,1,0))&amp;"-"&amp;RIGHT((YEAR(J406)-IF(MONTH(J406)&lt;4,1,0))+1,2))</f>
        <v/>
      </c>
      <c r="AS406" s="43" t="str">
        <f aca="false">IF(OR(B406="",Q406="",D406&lt;&gt;"Active"),"",DATE(YEAR(AsOf)+IF(DATE(YEAR(AsOf),MONTH(Q406),DAY(Q406))&lt;AsOf,1,0),MONTH(Q406),DAY(Q406))-AsOf)</f>
        <v/>
      </c>
      <c r="AT406" s="43" t="str">
        <f aca="false">IF(OR(B406="",I406="",D406&lt;&gt;"Active"),"",IF(YEAR(DATE(YEAR(AsOf)+IF(DATE(YEAR(AsOf),MONTH(I406),DAY(I406))&lt;AsOf,1,0),MONTH(I406),DAY(I406)))-YEAR(I406)&lt;1,"",DATE(YEAR(AsOf)+IF(DATE(YEAR(AsOf),MONTH(I406),DAY(I406))&lt;AsOf,1,0),MONTH(I406),DAY(I406))-AsOf))</f>
        <v/>
      </c>
      <c r="AU406" s="43" t="str">
        <f aca="false">IF(B406="","",IF(AV406="",0,LEN(AV406)-LEN(SUBSTITUTE(AV406,";",""))))</f>
        <v/>
      </c>
      <c r="AV406" s="9" t="str">
        <f aca="false">IF(B406="","",IF(COUNTIF($B$6:$B$505,B406)&gt;1,"Duplicate Emp Code; ","")&amp;IF(C406="","Name missing; ","")&amp;IF(I406="","DOJ missing; ","")&amp;IF(AND(J406&lt;&gt;"",I406&lt;&gt;"",J406&lt;I406),"Exit before DOJ; ","")&amp;IF(Q406="","DOB missing; ","")&amp;IF(T406="","Aadhaar missing; ",IF(LEN(T406)&lt;&gt;12,"Aadhaar not 12 digits; ",IF(COUNTIF($T$6:$T$505,T406)&gt;1,"Duplicate Aadhaar; ","")))&amp;IF(U406="","PAN missing; ",IF(LEN(U406)&lt;&gt;10,"PAN not 10 chars; ",""))&amp;IF(V406="","Mobile missing; ",IF(LEN(V406)&lt;&gt;10,"Mobile not 10 digits; ",""))&amp;IF(AG406="","Bank A/c missing; ","")&amp;IF(AH406="","IFSC missing; ",IF(LEN(AH406)&lt;&gt;11,"IFSC not 11 chars; ","")))</f>
        <v/>
      </c>
      <c r="AW406" s="46" t="str">
        <f aca="false">IF(AS406="","",AS406+ROW()/100000)</f>
        <v/>
      </c>
      <c r="AX406" s="46" t="str">
        <f aca="false">IF(AT406="","",AT406+ROW()/100000)</f>
        <v/>
      </c>
    </row>
    <row r="407" customFormat="false" ht="15" hidden="false" customHeight="false" outlineLevel="0" collapsed="false">
      <c r="A407" s="9" t="str">
        <f aca="false">IF(B407="","",ROW()-5)</f>
        <v/>
      </c>
      <c r="B407" s="40"/>
      <c r="C407" s="8"/>
      <c r="D407" s="9" t="str">
        <f aca="false">IF(B407="","",IF(J407="","Active","Exited"))</f>
        <v/>
      </c>
      <c r="E407" s="8"/>
      <c r="F407" s="8"/>
      <c r="G407" s="8"/>
      <c r="H407" s="9" t="str">
        <f aca="false">IF(OR(B407="",I407=""),"",IF(IF(J407="",AsOf,J407)-I407&gt;=Settings!$C$13,"Permanent","Probation"))</f>
        <v/>
      </c>
      <c r="I407" s="41"/>
      <c r="J407" s="41"/>
      <c r="K407" s="8"/>
      <c r="L407" s="42" t="str">
        <f aca="false">IF(OR(B407="",I407=""),"",ROUND((IF(J407="",AsOf,J407)-I407)/365.25,1))</f>
        <v/>
      </c>
      <c r="M407" s="8"/>
      <c r="N407" s="8"/>
      <c r="O407" s="8"/>
      <c r="P407" s="8"/>
      <c r="Q407" s="41"/>
      <c r="R407" s="43" t="str">
        <f aca="false">IF(OR(B407="",Q407=""),"",INT((AsOf-Q407)/365.25))</f>
        <v/>
      </c>
      <c r="S407" s="8"/>
      <c r="T407" s="40"/>
      <c r="U407" s="40"/>
      <c r="V407" s="40"/>
      <c r="W407" s="40"/>
      <c r="X407" s="8"/>
      <c r="Y407" s="8"/>
      <c r="Z407" s="8"/>
      <c r="AA407" s="8"/>
      <c r="AB407" s="8"/>
      <c r="AC407" s="8"/>
      <c r="AD407" s="8"/>
      <c r="AE407" s="40"/>
      <c r="AF407" s="8"/>
      <c r="AG407" s="40"/>
      <c r="AH407" s="40"/>
      <c r="AI407" s="8"/>
      <c r="AJ407" s="40"/>
      <c r="AK407" s="40"/>
      <c r="AL407" s="40"/>
      <c r="AM407" s="44"/>
      <c r="AN407" s="44"/>
      <c r="AO407" s="41"/>
      <c r="AP407" s="45" t="str">
        <f aca="false">IF(B407="","",IF(AND(ISNUMBER(AM407),ISNUMBER(AN407),AM407&gt;0,AN407&gt;0),AN407/AM407-1,""))</f>
        <v/>
      </c>
      <c r="AQ407" s="9" t="str">
        <f aca="false">IF(I407="","",(YEAR(I407)-IF(MONTH(I407)&lt;4,1,0))&amp;"-"&amp;RIGHT((YEAR(I407)-IF(MONTH(I407)&lt;4,1,0))+1,2))</f>
        <v/>
      </c>
      <c r="AR407" s="9" t="str">
        <f aca="false">IF(J407="","",(YEAR(J407)-IF(MONTH(J407)&lt;4,1,0))&amp;"-"&amp;RIGHT((YEAR(J407)-IF(MONTH(J407)&lt;4,1,0))+1,2))</f>
        <v/>
      </c>
      <c r="AS407" s="43" t="str">
        <f aca="false">IF(OR(B407="",Q407="",D407&lt;&gt;"Active"),"",DATE(YEAR(AsOf)+IF(DATE(YEAR(AsOf),MONTH(Q407),DAY(Q407))&lt;AsOf,1,0),MONTH(Q407),DAY(Q407))-AsOf)</f>
        <v/>
      </c>
      <c r="AT407" s="43" t="str">
        <f aca="false">IF(OR(B407="",I407="",D407&lt;&gt;"Active"),"",IF(YEAR(DATE(YEAR(AsOf)+IF(DATE(YEAR(AsOf),MONTH(I407),DAY(I407))&lt;AsOf,1,0),MONTH(I407),DAY(I407)))-YEAR(I407)&lt;1,"",DATE(YEAR(AsOf)+IF(DATE(YEAR(AsOf),MONTH(I407),DAY(I407))&lt;AsOf,1,0),MONTH(I407),DAY(I407))-AsOf))</f>
        <v/>
      </c>
      <c r="AU407" s="43" t="str">
        <f aca="false">IF(B407="","",IF(AV407="",0,LEN(AV407)-LEN(SUBSTITUTE(AV407,";",""))))</f>
        <v/>
      </c>
      <c r="AV407" s="9" t="str">
        <f aca="false">IF(B407="","",IF(COUNTIF($B$6:$B$505,B407)&gt;1,"Duplicate Emp Code; ","")&amp;IF(C407="","Name missing; ","")&amp;IF(I407="","DOJ missing; ","")&amp;IF(AND(J407&lt;&gt;"",I407&lt;&gt;"",J407&lt;I407),"Exit before DOJ; ","")&amp;IF(Q407="","DOB missing; ","")&amp;IF(T407="","Aadhaar missing; ",IF(LEN(T407)&lt;&gt;12,"Aadhaar not 12 digits; ",IF(COUNTIF($T$6:$T$505,T407)&gt;1,"Duplicate Aadhaar; ","")))&amp;IF(U407="","PAN missing; ",IF(LEN(U407)&lt;&gt;10,"PAN not 10 chars; ",""))&amp;IF(V407="","Mobile missing; ",IF(LEN(V407)&lt;&gt;10,"Mobile not 10 digits; ",""))&amp;IF(AG407="","Bank A/c missing; ","")&amp;IF(AH407="","IFSC missing; ",IF(LEN(AH407)&lt;&gt;11,"IFSC not 11 chars; ","")))</f>
        <v/>
      </c>
      <c r="AW407" s="46" t="str">
        <f aca="false">IF(AS407="","",AS407+ROW()/100000)</f>
        <v/>
      </c>
      <c r="AX407" s="46" t="str">
        <f aca="false">IF(AT407="","",AT407+ROW()/100000)</f>
        <v/>
      </c>
    </row>
    <row r="408" customFormat="false" ht="15" hidden="false" customHeight="false" outlineLevel="0" collapsed="false">
      <c r="A408" s="9" t="str">
        <f aca="false">IF(B408="","",ROW()-5)</f>
        <v/>
      </c>
      <c r="B408" s="40"/>
      <c r="C408" s="8"/>
      <c r="D408" s="9" t="str">
        <f aca="false">IF(B408="","",IF(J408="","Active","Exited"))</f>
        <v/>
      </c>
      <c r="E408" s="8"/>
      <c r="F408" s="8"/>
      <c r="G408" s="8"/>
      <c r="H408" s="9" t="str">
        <f aca="false">IF(OR(B408="",I408=""),"",IF(IF(J408="",AsOf,J408)-I408&gt;=Settings!$C$13,"Permanent","Probation"))</f>
        <v/>
      </c>
      <c r="I408" s="41"/>
      <c r="J408" s="41"/>
      <c r="K408" s="8"/>
      <c r="L408" s="42" t="str">
        <f aca="false">IF(OR(B408="",I408=""),"",ROUND((IF(J408="",AsOf,J408)-I408)/365.25,1))</f>
        <v/>
      </c>
      <c r="M408" s="8"/>
      <c r="N408" s="8"/>
      <c r="O408" s="8"/>
      <c r="P408" s="8"/>
      <c r="Q408" s="41"/>
      <c r="R408" s="43" t="str">
        <f aca="false">IF(OR(B408="",Q408=""),"",INT((AsOf-Q408)/365.25))</f>
        <v/>
      </c>
      <c r="S408" s="8"/>
      <c r="T408" s="40"/>
      <c r="U408" s="40"/>
      <c r="V408" s="40"/>
      <c r="W408" s="40"/>
      <c r="X408" s="8"/>
      <c r="Y408" s="8"/>
      <c r="Z408" s="8"/>
      <c r="AA408" s="8"/>
      <c r="AB408" s="8"/>
      <c r="AC408" s="8"/>
      <c r="AD408" s="8"/>
      <c r="AE408" s="40"/>
      <c r="AF408" s="8"/>
      <c r="AG408" s="40"/>
      <c r="AH408" s="40"/>
      <c r="AI408" s="8"/>
      <c r="AJ408" s="40"/>
      <c r="AK408" s="40"/>
      <c r="AL408" s="40"/>
      <c r="AM408" s="44"/>
      <c r="AN408" s="44"/>
      <c r="AO408" s="41"/>
      <c r="AP408" s="45" t="str">
        <f aca="false">IF(B408="","",IF(AND(ISNUMBER(AM408),ISNUMBER(AN408),AM408&gt;0,AN408&gt;0),AN408/AM408-1,""))</f>
        <v/>
      </c>
      <c r="AQ408" s="9" t="str">
        <f aca="false">IF(I408="","",(YEAR(I408)-IF(MONTH(I408)&lt;4,1,0))&amp;"-"&amp;RIGHT((YEAR(I408)-IF(MONTH(I408)&lt;4,1,0))+1,2))</f>
        <v/>
      </c>
      <c r="AR408" s="9" t="str">
        <f aca="false">IF(J408="","",(YEAR(J408)-IF(MONTH(J408)&lt;4,1,0))&amp;"-"&amp;RIGHT((YEAR(J408)-IF(MONTH(J408)&lt;4,1,0))+1,2))</f>
        <v/>
      </c>
      <c r="AS408" s="43" t="str">
        <f aca="false">IF(OR(B408="",Q408="",D408&lt;&gt;"Active"),"",DATE(YEAR(AsOf)+IF(DATE(YEAR(AsOf),MONTH(Q408),DAY(Q408))&lt;AsOf,1,0),MONTH(Q408),DAY(Q408))-AsOf)</f>
        <v/>
      </c>
      <c r="AT408" s="43" t="str">
        <f aca="false">IF(OR(B408="",I408="",D408&lt;&gt;"Active"),"",IF(YEAR(DATE(YEAR(AsOf)+IF(DATE(YEAR(AsOf),MONTH(I408),DAY(I408))&lt;AsOf,1,0),MONTH(I408),DAY(I408)))-YEAR(I408)&lt;1,"",DATE(YEAR(AsOf)+IF(DATE(YEAR(AsOf),MONTH(I408),DAY(I408))&lt;AsOf,1,0),MONTH(I408),DAY(I408))-AsOf))</f>
        <v/>
      </c>
      <c r="AU408" s="43" t="str">
        <f aca="false">IF(B408="","",IF(AV408="",0,LEN(AV408)-LEN(SUBSTITUTE(AV408,";",""))))</f>
        <v/>
      </c>
      <c r="AV408" s="9" t="str">
        <f aca="false">IF(B408="","",IF(COUNTIF($B$6:$B$505,B408)&gt;1,"Duplicate Emp Code; ","")&amp;IF(C408="","Name missing; ","")&amp;IF(I408="","DOJ missing; ","")&amp;IF(AND(J408&lt;&gt;"",I408&lt;&gt;"",J408&lt;I408),"Exit before DOJ; ","")&amp;IF(Q408="","DOB missing; ","")&amp;IF(T408="","Aadhaar missing; ",IF(LEN(T408)&lt;&gt;12,"Aadhaar not 12 digits; ",IF(COUNTIF($T$6:$T$505,T408)&gt;1,"Duplicate Aadhaar; ","")))&amp;IF(U408="","PAN missing; ",IF(LEN(U408)&lt;&gt;10,"PAN not 10 chars; ",""))&amp;IF(V408="","Mobile missing; ",IF(LEN(V408)&lt;&gt;10,"Mobile not 10 digits; ",""))&amp;IF(AG408="","Bank A/c missing; ","")&amp;IF(AH408="","IFSC missing; ",IF(LEN(AH408)&lt;&gt;11,"IFSC not 11 chars; ","")))</f>
        <v/>
      </c>
      <c r="AW408" s="46" t="str">
        <f aca="false">IF(AS408="","",AS408+ROW()/100000)</f>
        <v/>
      </c>
      <c r="AX408" s="46" t="str">
        <f aca="false">IF(AT408="","",AT408+ROW()/100000)</f>
        <v/>
      </c>
    </row>
    <row r="409" customFormat="false" ht="15" hidden="false" customHeight="false" outlineLevel="0" collapsed="false">
      <c r="A409" s="9" t="str">
        <f aca="false">IF(B409="","",ROW()-5)</f>
        <v/>
      </c>
      <c r="B409" s="40"/>
      <c r="C409" s="8"/>
      <c r="D409" s="9" t="str">
        <f aca="false">IF(B409="","",IF(J409="","Active","Exited"))</f>
        <v/>
      </c>
      <c r="E409" s="8"/>
      <c r="F409" s="8"/>
      <c r="G409" s="8"/>
      <c r="H409" s="9" t="str">
        <f aca="false">IF(OR(B409="",I409=""),"",IF(IF(J409="",AsOf,J409)-I409&gt;=Settings!$C$13,"Permanent","Probation"))</f>
        <v/>
      </c>
      <c r="I409" s="41"/>
      <c r="J409" s="41"/>
      <c r="K409" s="8"/>
      <c r="L409" s="42" t="str">
        <f aca="false">IF(OR(B409="",I409=""),"",ROUND((IF(J409="",AsOf,J409)-I409)/365.25,1))</f>
        <v/>
      </c>
      <c r="M409" s="8"/>
      <c r="N409" s="8"/>
      <c r="O409" s="8"/>
      <c r="P409" s="8"/>
      <c r="Q409" s="41"/>
      <c r="R409" s="43" t="str">
        <f aca="false">IF(OR(B409="",Q409=""),"",INT((AsOf-Q409)/365.25))</f>
        <v/>
      </c>
      <c r="S409" s="8"/>
      <c r="T409" s="40"/>
      <c r="U409" s="40"/>
      <c r="V409" s="40"/>
      <c r="W409" s="40"/>
      <c r="X409" s="8"/>
      <c r="Y409" s="8"/>
      <c r="Z409" s="8"/>
      <c r="AA409" s="8"/>
      <c r="AB409" s="8"/>
      <c r="AC409" s="8"/>
      <c r="AD409" s="8"/>
      <c r="AE409" s="40"/>
      <c r="AF409" s="8"/>
      <c r="AG409" s="40"/>
      <c r="AH409" s="40"/>
      <c r="AI409" s="8"/>
      <c r="AJ409" s="40"/>
      <c r="AK409" s="40"/>
      <c r="AL409" s="40"/>
      <c r="AM409" s="44"/>
      <c r="AN409" s="44"/>
      <c r="AO409" s="41"/>
      <c r="AP409" s="45" t="str">
        <f aca="false">IF(B409="","",IF(AND(ISNUMBER(AM409),ISNUMBER(AN409),AM409&gt;0,AN409&gt;0),AN409/AM409-1,""))</f>
        <v/>
      </c>
      <c r="AQ409" s="9" t="str">
        <f aca="false">IF(I409="","",(YEAR(I409)-IF(MONTH(I409)&lt;4,1,0))&amp;"-"&amp;RIGHT((YEAR(I409)-IF(MONTH(I409)&lt;4,1,0))+1,2))</f>
        <v/>
      </c>
      <c r="AR409" s="9" t="str">
        <f aca="false">IF(J409="","",(YEAR(J409)-IF(MONTH(J409)&lt;4,1,0))&amp;"-"&amp;RIGHT((YEAR(J409)-IF(MONTH(J409)&lt;4,1,0))+1,2))</f>
        <v/>
      </c>
      <c r="AS409" s="43" t="str">
        <f aca="false">IF(OR(B409="",Q409="",D409&lt;&gt;"Active"),"",DATE(YEAR(AsOf)+IF(DATE(YEAR(AsOf),MONTH(Q409),DAY(Q409))&lt;AsOf,1,0),MONTH(Q409),DAY(Q409))-AsOf)</f>
        <v/>
      </c>
      <c r="AT409" s="43" t="str">
        <f aca="false">IF(OR(B409="",I409="",D409&lt;&gt;"Active"),"",IF(YEAR(DATE(YEAR(AsOf)+IF(DATE(YEAR(AsOf),MONTH(I409),DAY(I409))&lt;AsOf,1,0),MONTH(I409),DAY(I409)))-YEAR(I409)&lt;1,"",DATE(YEAR(AsOf)+IF(DATE(YEAR(AsOf),MONTH(I409),DAY(I409))&lt;AsOf,1,0),MONTH(I409),DAY(I409))-AsOf))</f>
        <v/>
      </c>
      <c r="AU409" s="43" t="str">
        <f aca="false">IF(B409="","",IF(AV409="",0,LEN(AV409)-LEN(SUBSTITUTE(AV409,";",""))))</f>
        <v/>
      </c>
      <c r="AV409" s="9" t="str">
        <f aca="false">IF(B409="","",IF(COUNTIF($B$6:$B$505,B409)&gt;1,"Duplicate Emp Code; ","")&amp;IF(C409="","Name missing; ","")&amp;IF(I409="","DOJ missing; ","")&amp;IF(AND(J409&lt;&gt;"",I409&lt;&gt;"",J409&lt;I409),"Exit before DOJ; ","")&amp;IF(Q409="","DOB missing; ","")&amp;IF(T409="","Aadhaar missing; ",IF(LEN(T409)&lt;&gt;12,"Aadhaar not 12 digits; ",IF(COUNTIF($T$6:$T$505,T409)&gt;1,"Duplicate Aadhaar; ","")))&amp;IF(U409="","PAN missing; ",IF(LEN(U409)&lt;&gt;10,"PAN not 10 chars; ",""))&amp;IF(V409="","Mobile missing; ",IF(LEN(V409)&lt;&gt;10,"Mobile not 10 digits; ",""))&amp;IF(AG409="","Bank A/c missing; ","")&amp;IF(AH409="","IFSC missing; ",IF(LEN(AH409)&lt;&gt;11,"IFSC not 11 chars; ","")))</f>
        <v/>
      </c>
      <c r="AW409" s="46" t="str">
        <f aca="false">IF(AS409="","",AS409+ROW()/100000)</f>
        <v/>
      </c>
      <c r="AX409" s="46" t="str">
        <f aca="false">IF(AT409="","",AT409+ROW()/100000)</f>
        <v/>
      </c>
    </row>
    <row r="410" customFormat="false" ht="15" hidden="false" customHeight="false" outlineLevel="0" collapsed="false">
      <c r="A410" s="9" t="str">
        <f aca="false">IF(B410="","",ROW()-5)</f>
        <v/>
      </c>
      <c r="B410" s="40"/>
      <c r="C410" s="8"/>
      <c r="D410" s="9" t="str">
        <f aca="false">IF(B410="","",IF(J410="","Active","Exited"))</f>
        <v/>
      </c>
      <c r="E410" s="8"/>
      <c r="F410" s="8"/>
      <c r="G410" s="8"/>
      <c r="H410" s="9" t="str">
        <f aca="false">IF(OR(B410="",I410=""),"",IF(IF(J410="",AsOf,J410)-I410&gt;=Settings!$C$13,"Permanent","Probation"))</f>
        <v/>
      </c>
      <c r="I410" s="41"/>
      <c r="J410" s="41"/>
      <c r="K410" s="8"/>
      <c r="L410" s="42" t="str">
        <f aca="false">IF(OR(B410="",I410=""),"",ROUND((IF(J410="",AsOf,J410)-I410)/365.25,1))</f>
        <v/>
      </c>
      <c r="M410" s="8"/>
      <c r="N410" s="8"/>
      <c r="O410" s="8"/>
      <c r="P410" s="8"/>
      <c r="Q410" s="41"/>
      <c r="R410" s="43" t="str">
        <f aca="false">IF(OR(B410="",Q410=""),"",INT((AsOf-Q410)/365.25))</f>
        <v/>
      </c>
      <c r="S410" s="8"/>
      <c r="T410" s="40"/>
      <c r="U410" s="40"/>
      <c r="V410" s="40"/>
      <c r="W410" s="40"/>
      <c r="X410" s="8"/>
      <c r="Y410" s="8"/>
      <c r="Z410" s="8"/>
      <c r="AA410" s="8"/>
      <c r="AB410" s="8"/>
      <c r="AC410" s="8"/>
      <c r="AD410" s="8"/>
      <c r="AE410" s="40"/>
      <c r="AF410" s="8"/>
      <c r="AG410" s="40"/>
      <c r="AH410" s="40"/>
      <c r="AI410" s="8"/>
      <c r="AJ410" s="40"/>
      <c r="AK410" s="40"/>
      <c r="AL410" s="40"/>
      <c r="AM410" s="44"/>
      <c r="AN410" s="44"/>
      <c r="AO410" s="41"/>
      <c r="AP410" s="45" t="str">
        <f aca="false">IF(B410="","",IF(AND(ISNUMBER(AM410),ISNUMBER(AN410),AM410&gt;0,AN410&gt;0),AN410/AM410-1,""))</f>
        <v/>
      </c>
      <c r="AQ410" s="9" t="str">
        <f aca="false">IF(I410="","",(YEAR(I410)-IF(MONTH(I410)&lt;4,1,0))&amp;"-"&amp;RIGHT((YEAR(I410)-IF(MONTH(I410)&lt;4,1,0))+1,2))</f>
        <v/>
      </c>
      <c r="AR410" s="9" t="str">
        <f aca="false">IF(J410="","",(YEAR(J410)-IF(MONTH(J410)&lt;4,1,0))&amp;"-"&amp;RIGHT((YEAR(J410)-IF(MONTH(J410)&lt;4,1,0))+1,2))</f>
        <v/>
      </c>
      <c r="AS410" s="43" t="str">
        <f aca="false">IF(OR(B410="",Q410="",D410&lt;&gt;"Active"),"",DATE(YEAR(AsOf)+IF(DATE(YEAR(AsOf),MONTH(Q410),DAY(Q410))&lt;AsOf,1,0),MONTH(Q410),DAY(Q410))-AsOf)</f>
        <v/>
      </c>
      <c r="AT410" s="43" t="str">
        <f aca="false">IF(OR(B410="",I410="",D410&lt;&gt;"Active"),"",IF(YEAR(DATE(YEAR(AsOf)+IF(DATE(YEAR(AsOf),MONTH(I410),DAY(I410))&lt;AsOf,1,0),MONTH(I410),DAY(I410)))-YEAR(I410)&lt;1,"",DATE(YEAR(AsOf)+IF(DATE(YEAR(AsOf),MONTH(I410),DAY(I410))&lt;AsOf,1,0),MONTH(I410),DAY(I410))-AsOf))</f>
        <v/>
      </c>
      <c r="AU410" s="43" t="str">
        <f aca="false">IF(B410="","",IF(AV410="",0,LEN(AV410)-LEN(SUBSTITUTE(AV410,";",""))))</f>
        <v/>
      </c>
      <c r="AV410" s="9" t="str">
        <f aca="false">IF(B410="","",IF(COUNTIF($B$6:$B$505,B410)&gt;1,"Duplicate Emp Code; ","")&amp;IF(C410="","Name missing; ","")&amp;IF(I410="","DOJ missing; ","")&amp;IF(AND(J410&lt;&gt;"",I410&lt;&gt;"",J410&lt;I410),"Exit before DOJ; ","")&amp;IF(Q410="","DOB missing; ","")&amp;IF(T410="","Aadhaar missing; ",IF(LEN(T410)&lt;&gt;12,"Aadhaar not 12 digits; ",IF(COUNTIF($T$6:$T$505,T410)&gt;1,"Duplicate Aadhaar; ","")))&amp;IF(U410="","PAN missing; ",IF(LEN(U410)&lt;&gt;10,"PAN not 10 chars; ",""))&amp;IF(V410="","Mobile missing; ",IF(LEN(V410)&lt;&gt;10,"Mobile not 10 digits; ",""))&amp;IF(AG410="","Bank A/c missing; ","")&amp;IF(AH410="","IFSC missing; ",IF(LEN(AH410)&lt;&gt;11,"IFSC not 11 chars; ","")))</f>
        <v/>
      </c>
      <c r="AW410" s="46" t="str">
        <f aca="false">IF(AS410="","",AS410+ROW()/100000)</f>
        <v/>
      </c>
      <c r="AX410" s="46" t="str">
        <f aca="false">IF(AT410="","",AT410+ROW()/100000)</f>
        <v/>
      </c>
    </row>
    <row r="411" customFormat="false" ht="15" hidden="false" customHeight="false" outlineLevel="0" collapsed="false">
      <c r="A411" s="9" t="str">
        <f aca="false">IF(B411="","",ROW()-5)</f>
        <v/>
      </c>
      <c r="B411" s="40"/>
      <c r="C411" s="8"/>
      <c r="D411" s="9" t="str">
        <f aca="false">IF(B411="","",IF(J411="","Active","Exited"))</f>
        <v/>
      </c>
      <c r="E411" s="8"/>
      <c r="F411" s="8"/>
      <c r="G411" s="8"/>
      <c r="H411" s="9" t="str">
        <f aca="false">IF(OR(B411="",I411=""),"",IF(IF(J411="",AsOf,J411)-I411&gt;=Settings!$C$13,"Permanent","Probation"))</f>
        <v/>
      </c>
      <c r="I411" s="41"/>
      <c r="J411" s="41"/>
      <c r="K411" s="8"/>
      <c r="L411" s="42" t="str">
        <f aca="false">IF(OR(B411="",I411=""),"",ROUND((IF(J411="",AsOf,J411)-I411)/365.25,1))</f>
        <v/>
      </c>
      <c r="M411" s="8"/>
      <c r="N411" s="8"/>
      <c r="O411" s="8"/>
      <c r="P411" s="8"/>
      <c r="Q411" s="41"/>
      <c r="R411" s="43" t="str">
        <f aca="false">IF(OR(B411="",Q411=""),"",INT((AsOf-Q411)/365.25))</f>
        <v/>
      </c>
      <c r="S411" s="8"/>
      <c r="T411" s="40"/>
      <c r="U411" s="40"/>
      <c r="V411" s="40"/>
      <c r="W411" s="40"/>
      <c r="X411" s="8"/>
      <c r="Y411" s="8"/>
      <c r="Z411" s="8"/>
      <c r="AA411" s="8"/>
      <c r="AB411" s="8"/>
      <c r="AC411" s="8"/>
      <c r="AD411" s="8"/>
      <c r="AE411" s="40"/>
      <c r="AF411" s="8"/>
      <c r="AG411" s="40"/>
      <c r="AH411" s="40"/>
      <c r="AI411" s="8"/>
      <c r="AJ411" s="40"/>
      <c r="AK411" s="40"/>
      <c r="AL411" s="40"/>
      <c r="AM411" s="44"/>
      <c r="AN411" s="44"/>
      <c r="AO411" s="41"/>
      <c r="AP411" s="45" t="str">
        <f aca="false">IF(B411="","",IF(AND(ISNUMBER(AM411),ISNUMBER(AN411),AM411&gt;0,AN411&gt;0),AN411/AM411-1,""))</f>
        <v/>
      </c>
      <c r="AQ411" s="9" t="str">
        <f aca="false">IF(I411="","",(YEAR(I411)-IF(MONTH(I411)&lt;4,1,0))&amp;"-"&amp;RIGHT((YEAR(I411)-IF(MONTH(I411)&lt;4,1,0))+1,2))</f>
        <v/>
      </c>
      <c r="AR411" s="9" t="str">
        <f aca="false">IF(J411="","",(YEAR(J411)-IF(MONTH(J411)&lt;4,1,0))&amp;"-"&amp;RIGHT((YEAR(J411)-IF(MONTH(J411)&lt;4,1,0))+1,2))</f>
        <v/>
      </c>
      <c r="AS411" s="43" t="str">
        <f aca="false">IF(OR(B411="",Q411="",D411&lt;&gt;"Active"),"",DATE(YEAR(AsOf)+IF(DATE(YEAR(AsOf),MONTH(Q411),DAY(Q411))&lt;AsOf,1,0),MONTH(Q411),DAY(Q411))-AsOf)</f>
        <v/>
      </c>
      <c r="AT411" s="43" t="str">
        <f aca="false">IF(OR(B411="",I411="",D411&lt;&gt;"Active"),"",IF(YEAR(DATE(YEAR(AsOf)+IF(DATE(YEAR(AsOf),MONTH(I411),DAY(I411))&lt;AsOf,1,0),MONTH(I411),DAY(I411)))-YEAR(I411)&lt;1,"",DATE(YEAR(AsOf)+IF(DATE(YEAR(AsOf),MONTH(I411),DAY(I411))&lt;AsOf,1,0),MONTH(I411),DAY(I411))-AsOf))</f>
        <v/>
      </c>
      <c r="AU411" s="43" t="str">
        <f aca="false">IF(B411="","",IF(AV411="",0,LEN(AV411)-LEN(SUBSTITUTE(AV411,";",""))))</f>
        <v/>
      </c>
      <c r="AV411" s="9" t="str">
        <f aca="false">IF(B411="","",IF(COUNTIF($B$6:$B$505,B411)&gt;1,"Duplicate Emp Code; ","")&amp;IF(C411="","Name missing; ","")&amp;IF(I411="","DOJ missing; ","")&amp;IF(AND(J411&lt;&gt;"",I411&lt;&gt;"",J411&lt;I411),"Exit before DOJ; ","")&amp;IF(Q411="","DOB missing; ","")&amp;IF(T411="","Aadhaar missing; ",IF(LEN(T411)&lt;&gt;12,"Aadhaar not 12 digits; ",IF(COUNTIF($T$6:$T$505,T411)&gt;1,"Duplicate Aadhaar; ","")))&amp;IF(U411="","PAN missing; ",IF(LEN(U411)&lt;&gt;10,"PAN not 10 chars; ",""))&amp;IF(V411="","Mobile missing; ",IF(LEN(V411)&lt;&gt;10,"Mobile not 10 digits; ",""))&amp;IF(AG411="","Bank A/c missing; ","")&amp;IF(AH411="","IFSC missing; ",IF(LEN(AH411)&lt;&gt;11,"IFSC not 11 chars; ","")))</f>
        <v/>
      </c>
      <c r="AW411" s="46" t="str">
        <f aca="false">IF(AS411="","",AS411+ROW()/100000)</f>
        <v/>
      </c>
      <c r="AX411" s="46" t="str">
        <f aca="false">IF(AT411="","",AT411+ROW()/100000)</f>
        <v/>
      </c>
    </row>
    <row r="412" customFormat="false" ht="15" hidden="false" customHeight="false" outlineLevel="0" collapsed="false">
      <c r="A412" s="9" t="str">
        <f aca="false">IF(B412="","",ROW()-5)</f>
        <v/>
      </c>
      <c r="B412" s="40"/>
      <c r="C412" s="8"/>
      <c r="D412" s="9" t="str">
        <f aca="false">IF(B412="","",IF(J412="","Active","Exited"))</f>
        <v/>
      </c>
      <c r="E412" s="8"/>
      <c r="F412" s="8"/>
      <c r="G412" s="8"/>
      <c r="H412" s="9" t="str">
        <f aca="false">IF(OR(B412="",I412=""),"",IF(IF(J412="",AsOf,J412)-I412&gt;=Settings!$C$13,"Permanent","Probation"))</f>
        <v/>
      </c>
      <c r="I412" s="41"/>
      <c r="J412" s="41"/>
      <c r="K412" s="8"/>
      <c r="L412" s="42" t="str">
        <f aca="false">IF(OR(B412="",I412=""),"",ROUND((IF(J412="",AsOf,J412)-I412)/365.25,1))</f>
        <v/>
      </c>
      <c r="M412" s="8"/>
      <c r="N412" s="8"/>
      <c r="O412" s="8"/>
      <c r="P412" s="8"/>
      <c r="Q412" s="41"/>
      <c r="R412" s="43" t="str">
        <f aca="false">IF(OR(B412="",Q412=""),"",INT((AsOf-Q412)/365.25))</f>
        <v/>
      </c>
      <c r="S412" s="8"/>
      <c r="T412" s="40"/>
      <c r="U412" s="40"/>
      <c r="V412" s="40"/>
      <c r="W412" s="40"/>
      <c r="X412" s="8"/>
      <c r="Y412" s="8"/>
      <c r="Z412" s="8"/>
      <c r="AA412" s="8"/>
      <c r="AB412" s="8"/>
      <c r="AC412" s="8"/>
      <c r="AD412" s="8"/>
      <c r="AE412" s="40"/>
      <c r="AF412" s="8"/>
      <c r="AG412" s="40"/>
      <c r="AH412" s="40"/>
      <c r="AI412" s="8"/>
      <c r="AJ412" s="40"/>
      <c r="AK412" s="40"/>
      <c r="AL412" s="40"/>
      <c r="AM412" s="44"/>
      <c r="AN412" s="44"/>
      <c r="AO412" s="41"/>
      <c r="AP412" s="45" t="str">
        <f aca="false">IF(B412="","",IF(AND(ISNUMBER(AM412),ISNUMBER(AN412),AM412&gt;0,AN412&gt;0),AN412/AM412-1,""))</f>
        <v/>
      </c>
      <c r="AQ412" s="9" t="str">
        <f aca="false">IF(I412="","",(YEAR(I412)-IF(MONTH(I412)&lt;4,1,0))&amp;"-"&amp;RIGHT((YEAR(I412)-IF(MONTH(I412)&lt;4,1,0))+1,2))</f>
        <v/>
      </c>
      <c r="AR412" s="9" t="str">
        <f aca="false">IF(J412="","",(YEAR(J412)-IF(MONTH(J412)&lt;4,1,0))&amp;"-"&amp;RIGHT((YEAR(J412)-IF(MONTH(J412)&lt;4,1,0))+1,2))</f>
        <v/>
      </c>
      <c r="AS412" s="43" t="str">
        <f aca="false">IF(OR(B412="",Q412="",D412&lt;&gt;"Active"),"",DATE(YEAR(AsOf)+IF(DATE(YEAR(AsOf),MONTH(Q412),DAY(Q412))&lt;AsOf,1,0),MONTH(Q412),DAY(Q412))-AsOf)</f>
        <v/>
      </c>
      <c r="AT412" s="43" t="str">
        <f aca="false">IF(OR(B412="",I412="",D412&lt;&gt;"Active"),"",IF(YEAR(DATE(YEAR(AsOf)+IF(DATE(YEAR(AsOf),MONTH(I412),DAY(I412))&lt;AsOf,1,0),MONTH(I412),DAY(I412)))-YEAR(I412)&lt;1,"",DATE(YEAR(AsOf)+IF(DATE(YEAR(AsOf),MONTH(I412),DAY(I412))&lt;AsOf,1,0),MONTH(I412),DAY(I412))-AsOf))</f>
        <v/>
      </c>
      <c r="AU412" s="43" t="str">
        <f aca="false">IF(B412="","",IF(AV412="",0,LEN(AV412)-LEN(SUBSTITUTE(AV412,";",""))))</f>
        <v/>
      </c>
      <c r="AV412" s="9" t="str">
        <f aca="false">IF(B412="","",IF(COUNTIF($B$6:$B$505,B412)&gt;1,"Duplicate Emp Code; ","")&amp;IF(C412="","Name missing; ","")&amp;IF(I412="","DOJ missing; ","")&amp;IF(AND(J412&lt;&gt;"",I412&lt;&gt;"",J412&lt;I412),"Exit before DOJ; ","")&amp;IF(Q412="","DOB missing; ","")&amp;IF(T412="","Aadhaar missing; ",IF(LEN(T412)&lt;&gt;12,"Aadhaar not 12 digits; ",IF(COUNTIF($T$6:$T$505,T412)&gt;1,"Duplicate Aadhaar; ","")))&amp;IF(U412="","PAN missing; ",IF(LEN(U412)&lt;&gt;10,"PAN not 10 chars; ",""))&amp;IF(V412="","Mobile missing; ",IF(LEN(V412)&lt;&gt;10,"Mobile not 10 digits; ",""))&amp;IF(AG412="","Bank A/c missing; ","")&amp;IF(AH412="","IFSC missing; ",IF(LEN(AH412)&lt;&gt;11,"IFSC not 11 chars; ","")))</f>
        <v/>
      </c>
      <c r="AW412" s="46" t="str">
        <f aca="false">IF(AS412="","",AS412+ROW()/100000)</f>
        <v/>
      </c>
      <c r="AX412" s="46" t="str">
        <f aca="false">IF(AT412="","",AT412+ROW()/100000)</f>
        <v/>
      </c>
    </row>
    <row r="413" customFormat="false" ht="15" hidden="false" customHeight="false" outlineLevel="0" collapsed="false">
      <c r="A413" s="9" t="str">
        <f aca="false">IF(B413="","",ROW()-5)</f>
        <v/>
      </c>
      <c r="B413" s="40"/>
      <c r="C413" s="8"/>
      <c r="D413" s="9" t="str">
        <f aca="false">IF(B413="","",IF(J413="","Active","Exited"))</f>
        <v/>
      </c>
      <c r="E413" s="8"/>
      <c r="F413" s="8"/>
      <c r="G413" s="8"/>
      <c r="H413" s="9" t="str">
        <f aca="false">IF(OR(B413="",I413=""),"",IF(IF(J413="",AsOf,J413)-I413&gt;=Settings!$C$13,"Permanent","Probation"))</f>
        <v/>
      </c>
      <c r="I413" s="41"/>
      <c r="J413" s="41"/>
      <c r="K413" s="8"/>
      <c r="L413" s="42" t="str">
        <f aca="false">IF(OR(B413="",I413=""),"",ROUND((IF(J413="",AsOf,J413)-I413)/365.25,1))</f>
        <v/>
      </c>
      <c r="M413" s="8"/>
      <c r="N413" s="8"/>
      <c r="O413" s="8"/>
      <c r="P413" s="8"/>
      <c r="Q413" s="41"/>
      <c r="R413" s="43" t="str">
        <f aca="false">IF(OR(B413="",Q413=""),"",INT((AsOf-Q413)/365.25))</f>
        <v/>
      </c>
      <c r="S413" s="8"/>
      <c r="T413" s="40"/>
      <c r="U413" s="40"/>
      <c r="V413" s="40"/>
      <c r="W413" s="40"/>
      <c r="X413" s="8"/>
      <c r="Y413" s="8"/>
      <c r="Z413" s="8"/>
      <c r="AA413" s="8"/>
      <c r="AB413" s="8"/>
      <c r="AC413" s="8"/>
      <c r="AD413" s="8"/>
      <c r="AE413" s="40"/>
      <c r="AF413" s="8"/>
      <c r="AG413" s="40"/>
      <c r="AH413" s="40"/>
      <c r="AI413" s="8"/>
      <c r="AJ413" s="40"/>
      <c r="AK413" s="40"/>
      <c r="AL413" s="40"/>
      <c r="AM413" s="44"/>
      <c r="AN413" s="44"/>
      <c r="AO413" s="41"/>
      <c r="AP413" s="45" t="str">
        <f aca="false">IF(B413="","",IF(AND(ISNUMBER(AM413),ISNUMBER(AN413),AM413&gt;0,AN413&gt;0),AN413/AM413-1,""))</f>
        <v/>
      </c>
      <c r="AQ413" s="9" t="str">
        <f aca="false">IF(I413="","",(YEAR(I413)-IF(MONTH(I413)&lt;4,1,0))&amp;"-"&amp;RIGHT((YEAR(I413)-IF(MONTH(I413)&lt;4,1,0))+1,2))</f>
        <v/>
      </c>
      <c r="AR413" s="9" t="str">
        <f aca="false">IF(J413="","",(YEAR(J413)-IF(MONTH(J413)&lt;4,1,0))&amp;"-"&amp;RIGHT((YEAR(J413)-IF(MONTH(J413)&lt;4,1,0))+1,2))</f>
        <v/>
      </c>
      <c r="AS413" s="43" t="str">
        <f aca="false">IF(OR(B413="",Q413="",D413&lt;&gt;"Active"),"",DATE(YEAR(AsOf)+IF(DATE(YEAR(AsOf),MONTH(Q413),DAY(Q413))&lt;AsOf,1,0),MONTH(Q413),DAY(Q413))-AsOf)</f>
        <v/>
      </c>
      <c r="AT413" s="43" t="str">
        <f aca="false">IF(OR(B413="",I413="",D413&lt;&gt;"Active"),"",IF(YEAR(DATE(YEAR(AsOf)+IF(DATE(YEAR(AsOf),MONTH(I413),DAY(I413))&lt;AsOf,1,0),MONTH(I413),DAY(I413)))-YEAR(I413)&lt;1,"",DATE(YEAR(AsOf)+IF(DATE(YEAR(AsOf),MONTH(I413),DAY(I413))&lt;AsOf,1,0),MONTH(I413),DAY(I413))-AsOf))</f>
        <v/>
      </c>
      <c r="AU413" s="43" t="str">
        <f aca="false">IF(B413="","",IF(AV413="",0,LEN(AV413)-LEN(SUBSTITUTE(AV413,";",""))))</f>
        <v/>
      </c>
      <c r="AV413" s="9" t="str">
        <f aca="false">IF(B413="","",IF(COUNTIF($B$6:$B$505,B413)&gt;1,"Duplicate Emp Code; ","")&amp;IF(C413="","Name missing; ","")&amp;IF(I413="","DOJ missing; ","")&amp;IF(AND(J413&lt;&gt;"",I413&lt;&gt;"",J413&lt;I413),"Exit before DOJ; ","")&amp;IF(Q413="","DOB missing; ","")&amp;IF(T413="","Aadhaar missing; ",IF(LEN(T413)&lt;&gt;12,"Aadhaar not 12 digits; ",IF(COUNTIF($T$6:$T$505,T413)&gt;1,"Duplicate Aadhaar; ","")))&amp;IF(U413="","PAN missing; ",IF(LEN(U413)&lt;&gt;10,"PAN not 10 chars; ",""))&amp;IF(V413="","Mobile missing; ",IF(LEN(V413)&lt;&gt;10,"Mobile not 10 digits; ",""))&amp;IF(AG413="","Bank A/c missing; ","")&amp;IF(AH413="","IFSC missing; ",IF(LEN(AH413)&lt;&gt;11,"IFSC not 11 chars; ","")))</f>
        <v/>
      </c>
      <c r="AW413" s="46" t="str">
        <f aca="false">IF(AS413="","",AS413+ROW()/100000)</f>
        <v/>
      </c>
      <c r="AX413" s="46" t="str">
        <f aca="false">IF(AT413="","",AT413+ROW()/100000)</f>
        <v/>
      </c>
    </row>
    <row r="414" customFormat="false" ht="15" hidden="false" customHeight="false" outlineLevel="0" collapsed="false">
      <c r="A414" s="9" t="str">
        <f aca="false">IF(B414="","",ROW()-5)</f>
        <v/>
      </c>
      <c r="B414" s="40"/>
      <c r="C414" s="8"/>
      <c r="D414" s="9" t="str">
        <f aca="false">IF(B414="","",IF(J414="","Active","Exited"))</f>
        <v/>
      </c>
      <c r="E414" s="8"/>
      <c r="F414" s="8"/>
      <c r="G414" s="8"/>
      <c r="H414" s="9" t="str">
        <f aca="false">IF(OR(B414="",I414=""),"",IF(IF(J414="",AsOf,J414)-I414&gt;=Settings!$C$13,"Permanent","Probation"))</f>
        <v/>
      </c>
      <c r="I414" s="41"/>
      <c r="J414" s="41"/>
      <c r="K414" s="8"/>
      <c r="L414" s="42" t="str">
        <f aca="false">IF(OR(B414="",I414=""),"",ROUND((IF(J414="",AsOf,J414)-I414)/365.25,1))</f>
        <v/>
      </c>
      <c r="M414" s="8"/>
      <c r="N414" s="8"/>
      <c r="O414" s="8"/>
      <c r="P414" s="8"/>
      <c r="Q414" s="41"/>
      <c r="R414" s="43" t="str">
        <f aca="false">IF(OR(B414="",Q414=""),"",INT((AsOf-Q414)/365.25))</f>
        <v/>
      </c>
      <c r="S414" s="8"/>
      <c r="T414" s="40"/>
      <c r="U414" s="40"/>
      <c r="V414" s="40"/>
      <c r="W414" s="40"/>
      <c r="X414" s="8"/>
      <c r="Y414" s="8"/>
      <c r="Z414" s="8"/>
      <c r="AA414" s="8"/>
      <c r="AB414" s="8"/>
      <c r="AC414" s="8"/>
      <c r="AD414" s="8"/>
      <c r="AE414" s="40"/>
      <c r="AF414" s="8"/>
      <c r="AG414" s="40"/>
      <c r="AH414" s="40"/>
      <c r="AI414" s="8"/>
      <c r="AJ414" s="40"/>
      <c r="AK414" s="40"/>
      <c r="AL414" s="40"/>
      <c r="AM414" s="44"/>
      <c r="AN414" s="44"/>
      <c r="AO414" s="41"/>
      <c r="AP414" s="45" t="str">
        <f aca="false">IF(B414="","",IF(AND(ISNUMBER(AM414),ISNUMBER(AN414),AM414&gt;0,AN414&gt;0),AN414/AM414-1,""))</f>
        <v/>
      </c>
      <c r="AQ414" s="9" t="str">
        <f aca="false">IF(I414="","",(YEAR(I414)-IF(MONTH(I414)&lt;4,1,0))&amp;"-"&amp;RIGHT((YEAR(I414)-IF(MONTH(I414)&lt;4,1,0))+1,2))</f>
        <v/>
      </c>
      <c r="AR414" s="9" t="str">
        <f aca="false">IF(J414="","",(YEAR(J414)-IF(MONTH(J414)&lt;4,1,0))&amp;"-"&amp;RIGHT((YEAR(J414)-IF(MONTH(J414)&lt;4,1,0))+1,2))</f>
        <v/>
      </c>
      <c r="AS414" s="43" t="str">
        <f aca="false">IF(OR(B414="",Q414="",D414&lt;&gt;"Active"),"",DATE(YEAR(AsOf)+IF(DATE(YEAR(AsOf),MONTH(Q414),DAY(Q414))&lt;AsOf,1,0),MONTH(Q414),DAY(Q414))-AsOf)</f>
        <v/>
      </c>
      <c r="AT414" s="43" t="str">
        <f aca="false">IF(OR(B414="",I414="",D414&lt;&gt;"Active"),"",IF(YEAR(DATE(YEAR(AsOf)+IF(DATE(YEAR(AsOf),MONTH(I414),DAY(I414))&lt;AsOf,1,0),MONTH(I414),DAY(I414)))-YEAR(I414)&lt;1,"",DATE(YEAR(AsOf)+IF(DATE(YEAR(AsOf),MONTH(I414),DAY(I414))&lt;AsOf,1,0),MONTH(I414),DAY(I414))-AsOf))</f>
        <v/>
      </c>
      <c r="AU414" s="43" t="str">
        <f aca="false">IF(B414="","",IF(AV414="",0,LEN(AV414)-LEN(SUBSTITUTE(AV414,";",""))))</f>
        <v/>
      </c>
      <c r="AV414" s="9" t="str">
        <f aca="false">IF(B414="","",IF(COUNTIF($B$6:$B$505,B414)&gt;1,"Duplicate Emp Code; ","")&amp;IF(C414="","Name missing; ","")&amp;IF(I414="","DOJ missing; ","")&amp;IF(AND(J414&lt;&gt;"",I414&lt;&gt;"",J414&lt;I414),"Exit before DOJ; ","")&amp;IF(Q414="","DOB missing; ","")&amp;IF(T414="","Aadhaar missing; ",IF(LEN(T414)&lt;&gt;12,"Aadhaar not 12 digits; ",IF(COUNTIF($T$6:$T$505,T414)&gt;1,"Duplicate Aadhaar; ","")))&amp;IF(U414="","PAN missing; ",IF(LEN(U414)&lt;&gt;10,"PAN not 10 chars; ",""))&amp;IF(V414="","Mobile missing; ",IF(LEN(V414)&lt;&gt;10,"Mobile not 10 digits; ",""))&amp;IF(AG414="","Bank A/c missing; ","")&amp;IF(AH414="","IFSC missing; ",IF(LEN(AH414)&lt;&gt;11,"IFSC not 11 chars; ","")))</f>
        <v/>
      </c>
      <c r="AW414" s="46" t="str">
        <f aca="false">IF(AS414="","",AS414+ROW()/100000)</f>
        <v/>
      </c>
      <c r="AX414" s="46" t="str">
        <f aca="false">IF(AT414="","",AT414+ROW()/100000)</f>
        <v/>
      </c>
    </row>
    <row r="415" customFormat="false" ht="15" hidden="false" customHeight="false" outlineLevel="0" collapsed="false">
      <c r="A415" s="9" t="str">
        <f aca="false">IF(B415="","",ROW()-5)</f>
        <v/>
      </c>
      <c r="B415" s="40"/>
      <c r="C415" s="8"/>
      <c r="D415" s="9" t="str">
        <f aca="false">IF(B415="","",IF(J415="","Active","Exited"))</f>
        <v/>
      </c>
      <c r="E415" s="8"/>
      <c r="F415" s="8"/>
      <c r="G415" s="8"/>
      <c r="H415" s="9" t="str">
        <f aca="false">IF(OR(B415="",I415=""),"",IF(IF(J415="",AsOf,J415)-I415&gt;=Settings!$C$13,"Permanent","Probation"))</f>
        <v/>
      </c>
      <c r="I415" s="41"/>
      <c r="J415" s="41"/>
      <c r="K415" s="8"/>
      <c r="L415" s="42" t="str">
        <f aca="false">IF(OR(B415="",I415=""),"",ROUND((IF(J415="",AsOf,J415)-I415)/365.25,1))</f>
        <v/>
      </c>
      <c r="M415" s="8"/>
      <c r="N415" s="8"/>
      <c r="O415" s="8"/>
      <c r="P415" s="8"/>
      <c r="Q415" s="41"/>
      <c r="R415" s="43" t="str">
        <f aca="false">IF(OR(B415="",Q415=""),"",INT((AsOf-Q415)/365.25))</f>
        <v/>
      </c>
      <c r="S415" s="8"/>
      <c r="T415" s="40"/>
      <c r="U415" s="40"/>
      <c r="V415" s="40"/>
      <c r="W415" s="40"/>
      <c r="X415" s="8"/>
      <c r="Y415" s="8"/>
      <c r="Z415" s="8"/>
      <c r="AA415" s="8"/>
      <c r="AB415" s="8"/>
      <c r="AC415" s="8"/>
      <c r="AD415" s="8"/>
      <c r="AE415" s="40"/>
      <c r="AF415" s="8"/>
      <c r="AG415" s="40"/>
      <c r="AH415" s="40"/>
      <c r="AI415" s="8"/>
      <c r="AJ415" s="40"/>
      <c r="AK415" s="40"/>
      <c r="AL415" s="40"/>
      <c r="AM415" s="44"/>
      <c r="AN415" s="44"/>
      <c r="AO415" s="41"/>
      <c r="AP415" s="45" t="str">
        <f aca="false">IF(B415="","",IF(AND(ISNUMBER(AM415),ISNUMBER(AN415),AM415&gt;0,AN415&gt;0),AN415/AM415-1,""))</f>
        <v/>
      </c>
      <c r="AQ415" s="9" t="str">
        <f aca="false">IF(I415="","",(YEAR(I415)-IF(MONTH(I415)&lt;4,1,0))&amp;"-"&amp;RIGHT((YEAR(I415)-IF(MONTH(I415)&lt;4,1,0))+1,2))</f>
        <v/>
      </c>
      <c r="AR415" s="9" t="str">
        <f aca="false">IF(J415="","",(YEAR(J415)-IF(MONTH(J415)&lt;4,1,0))&amp;"-"&amp;RIGHT((YEAR(J415)-IF(MONTH(J415)&lt;4,1,0))+1,2))</f>
        <v/>
      </c>
      <c r="AS415" s="43" t="str">
        <f aca="false">IF(OR(B415="",Q415="",D415&lt;&gt;"Active"),"",DATE(YEAR(AsOf)+IF(DATE(YEAR(AsOf),MONTH(Q415),DAY(Q415))&lt;AsOf,1,0),MONTH(Q415),DAY(Q415))-AsOf)</f>
        <v/>
      </c>
      <c r="AT415" s="43" t="str">
        <f aca="false">IF(OR(B415="",I415="",D415&lt;&gt;"Active"),"",IF(YEAR(DATE(YEAR(AsOf)+IF(DATE(YEAR(AsOf),MONTH(I415),DAY(I415))&lt;AsOf,1,0),MONTH(I415),DAY(I415)))-YEAR(I415)&lt;1,"",DATE(YEAR(AsOf)+IF(DATE(YEAR(AsOf),MONTH(I415),DAY(I415))&lt;AsOf,1,0),MONTH(I415),DAY(I415))-AsOf))</f>
        <v/>
      </c>
      <c r="AU415" s="43" t="str">
        <f aca="false">IF(B415="","",IF(AV415="",0,LEN(AV415)-LEN(SUBSTITUTE(AV415,";",""))))</f>
        <v/>
      </c>
      <c r="AV415" s="9" t="str">
        <f aca="false">IF(B415="","",IF(COUNTIF($B$6:$B$505,B415)&gt;1,"Duplicate Emp Code; ","")&amp;IF(C415="","Name missing; ","")&amp;IF(I415="","DOJ missing; ","")&amp;IF(AND(J415&lt;&gt;"",I415&lt;&gt;"",J415&lt;I415),"Exit before DOJ; ","")&amp;IF(Q415="","DOB missing; ","")&amp;IF(T415="","Aadhaar missing; ",IF(LEN(T415)&lt;&gt;12,"Aadhaar not 12 digits; ",IF(COUNTIF($T$6:$T$505,T415)&gt;1,"Duplicate Aadhaar; ","")))&amp;IF(U415="","PAN missing; ",IF(LEN(U415)&lt;&gt;10,"PAN not 10 chars; ",""))&amp;IF(V415="","Mobile missing; ",IF(LEN(V415)&lt;&gt;10,"Mobile not 10 digits; ",""))&amp;IF(AG415="","Bank A/c missing; ","")&amp;IF(AH415="","IFSC missing; ",IF(LEN(AH415)&lt;&gt;11,"IFSC not 11 chars; ","")))</f>
        <v/>
      </c>
      <c r="AW415" s="46" t="str">
        <f aca="false">IF(AS415="","",AS415+ROW()/100000)</f>
        <v/>
      </c>
      <c r="AX415" s="46" t="str">
        <f aca="false">IF(AT415="","",AT415+ROW()/100000)</f>
        <v/>
      </c>
    </row>
    <row r="416" customFormat="false" ht="15" hidden="false" customHeight="false" outlineLevel="0" collapsed="false">
      <c r="A416" s="9" t="str">
        <f aca="false">IF(B416="","",ROW()-5)</f>
        <v/>
      </c>
      <c r="B416" s="40"/>
      <c r="C416" s="8"/>
      <c r="D416" s="9" t="str">
        <f aca="false">IF(B416="","",IF(J416="","Active","Exited"))</f>
        <v/>
      </c>
      <c r="E416" s="8"/>
      <c r="F416" s="8"/>
      <c r="G416" s="8"/>
      <c r="H416" s="9" t="str">
        <f aca="false">IF(OR(B416="",I416=""),"",IF(IF(J416="",AsOf,J416)-I416&gt;=Settings!$C$13,"Permanent","Probation"))</f>
        <v/>
      </c>
      <c r="I416" s="41"/>
      <c r="J416" s="41"/>
      <c r="K416" s="8"/>
      <c r="L416" s="42" t="str">
        <f aca="false">IF(OR(B416="",I416=""),"",ROUND((IF(J416="",AsOf,J416)-I416)/365.25,1))</f>
        <v/>
      </c>
      <c r="M416" s="8"/>
      <c r="N416" s="8"/>
      <c r="O416" s="8"/>
      <c r="P416" s="8"/>
      <c r="Q416" s="41"/>
      <c r="R416" s="43" t="str">
        <f aca="false">IF(OR(B416="",Q416=""),"",INT((AsOf-Q416)/365.25))</f>
        <v/>
      </c>
      <c r="S416" s="8"/>
      <c r="T416" s="40"/>
      <c r="U416" s="40"/>
      <c r="V416" s="40"/>
      <c r="W416" s="40"/>
      <c r="X416" s="8"/>
      <c r="Y416" s="8"/>
      <c r="Z416" s="8"/>
      <c r="AA416" s="8"/>
      <c r="AB416" s="8"/>
      <c r="AC416" s="8"/>
      <c r="AD416" s="8"/>
      <c r="AE416" s="40"/>
      <c r="AF416" s="8"/>
      <c r="AG416" s="40"/>
      <c r="AH416" s="40"/>
      <c r="AI416" s="8"/>
      <c r="AJ416" s="40"/>
      <c r="AK416" s="40"/>
      <c r="AL416" s="40"/>
      <c r="AM416" s="44"/>
      <c r="AN416" s="44"/>
      <c r="AO416" s="41"/>
      <c r="AP416" s="45" t="str">
        <f aca="false">IF(B416="","",IF(AND(ISNUMBER(AM416),ISNUMBER(AN416),AM416&gt;0,AN416&gt;0),AN416/AM416-1,""))</f>
        <v/>
      </c>
      <c r="AQ416" s="9" t="str">
        <f aca="false">IF(I416="","",(YEAR(I416)-IF(MONTH(I416)&lt;4,1,0))&amp;"-"&amp;RIGHT((YEAR(I416)-IF(MONTH(I416)&lt;4,1,0))+1,2))</f>
        <v/>
      </c>
      <c r="AR416" s="9" t="str">
        <f aca="false">IF(J416="","",(YEAR(J416)-IF(MONTH(J416)&lt;4,1,0))&amp;"-"&amp;RIGHT((YEAR(J416)-IF(MONTH(J416)&lt;4,1,0))+1,2))</f>
        <v/>
      </c>
      <c r="AS416" s="43" t="str">
        <f aca="false">IF(OR(B416="",Q416="",D416&lt;&gt;"Active"),"",DATE(YEAR(AsOf)+IF(DATE(YEAR(AsOf),MONTH(Q416),DAY(Q416))&lt;AsOf,1,0),MONTH(Q416),DAY(Q416))-AsOf)</f>
        <v/>
      </c>
      <c r="AT416" s="43" t="str">
        <f aca="false">IF(OR(B416="",I416="",D416&lt;&gt;"Active"),"",IF(YEAR(DATE(YEAR(AsOf)+IF(DATE(YEAR(AsOf),MONTH(I416),DAY(I416))&lt;AsOf,1,0),MONTH(I416),DAY(I416)))-YEAR(I416)&lt;1,"",DATE(YEAR(AsOf)+IF(DATE(YEAR(AsOf),MONTH(I416),DAY(I416))&lt;AsOf,1,0),MONTH(I416),DAY(I416))-AsOf))</f>
        <v/>
      </c>
      <c r="AU416" s="43" t="str">
        <f aca="false">IF(B416="","",IF(AV416="",0,LEN(AV416)-LEN(SUBSTITUTE(AV416,";",""))))</f>
        <v/>
      </c>
      <c r="AV416" s="9" t="str">
        <f aca="false">IF(B416="","",IF(COUNTIF($B$6:$B$505,B416)&gt;1,"Duplicate Emp Code; ","")&amp;IF(C416="","Name missing; ","")&amp;IF(I416="","DOJ missing; ","")&amp;IF(AND(J416&lt;&gt;"",I416&lt;&gt;"",J416&lt;I416),"Exit before DOJ; ","")&amp;IF(Q416="","DOB missing; ","")&amp;IF(T416="","Aadhaar missing; ",IF(LEN(T416)&lt;&gt;12,"Aadhaar not 12 digits; ",IF(COUNTIF($T$6:$T$505,T416)&gt;1,"Duplicate Aadhaar; ","")))&amp;IF(U416="","PAN missing; ",IF(LEN(U416)&lt;&gt;10,"PAN not 10 chars; ",""))&amp;IF(V416="","Mobile missing; ",IF(LEN(V416)&lt;&gt;10,"Mobile not 10 digits; ",""))&amp;IF(AG416="","Bank A/c missing; ","")&amp;IF(AH416="","IFSC missing; ",IF(LEN(AH416)&lt;&gt;11,"IFSC not 11 chars; ","")))</f>
        <v/>
      </c>
      <c r="AW416" s="46" t="str">
        <f aca="false">IF(AS416="","",AS416+ROW()/100000)</f>
        <v/>
      </c>
      <c r="AX416" s="46" t="str">
        <f aca="false">IF(AT416="","",AT416+ROW()/100000)</f>
        <v/>
      </c>
    </row>
    <row r="417" customFormat="false" ht="15" hidden="false" customHeight="false" outlineLevel="0" collapsed="false">
      <c r="A417" s="9" t="str">
        <f aca="false">IF(B417="","",ROW()-5)</f>
        <v/>
      </c>
      <c r="B417" s="40"/>
      <c r="C417" s="8"/>
      <c r="D417" s="9" t="str">
        <f aca="false">IF(B417="","",IF(J417="","Active","Exited"))</f>
        <v/>
      </c>
      <c r="E417" s="8"/>
      <c r="F417" s="8"/>
      <c r="G417" s="8"/>
      <c r="H417" s="9" t="str">
        <f aca="false">IF(OR(B417="",I417=""),"",IF(IF(J417="",AsOf,J417)-I417&gt;=Settings!$C$13,"Permanent","Probation"))</f>
        <v/>
      </c>
      <c r="I417" s="41"/>
      <c r="J417" s="41"/>
      <c r="K417" s="8"/>
      <c r="L417" s="42" t="str">
        <f aca="false">IF(OR(B417="",I417=""),"",ROUND((IF(J417="",AsOf,J417)-I417)/365.25,1))</f>
        <v/>
      </c>
      <c r="M417" s="8"/>
      <c r="N417" s="8"/>
      <c r="O417" s="8"/>
      <c r="P417" s="8"/>
      <c r="Q417" s="41"/>
      <c r="R417" s="43" t="str">
        <f aca="false">IF(OR(B417="",Q417=""),"",INT((AsOf-Q417)/365.25))</f>
        <v/>
      </c>
      <c r="S417" s="8"/>
      <c r="T417" s="40"/>
      <c r="U417" s="40"/>
      <c r="V417" s="40"/>
      <c r="W417" s="40"/>
      <c r="X417" s="8"/>
      <c r="Y417" s="8"/>
      <c r="Z417" s="8"/>
      <c r="AA417" s="8"/>
      <c r="AB417" s="8"/>
      <c r="AC417" s="8"/>
      <c r="AD417" s="8"/>
      <c r="AE417" s="40"/>
      <c r="AF417" s="8"/>
      <c r="AG417" s="40"/>
      <c r="AH417" s="40"/>
      <c r="AI417" s="8"/>
      <c r="AJ417" s="40"/>
      <c r="AK417" s="40"/>
      <c r="AL417" s="40"/>
      <c r="AM417" s="44"/>
      <c r="AN417" s="44"/>
      <c r="AO417" s="41"/>
      <c r="AP417" s="45" t="str">
        <f aca="false">IF(B417="","",IF(AND(ISNUMBER(AM417),ISNUMBER(AN417),AM417&gt;0,AN417&gt;0),AN417/AM417-1,""))</f>
        <v/>
      </c>
      <c r="AQ417" s="9" t="str">
        <f aca="false">IF(I417="","",(YEAR(I417)-IF(MONTH(I417)&lt;4,1,0))&amp;"-"&amp;RIGHT((YEAR(I417)-IF(MONTH(I417)&lt;4,1,0))+1,2))</f>
        <v/>
      </c>
      <c r="AR417" s="9" t="str">
        <f aca="false">IF(J417="","",(YEAR(J417)-IF(MONTH(J417)&lt;4,1,0))&amp;"-"&amp;RIGHT((YEAR(J417)-IF(MONTH(J417)&lt;4,1,0))+1,2))</f>
        <v/>
      </c>
      <c r="AS417" s="43" t="str">
        <f aca="false">IF(OR(B417="",Q417="",D417&lt;&gt;"Active"),"",DATE(YEAR(AsOf)+IF(DATE(YEAR(AsOf),MONTH(Q417),DAY(Q417))&lt;AsOf,1,0),MONTH(Q417),DAY(Q417))-AsOf)</f>
        <v/>
      </c>
      <c r="AT417" s="43" t="str">
        <f aca="false">IF(OR(B417="",I417="",D417&lt;&gt;"Active"),"",IF(YEAR(DATE(YEAR(AsOf)+IF(DATE(YEAR(AsOf),MONTH(I417),DAY(I417))&lt;AsOf,1,0),MONTH(I417),DAY(I417)))-YEAR(I417)&lt;1,"",DATE(YEAR(AsOf)+IF(DATE(YEAR(AsOf),MONTH(I417),DAY(I417))&lt;AsOf,1,0),MONTH(I417),DAY(I417))-AsOf))</f>
        <v/>
      </c>
      <c r="AU417" s="43" t="str">
        <f aca="false">IF(B417="","",IF(AV417="",0,LEN(AV417)-LEN(SUBSTITUTE(AV417,";",""))))</f>
        <v/>
      </c>
      <c r="AV417" s="9" t="str">
        <f aca="false">IF(B417="","",IF(COUNTIF($B$6:$B$505,B417)&gt;1,"Duplicate Emp Code; ","")&amp;IF(C417="","Name missing; ","")&amp;IF(I417="","DOJ missing; ","")&amp;IF(AND(J417&lt;&gt;"",I417&lt;&gt;"",J417&lt;I417),"Exit before DOJ; ","")&amp;IF(Q417="","DOB missing; ","")&amp;IF(T417="","Aadhaar missing; ",IF(LEN(T417)&lt;&gt;12,"Aadhaar not 12 digits; ",IF(COUNTIF($T$6:$T$505,T417)&gt;1,"Duplicate Aadhaar; ","")))&amp;IF(U417="","PAN missing; ",IF(LEN(U417)&lt;&gt;10,"PAN not 10 chars; ",""))&amp;IF(V417="","Mobile missing; ",IF(LEN(V417)&lt;&gt;10,"Mobile not 10 digits; ",""))&amp;IF(AG417="","Bank A/c missing; ","")&amp;IF(AH417="","IFSC missing; ",IF(LEN(AH417)&lt;&gt;11,"IFSC not 11 chars; ","")))</f>
        <v/>
      </c>
      <c r="AW417" s="46" t="str">
        <f aca="false">IF(AS417="","",AS417+ROW()/100000)</f>
        <v/>
      </c>
      <c r="AX417" s="46" t="str">
        <f aca="false">IF(AT417="","",AT417+ROW()/100000)</f>
        <v/>
      </c>
    </row>
    <row r="418" customFormat="false" ht="15" hidden="false" customHeight="false" outlineLevel="0" collapsed="false">
      <c r="A418" s="9" t="str">
        <f aca="false">IF(B418="","",ROW()-5)</f>
        <v/>
      </c>
      <c r="B418" s="40"/>
      <c r="C418" s="8"/>
      <c r="D418" s="9" t="str">
        <f aca="false">IF(B418="","",IF(J418="","Active","Exited"))</f>
        <v/>
      </c>
      <c r="E418" s="8"/>
      <c r="F418" s="8"/>
      <c r="G418" s="8"/>
      <c r="H418" s="9" t="str">
        <f aca="false">IF(OR(B418="",I418=""),"",IF(IF(J418="",AsOf,J418)-I418&gt;=Settings!$C$13,"Permanent","Probation"))</f>
        <v/>
      </c>
      <c r="I418" s="41"/>
      <c r="J418" s="41"/>
      <c r="K418" s="8"/>
      <c r="L418" s="42" t="str">
        <f aca="false">IF(OR(B418="",I418=""),"",ROUND((IF(J418="",AsOf,J418)-I418)/365.25,1))</f>
        <v/>
      </c>
      <c r="M418" s="8"/>
      <c r="N418" s="8"/>
      <c r="O418" s="8"/>
      <c r="P418" s="8"/>
      <c r="Q418" s="41"/>
      <c r="R418" s="43" t="str">
        <f aca="false">IF(OR(B418="",Q418=""),"",INT((AsOf-Q418)/365.25))</f>
        <v/>
      </c>
      <c r="S418" s="8"/>
      <c r="T418" s="40"/>
      <c r="U418" s="40"/>
      <c r="V418" s="40"/>
      <c r="W418" s="40"/>
      <c r="X418" s="8"/>
      <c r="Y418" s="8"/>
      <c r="Z418" s="8"/>
      <c r="AA418" s="8"/>
      <c r="AB418" s="8"/>
      <c r="AC418" s="8"/>
      <c r="AD418" s="8"/>
      <c r="AE418" s="40"/>
      <c r="AF418" s="8"/>
      <c r="AG418" s="40"/>
      <c r="AH418" s="40"/>
      <c r="AI418" s="8"/>
      <c r="AJ418" s="40"/>
      <c r="AK418" s="40"/>
      <c r="AL418" s="40"/>
      <c r="AM418" s="44"/>
      <c r="AN418" s="44"/>
      <c r="AO418" s="41"/>
      <c r="AP418" s="45" t="str">
        <f aca="false">IF(B418="","",IF(AND(ISNUMBER(AM418),ISNUMBER(AN418),AM418&gt;0,AN418&gt;0),AN418/AM418-1,""))</f>
        <v/>
      </c>
      <c r="AQ418" s="9" t="str">
        <f aca="false">IF(I418="","",(YEAR(I418)-IF(MONTH(I418)&lt;4,1,0))&amp;"-"&amp;RIGHT((YEAR(I418)-IF(MONTH(I418)&lt;4,1,0))+1,2))</f>
        <v/>
      </c>
      <c r="AR418" s="9" t="str">
        <f aca="false">IF(J418="","",(YEAR(J418)-IF(MONTH(J418)&lt;4,1,0))&amp;"-"&amp;RIGHT((YEAR(J418)-IF(MONTH(J418)&lt;4,1,0))+1,2))</f>
        <v/>
      </c>
      <c r="AS418" s="43" t="str">
        <f aca="false">IF(OR(B418="",Q418="",D418&lt;&gt;"Active"),"",DATE(YEAR(AsOf)+IF(DATE(YEAR(AsOf),MONTH(Q418),DAY(Q418))&lt;AsOf,1,0),MONTH(Q418),DAY(Q418))-AsOf)</f>
        <v/>
      </c>
      <c r="AT418" s="43" t="str">
        <f aca="false">IF(OR(B418="",I418="",D418&lt;&gt;"Active"),"",IF(YEAR(DATE(YEAR(AsOf)+IF(DATE(YEAR(AsOf),MONTH(I418),DAY(I418))&lt;AsOf,1,0),MONTH(I418),DAY(I418)))-YEAR(I418)&lt;1,"",DATE(YEAR(AsOf)+IF(DATE(YEAR(AsOf),MONTH(I418),DAY(I418))&lt;AsOf,1,0),MONTH(I418),DAY(I418))-AsOf))</f>
        <v/>
      </c>
      <c r="AU418" s="43" t="str">
        <f aca="false">IF(B418="","",IF(AV418="",0,LEN(AV418)-LEN(SUBSTITUTE(AV418,";",""))))</f>
        <v/>
      </c>
      <c r="AV418" s="9" t="str">
        <f aca="false">IF(B418="","",IF(COUNTIF($B$6:$B$505,B418)&gt;1,"Duplicate Emp Code; ","")&amp;IF(C418="","Name missing; ","")&amp;IF(I418="","DOJ missing; ","")&amp;IF(AND(J418&lt;&gt;"",I418&lt;&gt;"",J418&lt;I418),"Exit before DOJ; ","")&amp;IF(Q418="","DOB missing; ","")&amp;IF(T418="","Aadhaar missing; ",IF(LEN(T418)&lt;&gt;12,"Aadhaar not 12 digits; ",IF(COUNTIF($T$6:$T$505,T418)&gt;1,"Duplicate Aadhaar; ","")))&amp;IF(U418="","PAN missing; ",IF(LEN(U418)&lt;&gt;10,"PAN not 10 chars; ",""))&amp;IF(V418="","Mobile missing; ",IF(LEN(V418)&lt;&gt;10,"Mobile not 10 digits; ",""))&amp;IF(AG418="","Bank A/c missing; ","")&amp;IF(AH418="","IFSC missing; ",IF(LEN(AH418)&lt;&gt;11,"IFSC not 11 chars; ","")))</f>
        <v/>
      </c>
      <c r="AW418" s="46" t="str">
        <f aca="false">IF(AS418="","",AS418+ROW()/100000)</f>
        <v/>
      </c>
      <c r="AX418" s="46" t="str">
        <f aca="false">IF(AT418="","",AT418+ROW()/100000)</f>
        <v/>
      </c>
    </row>
    <row r="419" customFormat="false" ht="15" hidden="false" customHeight="false" outlineLevel="0" collapsed="false">
      <c r="A419" s="9" t="str">
        <f aca="false">IF(B419="","",ROW()-5)</f>
        <v/>
      </c>
      <c r="B419" s="40"/>
      <c r="C419" s="8"/>
      <c r="D419" s="9" t="str">
        <f aca="false">IF(B419="","",IF(J419="","Active","Exited"))</f>
        <v/>
      </c>
      <c r="E419" s="8"/>
      <c r="F419" s="8"/>
      <c r="G419" s="8"/>
      <c r="H419" s="9" t="str">
        <f aca="false">IF(OR(B419="",I419=""),"",IF(IF(J419="",AsOf,J419)-I419&gt;=Settings!$C$13,"Permanent","Probation"))</f>
        <v/>
      </c>
      <c r="I419" s="41"/>
      <c r="J419" s="41"/>
      <c r="K419" s="8"/>
      <c r="L419" s="42" t="str">
        <f aca="false">IF(OR(B419="",I419=""),"",ROUND((IF(J419="",AsOf,J419)-I419)/365.25,1))</f>
        <v/>
      </c>
      <c r="M419" s="8"/>
      <c r="N419" s="8"/>
      <c r="O419" s="8"/>
      <c r="P419" s="8"/>
      <c r="Q419" s="41"/>
      <c r="R419" s="43" t="str">
        <f aca="false">IF(OR(B419="",Q419=""),"",INT((AsOf-Q419)/365.25))</f>
        <v/>
      </c>
      <c r="S419" s="8"/>
      <c r="T419" s="40"/>
      <c r="U419" s="40"/>
      <c r="V419" s="40"/>
      <c r="W419" s="40"/>
      <c r="X419" s="8"/>
      <c r="Y419" s="8"/>
      <c r="Z419" s="8"/>
      <c r="AA419" s="8"/>
      <c r="AB419" s="8"/>
      <c r="AC419" s="8"/>
      <c r="AD419" s="8"/>
      <c r="AE419" s="40"/>
      <c r="AF419" s="8"/>
      <c r="AG419" s="40"/>
      <c r="AH419" s="40"/>
      <c r="AI419" s="8"/>
      <c r="AJ419" s="40"/>
      <c r="AK419" s="40"/>
      <c r="AL419" s="40"/>
      <c r="AM419" s="44"/>
      <c r="AN419" s="44"/>
      <c r="AO419" s="41"/>
      <c r="AP419" s="45" t="str">
        <f aca="false">IF(B419="","",IF(AND(ISNUMBER(AM419),ISNUMBER(AN419),AM419&gt;0,AN419&gt;0),AN419/AM419-1,""))</f>
        <v/>
      </c>
      <c r="AQ419" s="9" t="str">
        <f aca="false">IF(I419="","",(YEAR(I419)-IF(MONTH(I419)&lt;4,1,0))&amp;"-"&amp;RIGHT((YEAR(I419)-IF(MONTH(I419)&lt;4,1,0))+1,2))</f>
        <v/>
      </c>
      <c r="AR419" s="9" t="str">
        <f aca="false">IF(J419="","",(YEAR(J419)-IF(MONTH(J419)&lt;4,1,0))&amp;"-"&amp;RIGHT((YEAR(J419)-IF(MONTH(J419)&lt;4,1,0))+1,2))</f>
        <v/>
      </c>
      <c r="AS419" s="43" t="str">
        <f aca="false">IF(OR(B419="",Q419="",D419&lt;&gt;"Active"),"",DATE(YEAR(AsOf)+IF(DATE(YEAR(AsOf),MONTH(Q419),DAY(Q419))&lt;AsOf,1,0),MONTH(Q419),DAY(Q419))-AsOf)</f>
        <v/>
      </c>
      <c r="AT419" s="43" t="str">
        <f aca="false">IF(OR(B419="",I419="",D419&lt;&gt;"Active"),"",IF(YEAR(DATE(YEAR(AsOf)+IF(DATE(YEAR(AsOf),MONTH(I419),DAY(I419))&lt;AsOf,1,0),MONTH(I419),DAY(I419)))-YEAR(I419)&lt;1,"",DATE(YEAR(AsOf)+IF(DATE(YEAR(AsOf),MONTH(I419),DAY(I419))&lt;AsOf,1,0),MONTH(I419),DAY(I419))-AsOf))</f>
        <v/>
      </c>
      <c r="AU419" s="43" t="str">
        <f aca="false">IF(B419="","",IF(AV419="",0,LEN(AV419)-LEN(SUBSTITUTE(AV419,";",""))))</f>
        <v/>
      </c>
      <c r="AV419" s="9" t="str">
        <f aca="false">IF(B419="","",IF(COUNTIF($B$6:$B$505,B419)&gt;1,"Duplicate Emp Code; ","")&amp;IF(C419="","Name missing; ","")&amp;IF(I419="","DOJ missing; ","")&amp;IF(AND(J419&lt;&gt;"",I419&lt;&gt;"",J419&lt;I419),"Exit before DOJ; ","")&amp;IF(Q419="","DOB missing; ","")&amp;IF(T419="","Aadhaar missing; ",IF(LEN(T419)&lt;&gt;12,"Aadhaar not 12 digits; ",IF(COUNTIF($T$6:$T$505,T419)&gt;1,"Duplicate Aadhaar; ","")))&amp;IF(U419="","PAN missing; ",IF(LEN(U419)&lt;&gt;10,"PAN not 10 chars; ",""))&amp;IF(V419="","Mobile missing; ",IF(LEN(V419)&lt;&gt;10,"Mobile not 10 digits; ",""))&amp;IF(AG419="","Bank A/c missing; ","")&amp;IF(AH419="","IFSC missing; ",IF(LEN(AH419)&lt;&gt;11,"IFSC not 11 chars; ","")))</f>
        <v/>
      </c>
      <c r="AW419" s="46" t="str">
        <f aca="false">IF(AS419="","",AS419+ROW()/100000)</f>
        <v/>
      </c>
      <c r="AX419" s="46" t="str">
        <f aca="false">IF(AT419="","",AT419+ROW()/100000)</f>
        <v/>
      </c>
    </row>
    <row r="420" customFormat="false" ht="15" hidden="false" customHeight="false" outlineLevel="0" collapsed="false">
      <c r="A420" s="9" t="str">
        <f aca="false">IF(B420="","",ROW()-5)</f>
        <v/>
      </c>
      <c r="B420" s="40"/>
      <c r="C420" s="8"/>
      <c r="D420" s="9" t="str">
        <f aca="false">IF(B420="","",IF(J420="","Active","Exited"))</f>
        <v/>
      </c>
      <c r="E420" s="8"/>
      <c r="F420" s="8"/>
      <c r="G420" s="8"/>
      <c r="H420" s="9" t="str">
        <f aca="false">IF(OR(B420="",I420=""),"",IF(IF(J420="",AsOf,J420)-I420&gt;=Settings!$C$13,"Permanent","Probation"))</f>
        <v/>
      </c>
      <c r="I420" s="41"/>
      <c r="J420" s="41"/>
      <c r="K420" s="8"/>
      <c r="L420" s="42" t="str">
        <f aca="false">IF(OR(B420="",I420=""),"",ROUND((IF(J420="",AsOf,J420)-I420)/365.25,1))</f>
        <v/>
      </c>
      <c r="M420" s="8"/>
      <c r="N420" s="8"/>
      <c r="O420" s="8"/>
      <c r="P420" s="8"/>
      <c r="Q420" s="41"/>
      <c r="R420" s="43" t="str">
        <f aca="false">IF(OR(B420="",Q420=""),"",INT((AsOf-Q420)/365.25))</f>
        <v/>
      </c>
      <c r="S420" s="8"/>
      <c r="T420" s="40"/>
      <c r="U420" s="40"/>
      <c r="V420" s="40"/>
      <c r="W420" s="40"/>
      <c r="X420" s="8"/>
      <c r="Y420" s="8"/>
      <c r="Z420" s="8"/>
      <c r="AA420" s="8"/>
      <c r="AB420" s="8"/>
      <c r="AC420" s="8"/>
      <c r="AD420" s="8"/>
      <c r="AE420" s="40"/>
      <c r="AF420" s="8"/>
      <c r="AG420" s="40"/>
      <c r="AH420" s="40"/>
      <c r="AI420" s="8"/>
      <c r="AJ420" s="40"/>
      <c r="AK420" s="40"/>
      <c r="AL420" s="40"/>
      <c r="AM420" s="44"/>
      <c r="AN420" s="44"/>
      <c r="AO420" s="41"/>
      <c r="AP420" s="45" t="str">
        <f aca="false">IF(B420="","",IF(AND(ISNUMBER(AM420),ISNUMBER(AN420),AM420&gt;0,AN420&gt;0),AN420/AM420-1,""))</f>
        <v/>
      </c>
      <c r="AQ420" s="9" t="str">
        <f aca="false">IF(I420="","",(YEAR(I420)-IF(MONTH(I420)&lt;4,1,0))&amp;"-"&amp;RIGHT((YEAR(I420)-IF(MONTH(I420)&lt;4,1,0))+1,2))</f>
        <v/>
      </c>
      <c r="AR420" s="9" t="str">
        <f aca="false">IF(J420="","",(YEAR(J420)-IF(MONTH(J420)&lt;4,1,0))&amp;"-"&amp;RIGHT((YEAR(J420)-IF(MONTH(J420)&lt;4,1,0))+1,2))</f>
        <v/>
      </c>
      <c r="AS420" s="43" t="str">
        <f aca="false">IF(OR(B420="",Q420="",D420&lt;&gt;"Active"),"",DATE(YEAR(AsOf)+IF(DATE(YEAR(AsOf),MONTH(Q420),DAY(Q420))&lt;AsOf,1,0),MONTH(Q420),DAY(Q420))-AsOf)</f>
        <v/>
      </c>
      <c r="AT420" s="43" t="str">
        <f aca="false">IF(OR(B420="",I420="",D420&lt;&gt;"Active"),"",IF(YEAR(DATE(YEAR(AsOf)+IF(DATE(YEAR(AsOf),MONTH(I420),DAY(I420))&lt;AsOf,1,0),MONTH(I420),DAY(I420)))-YEAR(I420)&lt;1,"",DATE(YEAR(AsOf)+IF(DATE(YEAR(AsOf),MONTH(I420),DAY(I420))&lt;AsOf,1,0),MONTH(I420),DAY(I420))-AsOf))</f>
        <v/>
      </c>
      <c r="AU420" s="43" t="str">
        <f aca="false">IF(B420="","",IF(AV420="",0,LEN(AV420)-LEN(SUBSTITUTE(AV420,";",""))))</f>
        <v/>
      </c>
      <c r="AV420" s="9" t="str">
        <f aca="false">IF(B420="","",IF(COUNTIF($B$6:$B$505,B420)&gt;1,"Duplicate Emp Code; ","")&amp;IF(C420="","Name missing; ","")&amp;IF(I420="","DOJ missing; ","")&amp;IF(AND(J420&lt;&gt;"",I420&lt;&gt;"",J420&lt;I420),"Exit before DOJ; ","")&amp;IF(Q420="","DOB missing; ","")&amp;IF(T420="","Aadhaar missing; ",IF(LEN(T420)&lt;&gt;12,"Aadhaar not 12 digits; ",IF(COUNTIF($T$6:$T$505,T420)&gt;1,"Duplicate Aadhaar; ","")))&amp;IF(U420="","PAN missing; ",IF(LEN(U420)&lt;&gt;10,"PAN not 10 chars; ",""))&amp;IF(V420="","Mobile missing; ",IF(LEN(V420)&lt;&gt;10,"Mobile not 10 digits; ",""))&amp;IF(AG420="","Bank A/c missing; ","")&amp;IF(AH420="","IFSC missing; ",IF(LEN(AH420)&lt;&gt;11,"IFSC not 11 chars; ","")))</f>
        <v/>
      </c>
      <c r="AW420" s="46" t="str">
        <f aca="false">IF(AS420="","",AS420+ROW()/100000)</f>
        <v/>
      </c>
      <c r="AX420" s="46" t="str">
        <f aca="false">IF(AT420="","",AT420+ROW()/100000)</f>
        <v/>
      </c>
    </row>
    <row r="421" customFormat="false" ht="15" hidden="false" customHeight="false" outlineLevel="0" collapsed="false">
      <c r="A421" s="9" t="str">
        <f aca="false">IF(B421="","",ROW()-5)</f>
        <v/>
      </c>
      <c r="B421" s="40"/>
      <c r="C421" s="8"/>
      <c r="D421" s="9" t="str">
        <f aca="false">IF(B421="","",IF(J421="","Active","Exited"))</f>
        <v/>
      </c>
      <c r="E421" s="8"/>
      <c r="F421" s="8"/>
      <c r="G421" s="8"/>
      <c r="H421" s="9" t="str">
        <f aca="false">IF(OR(B421="",I421=""),"",IF(IF(J421="",AsOf,J421)-I421&gt;=Settings!$C$13,"Permanent","Probation"))</f>
        <v/>
      </c>
      <c r="I421" s="41"/>
      <c r="J421" s="41"/>
      <c r="K421" s="8"/>
      <c r="L421" s="42" t="str">
        <f aca="false">IF(OR(B421="",I421=""),"",ROUND((IF(J421="",AsOf,J421)-I421)/365.25,1))</f>
        <v/>
      </c>
      <c r="M421" s="8"/>
      <c r="N421" s="8"/>
      <c r="O421" s="8"/>
      <c r="P421" s="8"/>
      <c r="Q421" s="41"/>
      <c r="R421" s="43" t="str">
        <f aca="false">IF(OR(B421="",Q421=""),"",INT((AsOf-Q421)/365.25))</f>
        <v/>
      </c>
      <c r="S421" s="8"/>
      <c r="T421" s="40"/>
      <c r="U421" s="40"/>
      <c r="V421" s="40"/>
      <c r="W421" s="40"/>
      <c r="X421" s="8"/>
      <c r="Y421" s="8"/>
      <c r="Z421" s="8"/>
      <c r="AA421" s="8"/>
      <c r="AB421" s="8"/>
      <c r="AC421" s="8"/>
      <c r="AD421" s="8"/>
      <c r="AE421" s="40"/>
      <c r="AF421" s="8"/>
      <c r="AG421" s="40"/>
      <c r="AH421" s="40"/>
      <c r="AI421" s="8"/>
      <c r="AJ421" s="40"/>
      <c r="AK421" s="40"/>
      <c r="AL421" s="40"/>
      <c r="AM421" s="44"/>
      <c r="AN421" s="44"/>
      <c r="AO421" s="41"/>
      <c r="AP421" s="45" t="str">
        <f aca="false">IF(B421="","",IF(AND(ISNUMBER(AM421),ISNUMBER(AN421),AM421&gt;0,AN421&gt;0),AN421/AM421-1,""))</f>
        <v/>
      </c>
      <c r="AQ421" s="9" t="str">
        <f aca="false">IF(I421="","",(YEAR(I421)-IF(MONTH(I421)&lt;4,1,0))&amp;"-"&amp;RIGHT((YEAR(I421)-IF(MONTH(I421)&lt;4,1,0))+1,2))</f>
        <v/>
      </c>
      <c r="AR421" s="9" t="str">
        <f aca="false">IF(J421="","",(YEAR(J421)-IF(MONTH(J421)&lt;4,1,0))&amp;"-"&amp;RIGHT((YEAR(J421)-IF(MONTH(J421)&lt;4,1,0))+1,2))</f>
        <v/>
      </c>
      <c r="AS421" s="43" t="str">
        <f aca="false">IF(OR(B421="",Q421="",D421&lt;&gt;"Active"),"",DATE(YEAR(AsOf)+IF(DATE(YEAR(AsOf),MONTH(Q421),DAY(Q421))&lt;AsOf,1,0),MONTH(Q421),DAY(Q421))-AsOf)</f>
        <v/>
      </c>
      <c r="AT421" s="43" t="str">
        <f aca="false">IF(OR(B421="",I421="",D421&lt;&gt;"Active"),"",IF(YEAR(DATE(YEAR(AsOf)+IF(DATE(YEAR(AsOf),MONTH(I421),DAY(I421))&lt;AsOf,1,0),MONTH(I421),DAY(I421)))-YEAR(I421)&lt;1,"",DATE(YEAR(AsOf)+IF(DATE(YEAR(AsOf),MONTH(I421),DAY(I421))&lt;AsOf,1,0),MONTH(I421),DAY(I421))-AsOf))</f>
        <v/>
      </c>
      <c r="AU421" s="43" t="str">
        <f aca="false">IF(B421="","",IF(AV421="",0,LEN(AV421)-LEN(SUBSTITUTE(AV421,";",""))))</f>
        <v/>
      </c>
      <c r="AV421" s="9" t="str">
        <f aca="false">IF(B421="","",IF(COUNTIF($B$6:$B$505,B421)&gt;1,"Duplicate Emp Code; ","")&amp;IF(C421="","Name missing; ","")&amp;IF(I421="","DOJ missing; ","")&amp;IF(AND(J421&lt;&gt;"",I421&lt;&gt;"",J421&lt;I421),"Exit before DOJ; ","")&amp;IF(Q421="","DOB missing; ","")&amp;IF(T421="","Aadhaar missing; ",IF(LEN(T421)&lt;&gt;12,"Aadhaar not 12 digits; ",IF(COUNTIF($T$6:$T$505,T421)&gt;1,"Duplicate Aadhaar; ","")))&amp;IF(U421="","PAN missing; ",IF(LEN(U421)&lt;&gt;10,"PAN not 10 chars; ",""))&amp;IF(V421="","Mobile missing; ",IF(LEN(V421)&lt;&gt;10,"Mobile not 10 digits; ",""))&amp;IF(AG421="","Bank A/c missing; ","")&amp;IF(AH421="","IFSC missing; ",IF(LEN(AH421)&lt;&gt;11,"IFSC not 11 chars; ","")))</f>
        <v/>
      </c>
      <c r="AW421" s="46" t="str">
        <f aca="false">IF(AS421="","",AS421+ROW()/100000)</f>
        <v/>
      </c>
      <c r="AX421" s="46" t="str">
        <f aca="false">IF(AT421="","",AT421+ROW()/100000)</f>
        <v/>
      </c>
    </row>
    <row r="422" customFormat="false" ht="15" hidden="false" customHeight="false" outlineLevel="0" collapsed="false">
      <c r="A422" s="9" t="str">
        <f aca="false">IF(B422="","",ROW()-5)</f>
        <v/>
      </c>
      <c r="B422" s="40"/>
      <c r="C422" s="8"/>
      <c r="D422" s="9" t="str">
        <f aca="false">IF(B422="","",IF(J422="","Active","Exited"))</f>
        <v/>
      </c>
      <c r="E422" s="8"/>
      <c r="F422" s="8"/>
      <c r="G422" s="8"/>
      <c r="H422" s="9" t="str">
        <f aca="false">IF(OR(B422="",I422=""),"",IF(IF(J422="",AsOf,J422)-I422&gt;=Settings!$C$13,"Permanent","Probation"))</f>
        <v/>
      </c>
      <c r="I422" s="41"/>
      <c r="J422" s="41"/>
      <c r="K422" s="8"/>
      <c r="L422" s="42" t="str">
        <f aca="false">IF(OR(B422="",I422=""),"",ROUND((IF(J422="",AsOf,J422)-I422)/365.25,1))</f>
        <v/>
      </c>
      <c r="M422" s="8"/>
      <c r="N422" s="8"/>
      <c r="O422" s="8"/>
      <c r="P422" s="8"/>
      <c r="Q422" s="41"/>
      <c r="R422" s="43" t="str">
        <f aca="false">IF(OR(B422="",Q422=""),"",INT((AsOf-Q422)/365.25))</f>
        <v/>
      </c>
      <c r="S422" s="8"/>
      <c r="T422" s="40"/>
      <c r="U422" s="40"/>
      <c r="V422" s="40"/>
      <c r="W422" s="40"/>
      <c r="X422" s="8"/>
      <c r="Y422" s="8"/>
      <c r="Z422" s="8"/>
      <c r="AA422" s="8"/>
      <c r="AB422" s="8"/>
      <c r="AC422" s="8"/>
      <c r="AD422" s="8"/>
      <c r="AE422" s="40"/>
      <c r="AF422" s="8"/>
      <c r="AG422" s="40"/>
      <c r="AH422" s="40"/>
      <c r="AI422" s="8"/>
      <c r="AJ422" s="40"/>
      <c r="AK422" s="40"/>
      <c r="AL422" s="40"/>
      <c r="AM422" s="44"/>
      <c r="AN422" s="44"/>
      <c r="AO422" s="41"/>
      <c r="AP422" s="45" t="str">
        <f aca="false">IF(B422="","",IF(AND(ISNUMBER(AM422),ISNUMBER(AN422),AM422&gt;0,AN422&gt;0),AN422/AM422-1,""))</f>
        <v/>
      </c>
      <c r="AQ422" s="9" t="str">
        <f aca="false">IF(I422="","",(YEAR(I422)-IF(MONTH(I422)&lt;4,1,0))&amp;"-"&amp;RIGHT((YEAR(I422)-IF(MONTH(I422)&lt;4,1,0))+1,2))</f>
        <v/>
      </c>
      <c r="AR422" s="9" t="str">
        <f aca="false">IF(J422="","",(YEAR(J422)-IF(MONTH(J422)&lt;4,1,0))&amp;"-"&amp;RIGHT((YEAR(J422)-IF(MONTH(J422)&lt;4,1,0))+1,2))</f>
        <v/>
      </c>
      <c r="AS422" s="43" t="str">
        <f aca="false">IF(OR(B422="",Q422="",D422&lt;&gt;"Active"),"",DATE(YEAR(AsOf)+IF(DATE(YEAR(AsOf),MONTH(Q422),DAY(Q422))&lt;AsOf,1,0),MONTH(Q422),DAY(Q422))-AsOf)</f>
        <v/>
      </c>
      <c r="AT422" s="43" t="str">
        <f aca="false">IF(OR(B422="",I422="",D422&lt;&gt;"Active"),"",IF(YEAR(DATE(YEAR(AsOf)+IF(DATE(YEAR(AsOf),MONTH(I422),DAY(I422))&lt;AsOf,1,0),MONTH(I422),DAY(I422)))-YEAR(I422)&lt;1,"",DATE(YEAR(AsOf)+IF(DATE(YEAR(AsOf),MONTH(I422),DAY(I422))&lt;AsOf,1,0),MONTH(I422),DAY(I422))-AsOf))</f>
        <v/>
      </c>
      <c r="AU422" s="43" t="str">
        <f aca="false">IF(B422="","",IF(AV422="",0,LEN(AV422)-LEN(SUBSTITUTE(AV422,";",""))))</f>
        <v/>
      </c>
      <c r="AV422" s="9" t="str">
        <f aca="false">IF(B422="","",IF(COUNTIF($B$6:$B$505,B422)&gt;1,"Duplicate Emp Code; ","")&amp;IF(C422="","Name missing; ","")&amp;IF(I422="","DOJ missing; ","")&amp;IF(AND(J422&lt;&gt;"",I422&lt;&gt;"",J422&lt;I422),"Exit before DOJ; ","")&amp;IF(Q422="","DOB missing; ","")&amp;IF(T422="","Aadhaar missing; ",IF(LEN(T422)&lt;&gt;12,"Aadhaar not 12 digits; ",IF(COUNTIF($T$6:$T$505,T422)&gt;1,"Duplicate Aadhaar; ","")))&amp;IF(U422="","PAN missing; ",IF(LEN(U422)&lt;&gt;10,"PAN not 10 chars; ",""))&amp;IF(V422="","Mobile missing; ",IF(LEN(V422)&lt;&gt;10,"Mobile not 10 digits; ",""))&amp;IF(AG422="","Bank A/c missing; ","")&amp;IF(AH422="","IFSC missing; ",IF(LEN(AH422)&lt;&gt;11,"IFSC not 11 chars; ","")))</f>
        <v/>
      </c>
      <c r="AW422" s="46" t="str">
        <f aca="false">IF(AS422="","",AS422+ROW()/100000)</f>
        <v/>
      </c>
      <c r="AX422" s="46" t="str">
        <f aca="false">IF(AT422="","",AT422+ROW()/100000)</f>
        <v/>
      </c>
    </row>
    <row r="423" customFormat="false" ht="15" hidden="false" customHeight="false" outlineLevel="0" collapsed="false">
      <c r="A423" s="9" t="str">
        <f aca="false">IF(B423="","",ROW()-5)</f>
        <v/>
      </c>
      <c r="B423" s="40"/>
      <c r="C423" s="8"/>
      <c r="D423" s="9" t="str">
        <f aca="false">IF(B423="","",IF(J423="","Active","Exited"))</f>
        <v/>
      </c>
      <c r="E423" s="8"/>
      <c r="F423" s="8"/>
      <c r="G423" s="8"/>
      <c r="H423" s="9" t="str">
        <f aca="false">IF(OR(B423="",I423=""),"",IF(IF(J423="",AsOf,J423)-I423&gt;=Settings!$C$13,"Permanent","Probation"))</f>
        <v/>
      </c>
      <c r="I423" s="41"/>
      <c r="J423" s="41"/>
      <c r="K423" s="8"/>
      <c r="L423" s="42" t="str">
        <f aca="false">IF(OR(B423="",I423=""),"",ROUND((IF(J423="",AsOf,J423)-I423)/365.25,1))</f>
        <v/>
      </c>
      <c r="M423" s="8"/>
      <c r="N423" s="8"/>
      <c r="O423" s="8"/>
      <c r="P423" s="8"/>
      <c r="Q423" s="41"/>
      <c r="R423" s="43" t="str">
        <f aca="false">IF(OR(B423="",Q423=""),"",INT((AsOf-Q423)/365.25))</f>
        <v/>
      </c>
      <c r="S423" s="8"/>
      <c r="T423" s="40"/>
      <c r="U423" s="40"/>
      <c r="V423" s="40"/>
      <c r="W423" s="40"/>
      <c r="X423" s="8"/>
      <c r="Y423" s="8"/>
      <c r="Z423" s="8"/>
      <c r="AA423" s="8"/>
      <c r="AB423" s="8"/>
      <c r="AC423" s="8"/>
      <c r="AD423" s="8"/>
      <c r="AE423" s="40"/>
      <c r="AF423" s="8"/>
      <c r="AG423" s="40"/>
      <c r="AH423" s="40"/>
      <c r="AI423" s="8"/>
      <c r="AJ423" s="40"/>
      <c r="AK423" s="40"/>
      <c r="AL423" s="40"/>
      <c r="AM423" s="44"/>
      <c r="AN423" s="44"/>
      <c r="AO423" s="41"/>
      <c r="AP423" s="45" t="str">
        <f aca="false">IF(B423="","",IF(AND(ISNUMBER(AM423),ISNUMBER(AN423),AM423&gt;0,AN423&gt;0),AN423/AM423-1,""))</f>
        <v/>
      </c>
      <c r="AQ423" s="9" t="str">
        <f aca="false">IF(I423="","",(YEAR(I423)-IF(MONTH(I423)&lt;4,1,0))&amp;"-"&amp;RIGHT((YEAR(I423)-IF(MONTH(I423)&lt;4,1,0))+1,2))</f>
        <v/>
      </c>
      <c r="AR423" s="9" t="str">
        <f aca="false">IF(J423="","",(YEAR(J423)-IF(MONTH(J423)&lt;4,1,0))&amp;"-"&amp;RIGHT((YEAR(J423)-IF(MONTH(J423)&lt;4,1,0))+1,2))</f>
        <v/>
      </c>
      <c r="AS423" s="43" t="str">
        <f aca="false">IF(OR(B423="",Q423="",D423&lt;&gt;"Active"),"",DATE(YEAR(AsOf)+IF(DATE(YEAR(AsOf),MONTH(Q423),DAY(Q423))&lt;AsOf,1,0),MONTH(Q423),DAY(Q423))-AsOf)</f>
        <v/>
      </c>
      <c r="AT423" s="43" t="str">
        <f aca="false">IF(OR(B423="",I423="",D423&lt;&gt;"Active"),"",IF(YEAR(DATE(YEAR(AsOf)+IF(DATE(YEAR(AsOf),MONTH(I423),DAY(I423))&lt;AsOf,1,0),MONTH(I423),DAY(I423)))-YEAR(I423)&lt;1,"",DATE(YEAR(AsOf)+IF(DATE(YEAR(AsOf),MONTH(I423),DAY(I423))&lt;AsOf,1,0),MONTH(I423),DAY(I423))-AsOf))</f>
        <v/>
      </c>
      <c r="AU423" s="43" t="str">
        <f aca="false">IF(B423="","",IF(AV423="",0,LEN(AV423)-LEN(SUBSTITUTE(AV423,";",""))))</f>
        <v/>
      </c>
      <c r="AV423" s="9" t="str">
        <f aca="false">IF(B423="","",IF(COUNTIF($B$6:$B$505,B423)&gt;1,"Duplicate Emp Code; ","")&amp;IF(C423="","Name missing; ","")&amp;IF(I423="","DOJ missing; ","")&amp;IF(AND(J423&lt;&gt;"",I423&lt;&gt;"",J423&lt;I423),"Exit before DOJ; ","")&amp;IF(Q423="","DOB missing; ","")&amp;IF(T423="","Aadhaar missing; ",IF(LEN(T423)&lt;&gt;12,"Aadhaar not 12 digits; ",IF(COUNTIF($T$6:$T$505,T423)&gt;1,"Duplicate Aadhaar; ","")))&amp;IF(U423="","PAN missing; ",IF(LEN(U423)&lt;&gt;10,"PAN not 10 chars; ",""))&amp;IF(V423="","Mobile missing; ",IF(LEN(V423)&lt;&gt;10,"Mobile not 10 digits; ",""))&amp;IF(AG423="","Bank A/c missing; ","")&amp;IF(AH423="","IFSC missing; ",IF(LEN(AH423)&lt;&gt;11,"IFSC not 11 chars; ","")))</f>
        <v/>
      </c>
      <c r="AW423" s="46" t="str">
        <f aca="false">IF(AS423="","",AS423+ROW()/100000)</f>
        <v/>
      </c>
      <c r="AX423" s="46" t="str">
        <f aca="false">IF(AT423="","",AT423+ROW()/100000)</f>
        <v/>
      </c>
    </row>
    <row r="424" customFormat="false" ht="15" hidden="false" customHeight="false" outlineLevel="0" collapsed="false">
      <c r="A424" s="9" t="str">
        <f aca="false">IF(B424="","",ROW()-5)</f>
        <v/>
      </c>
      <c r="B424" s="40"/>
      <c r="C424" s="8"/>
      <c r="D424" s="9" t="str">
        <f aca="false">IF(B424="","",IF(J424="","Active","Exited"))</f>
        <v/>
      </c>
      <c r="E424" s="8"/>
      <c r="F424" s="8"/>
      <c r="G424" s="8"/>
      <c r="H424" s="9" t="str">
        <f aca="false">IF(OR(B424="",I424=""),"",IF(IF(J424="",AsOf,J424)-I424&gt;=Settings!$C$13,"Permanent","Probation"))</f>
        <v/>
      </c>
      <c r="I424" s="41"/>
      <c r="J424" s="41"/>
      <c r="K424" s="8"/>
      <c r="L424" s="42" t="str">
        <f aca="false">IF(OR(B424="",I424=""),"",ROUND((IF(J424="",AsOf,J424)-I424)/365.25,1))</f>
        <v/>
      </c>
      <c r="M424" s="8"/>
      <c r="N424" s="8"/>
      <c r="O424" s="8"/>
      <c r="P424" s="8"/>
      <c r="Q424" s="41"/>
      <c r="R424" s="43" t="str">
        <f aca="false">IF(OR(B424="",Q424=""),"",INT((AsOf-Q424)/365.25))</f>
        <v/>
      </c>
      <c r="S424" s="8"/>
      <c r="T424" s="40"/>
      <c r="U424" s="40"/>
      <c r="V424" s="40"/>
      <c r="W424" s="40"/>
      <c r="X424" s="8"/>
      <c r="Y424" s="8"/>
      <c r="Z424" s="8"/>
      <c r="AA424" s="8"/>
      <c r="AB424" s="8"/>
      <c r="AC424" s="8"/>
      <c r="AD424" s="8"/>
      <c r="AE424" s="40"/>
      <c r="AF424" s="8"/>
      <c r="AG424" s="40"/>
      <c r="AH424" s="40"/>
      <c r="AI424" s="8"/>
      <c r="AJ424" s="40"/>
      <c r="AK424" s="40"/>
      <c r="AL424" s="40"/>
      <c r="AM424" s="44"/>
      <c r="AN424" s="44"/>
      <c r="AO424" s="41"/>
      <c r="AP424" s="45" t="str">
        <f aca="false">IF(B424="","",IF(AND(ISNUMBER(AM424),ISNUMBER(AN424),AM424&gt;0,AN424&gt;0),AN424/AM424-1,""))</f>
        <v/>
      </c>
      <c r="AQ424" s="9" t="str">
        <f aca="false">IF(I424="","",(YEAR(I424)-IF(MONTH(I424)&lt;4,1,0))&amp;"-"&amp;RIGHT((YEAR(I424)-IF(MONTH(I424)&lt;4,1,0))+1,2))</f>
        <v/>
      </c>
      <c r="AR424" s="9" t="str">
        <f aca="false">IF(J424="","",(YEAR(J424)-IF(MONTH(J424)&lt;4,1,0))&amp;"-"&amp;RIGHT((YEAR(J424)-IF(MONTH(J424)&lt;4,1,0))+1,2))</f>
        <v/>
      </c>
      <c r="AS424" s="43" t="str">
        <f aca="false">IF(OR(B424="",Q424="",D424&lt;&gt;"Active"),"",DATE(YEAR(AsOf)+IF(DATE(YEAR(AsOf),MONTH(Q424),DAY(Q424))&lt;AsOf,1,0),MONTH(Q424),DAY(Q424))-AsOf)</f>
        <v/>
      </c>
      <c r="AT424" s="43" t="str">
        <f aca="false">IF(OR(B424="",I424="",D424&lt;&gt;"Active"),"",IF(YEAR(DATE(YEAR(AsOf)+IF(DATE(YEAR(AsOf),MONTH(I424),DAY(I424))&lt;AsOf,1,0),MONTH(I424),DAY(I424)))-YEAR(I424)&lt;1,"",DATE(YEAR(AsOf)+IF(DATE(YEAR(AsOf),MONTH(I424),DAY(I424))&lt;AsOf,1,0),MONTH(I424),DAY(I424))-AsOf))</f>
        <v/>
      </c>
      <c r="AU424" s="43" t="str">
        <f aca="false">IF(B424="","",IF(AV424="",0,LEN(AV424)-LEN(SUBSTITUTE(AV424,";",""))))</f>
        <v/>
      </c>
      <c r="AV424" s="9" t="str">
        <f aca="false">IF(B424="","",IF(COUNTIF($B$6:$B$505,B424)&gt;1,"Duplicate Emp Code; ","")&amp;IF(C424="","Name missing; ","")&amp;IF(I424="","DOJ missing; ","")&amp;IF(AND(J424&lt;&gt;"",I424&lt;&gt;"",J424&lt;I424),"Exit before DOJ; ","")&amp;IF(Q424="","DOB missing; ","")&amp;IF(T424="","Aadhaar missing; ",IF(LEN(T424)&lt;&gt;12,"Aadhaar not 12 digits; ",IF(COUNTIF($T$6:$T$505,T424)&gt;1,"Duplicate Aadhaar; ","")))&amp;IF(U424="","PAN missing; ",IF(LEN(U424)&lt;&gt;10,"PAN not 10 chars; ",""))&amp;IF(V424="","Mobile missing; ",IF(LEN(V424)&lt;&gt;10,"Mobile not 10 digits; ",""))&amp;IF(AG424="","Bank A/c missing; ","")&amp;IF(AH424="","IFSC missing; ",IF(LEN(AH424)&lt;&gt;11,"IFSC not 11 chars; ","")))</f>
        <v/>
      </c>
      <c r="AW424" s="46" t="str">
        <f aca="false">IF(AS424="","",AS424+ROW()/100000)</f>
        <v/>
      </c>
      <c r="AX424" s="46" t="str">
        <f aca="false">IF(AT424="","",AT424+ROW()/100000)</f>
        <v/>
      </c>
    </row>
    <row r="425" customFormat="false" ht="15" hidden="false" customHeight="false" outlineLevel="0" collapsed="false">
      <c r="A425" s="9" t="str">
        <f aca="false">IF(B425="","",ROW()-5)</f>
        <v/>
      </c>
      <c r="B425" s="40"/>
      <c r="C425" s="8"/>
      <c r="D425" s="9" t="str">
        <f aca="false">IF(B425="","",IF(J425="","Active","Exited"))</f>
        <v/>
      </c>
      <c r="E425" s="8"/>
      <c r="F425" s="8"/>
      <c r="G425" s="8"/>
      <c r="H425" s="9" t="str">
        <f aca="false">IF(OR(B425="",I425=""),"",IF(IF(J425="",AsOf,J425)-I425&gt;=Settings!$C$13,"Permanent","Probation"))</f>
        <v/>
      </c>
      <c r="I425" s="41"/>
      <c r="J425" s="41"/>
      <c r="K425" s="8"/>
      <c r="L425" s="42" t="str">
        <f aca="false">IF(OR(B425="",I425=""),"",ROUND((IF(J425="",AsOf,J425)-I425)/365.25,1))</f>
        <v/>
      </c>
      <c r="M425" s="8"/>
      <c r="N425" s="8"/>
      <c r="O425" s="8"/>
      <c r="P425" s="8"/>
      <c r="Q425" s="41"/>
      <c r="R425" s="43" t="str">
        <f aca="false">IF(OR(B425="",Q425=""),"",INT((AsOf-Q425)/365.25))</f>
        <v/>
      </c>
      <c r="S425" s="8"/>
      <c r="T425" s="40"/>
      <c r="U425" s="40"/>
      <c r="V425" s="40"/>
      <c r="W425" s="40"/>
      <c r="X425" s="8"/>
      <c r="Y425" s="8"/>
      <c r="Z425" s="8"/>
      <c r="AA425" s="8"/>
      <c r="AB425" s="8"/>
      <c r="AC425" s="8"/>
      <c r="AD425" s="8"/>
      <c r="AE425" s="40"/>
      <c r="AF425" s="8"/>
      <c r="AG425" s="40"/>
      <c r="AH425" s="40"/>
      <c r="AI425" s="8"/>
      <c r="AJ425" s="40"/>
      <c r="AK425" s="40"/>
      <c r="AL425" s="40"/>
      <c r="AM425" s="44"/>
      <c r="AN425" s="44"/>
      <c r="AO425" s="41"/>
      <c r="AP425" s="45" t="str">
        <f aca="false">IF(B425="","",IF(AND(ISNUMBER(AM425),ISNUMBER(AN425),AM425&gt;0,AN425&gt;0),AN425/AM425-1,""))</f>
        <v/>
      </c>
      <c r="AQ425" s="9" t="str">
        <f aca="false">IF(I425="","",(YEAR(I425)-IF(MONTH(I425)&lt;4,1,0))&amp;"-"&amp;RIGHT((YEAR(I425)-IF(MONTH(I425)&lt;4,1,0))+1,2))</f>
        <v/>
      </c>
      <c r="AR425" s="9" t="str">
        <f aca="false">IF(J425="","",(YEAR(J425)-IF(MONTH(J425)&lt;4,1,0))&amp;"-"&amp;RIGHT((YEAR(J425)-IF(MONTH(J425)&lt;4,1,0))+1,2))</f>
        <v/>
      </c>
      <c r="AS425" s="43" t="str">
        <f aca="false">IF(OR(B425="",Q425="",D425&lt;&gt;"Active"),"",DATE(YEAR(AsOf)+IF(DATE(YEAR(AsOf),MONTH(Q425),DAY(Q425))&lt;AsOf,1,0),MONTH(Q425),DAY(Q425))-AsOf)</f>
        <v/>
      </c>
      <c r="AT425" s="43" t="str">
        <f aca="false">IF(OR(B425="",I425="",D425&lt;&gt;"Active"),"",IF(YEAR(DATE(YEAR(AsOf)+IF(DATE(YEAR(AsOf),MONTH(I425),DAY(I425))&lt;AsOf,1,0),MONTH(I425),DAY(I425)))-YEAR(I425)&lt;1,"",DATE(YEAR(AsOf)+IF(DATE(YEAR(AsOf),MONTH(I425),DAY(I425))&lt;AsOf,1,0),MONTH(I425),DAY(I425))-AsOf))</f>
        <v/>
      </c>
      <c r="AU425" s="43" t="str">
        <f aca="false">IF(B425="","",IF(AV425="",0,LEN(AV425)-LEN(SUBSTITUTE(AV425,";",""))))</f>
        <v/>
      </c>
      <c r="AV425" s="9" t="str">
        <f aca="false">IF(B425="","",IF(COUNTIF($B$6:$B$505,B425)&gt;1,"Duplicate Emp Code; ","")&amp;IF(C425="","Name missing; ","")&amp;IF(I425="","DOJ missing; ","")&amp;IF(AND(J425&lt;&gt;"",I425&lt;&gt;"",J425&lt;I425),"Exit before DOJ; ","")&amp;IF(Q425="","DOB missing; ","")&amp;IF(T425="","Aadhaar missing; ",IF(LEN(T425)&lt;&gt;12,"Aadhaar not 12 digits; ",IF(COUNTIF($T$6:$T$505,T425)&gt;1,"Duplicate Aadhaar; ","")))&amp;IF(U425="","PAN missing; ",IF(LEN(U425)&lt;&gt;10,"PAN not 10 chars; ",""))&amp;IF(V425="","Mobile missing; ",IF(LEN(V425)&lt;&gt;10,"Mobile not 10 digits; ",""))&amp;IF(AG425="","Bank A/c missing; ","")&amp;IF(AH425="","IFSC missing; ",IF(LEN(AH425)&lt;&gt;11,"IFSC not 11 chars; ","")))</f>
        <v/>
      </c>
      <c r="AW425" s="46" t="str">
        <f aca="false">IF(AS425="","",AS425+ROW()/100000)</f>
        <v/>
      </c>
      <c r="AX425" s="46" t="str">
        <f aca="false">IF(AT425="","",AT425+ROW()/100000)</f>
        <v/>
      </c>
    </row>
    <row r="426" customFormat="false" ht="15" hidden="false" customHeight="false" outlineLevel="0" collapsed="false">
      <c r="A426" s="9" t="str">
        <f aca="false">IF(B426="","",ROW()-5)</f>
        <v/>
      </c>
      <c r="B426" s="40"/>
      <c r="C426" s="8"/>
      <c r="D426" s="9" t="str">
        <f aca="false">IF(B426="","",IF(J426="","Active","Exited"))</f>
        <v/>
      </c>
      <c r="E426" s="8"/>
      <c r="F426" s="8"/>
      <c r="G426" s="8"/>
      <c r="H426" s="9" t="str">
        <f aca="false">IF(OR(B426="",I426=""),"",IF(IF(J426="",AsOf,J426)-I426&gt;=Settings!$C$13,"Permanent","Probation"))</f>
        <v/>
      </c>
      <c r="I426" s="41"/>
      <c r="J426" s="41"/>
      <c r="K426" s="8"/>
      <c r="L426" s="42" t="str">
        <f aca="false">IF(OR(B426="",I426=""),"",ROUND((IF(J426="",AsOf,J426)-I426)/365.25,1))</f>
        <v/>
      </c>
      <c r="M426" s="8"/>
      <c r="N426" s="8"/>
      <c r="O426" s="8"/>
      <c r="P426" s="8"/>
      <c r="Q426" s="41"/>
      <c r="R426" s="43" t="str">
        <f aca="false">IF(OR(B426="",Q426=""),"",INT((AsOf-Q426)/365.25))</f>
        <v/>
      </c>
      <c r="S426" s="8"/>
      <c r="T426" s="40"/>
      <c r="U426" s="40"/>
      <c r="V426" s="40"/>
      <c r="W426" s="40"/>
      <c r="X426" s="8"/>
      <c r="Y426" s="8"/>
      <c r="Z426" s="8"/>
      <c r="AA426" s="8"/>
      <c r="AB426" s="8"/>
      <c r="AC426" s="8"/>
      <c r="AD426" s="8"/>
      <c r="AE426" s="40"/>
      <c r="AF426" s="8"/>
      <c r="AG426" s="40"/>
      <c r="AH426" s="40"/>
      <c r="AI426" s="8"/>
      <c r="AJ426" s="40"/>
      <c r="AK426" s="40"/>
      <c r="AL426" s="40"/>
      <c r="AM426" s="44"/>
      <c r="AN426" s="44"/>
      <c r="AO426" s="41"/>
      <c r="AP426" s="45" t="str">
        <f aca="false">IF(B426="","",IF(AND(ISNUMBER(AM426),ISNUMBER(AN426),AM426&gt;0,AN426&gt;0),AN426/AM426-1,""))</f>
        <v/>
      </c>
      <c r="AQ426" s="9" t="str">
        <f aca="false">IF(I426="","",(YEAR(I426)-IF(MONTH(I426)&lt;4,1,0))&amp;"-"&amp;RIGHT((YEAR(I426)-IF(MONTH(I426)&lt;4,1,0))+1,2))</f>
        <v/>
      </c>
      <c r="AR426" s="9" t="str">
        <f aca="false">IF(J426="","",(YEAR(J426)-IF(MONTH(J426)&lt;4,1,0))&amp;"-"&amp;RIGHT((YEAR(J426)-IF(MONTH(J426)&lt;4,1,0))+1,2))</f>
        <v/>
      </c>
      <c r="AS426" s="43" t="str">
        <f aca="false">IF(OR(B426="",Q426="",D426&lt;&gt;"Active"),"",DATE(YEAR(AsOf)+IF(DATE(YEAR(AsOf),MONTH(Q426),DAY(Q426))&lt;AsOf,1,0),MONTH(Q426),DAY(Q426))-AsOf)</f>
        <v/>
      </c>
      <c r="AT426" s="43" t="str">
        <f aca="false">IF(OR(B426="",I426="",D426&lt;&gt;"Active"),"",IF(YEAR(DATE(YEAR(AsOf)+IF(DATE(YEAR(AsOf),MONTH(I426),DAY(I426))&lt;AsOf,1,0),MONTH(I426),DAY(I426)))-YEAR(I426)&lt;1,"",DATE(YEAR(AsOf)+IF(DATE(YEAR(AsOf),MONTH(I426),DAY(I426))&lt;AsOf,1,0),MONTH(I426),DAY(I426))-AsOf))</f>
        <v/>
      </c>
      <c r="AU426" s="43" t="str">
        <f aca="false">IF(B426="","",IF(AV426="",0,LEN(AV426)-LEN(SUBSTITUTE(AV426,";",""))))</f>
        <v/>
      </c>
      <c r="AV426" s="9" t="str">
        <f aca="false">IF(B426="","",IF(COUNTIF($B$6:$B$505,B426)&gt;1,"Duplicate Emp Code; ","")&amp;IF(C426="","Name missing; ","")&amp;IF(I426="","DOJ missing; ","")&amp;IF(AND(J426&lt;&gt;"",I426&lt;&gt;"",J426&lt;I426),"Exit before DOJ; ","")&amp;IF(Q426="","DOB missing; ","")&amp;IF(T426="","Aadhaar missing; ",IF(LEN(T426)&lt;&gt;12,"Aadhaar not 12 digits; ",IF(COUNTIF($T$6:$T$505,T426)&gt;1,"Duplicate Aadhaar; ","")))&amp;IF(U426="","PAN missing; ",IF(LEN(U426)&lt;&gt;10,"PAN not 10 chars; ",""))&amp;IF(V426="","Mobile missing; ",IF(LEN(V426)&lt;&gt;10,"Mobile not 10 digits; ",""))&amp;IF(AG426="","Bank A/c missing; ","")&amp;IF(AH426="","IFSC missing; ",IF(LEN(AH426)&lt;&gt;11,"IFSC not 11 chars; ","")))</f>
        <v/>
      </c>
      <c r="AW426" s="46" t="str">
        <f aca="false">IF(AS426="","",AS426+ROW()/100000)</f>
        <v/>
      </c>
      <c r="AX426" s="46" t="str">
        <f aca="false">IF(AT426="","",AT426+ROW()/100000)</f>
        <v/>
      </c>
    </row>
    <row r="427" customFormat="false" ht="15" hidden="false" customHeight="false" outlineLevel="0" collapsed="false">
      <c r="A427" s="9" t="str">
        <f aca="false">IF(B427="","",ROW()-5)</f>
        <v/>
      </c>
      <c r="B427" s="40"/>
      <c r="C427" s="8"/>
      <c r="D427" s="9" t="str">
        <f aca="false">IF(B427="","",IF(J427="","Active","Exited"))</f>
        <v/>
      </c>
      <c r="E427" s="8"/>
      <c r="F427" s="8"/>
      <c r="G427" s="8"/>
      <c r="H427" s="9" t="str">
        <f aca="false">IF(OR(B427="",I427=""),"",IF(IF(J427="",AsOf,J427)-I427&gt;=Settings!$C$13,"Permanent","Probation"))</f>
        <v/>
      </c>
      <c r="I427" s="41"/>
      <c r="J427" s="41"/>
      <c r="K427" s="8"/>
      <c r="L427" s="42" t="str">
        <f aca="false">IF(OR(B427="",I427=""),"",ROUND((IF(J427="",AsOf,J427)-I427)/365.25,1))</f>
        <v/>
      </c>
      <c r="M427" s="8"/>
      <c r="N427" s="8"/>
      <c r="O427" s="8"/>
      <c r="P427" s="8"/>
      <c r="Q427" s="41"/>
      <c r="R427" s="43" t="str">
        <f aca="false">IF(OR(B427="",Q427=""),"",INT((AsOf-Q427)/365.25))</f>
        <v/>
      </c>
      <c r="S427" s="8"/>
      <c r="T427" s="40"/>
      <c r="U427" s="40"/>
      <c r="V427" s="40"/>
      <c r="W427" s="40"/>
      <c r="X427" s="8"/>
      <c r="Y427" s="8"/>
      <c r="Z427" s="8"/>
      <c r="AA427" s="8"/>
      <c r="AB427" s="8"/>
      <c r="AC427" s="8"/>
      <c r="AD427" s="8"/>
      <c r="AE427" s="40"/>
      <c r="AF427" s="8"/>
      <c r="AG427" s="40"/>
      <c r="AH427" s="40"/>
      <c r="AI427" s="8"/>
      <c r="AJ427" s="40"/>
      <c r="AK427" s="40"/>
      <c r="AL427" s="40"/>
      <c r="AM427" s="44"/>
      <c r="AN427" s="44"/>
      <c r="AO427" s="41"/>
      <c r="AP427" s="45" t="str">
        <f aca="false">IF(B427="","",IF(AND(ISNUMBER(AM427),ISNUMBER(AN427),AM427&gt;0,AN427&gt;0),AN427/AM427-1,""))</f>
        <v/>
      </c>
      <c r="AQ427" s="9" t="str">
        <f aca="false">IF(I427="","",(YEAR(I427)-IF(MONTH(I427)&lt;4,1,0))&amp;"-"&amp;RIGHT((YEAR(I427)-IF(MONTH(I427)&lt;4,1,0))+1,2))</f>
        <v/>
      </c>
      <c r="AR427" s="9" t="str">
        <f aca="false">IF(J427="","",(YEAR(J427)-IF(MONTH(J427)&lt;4,1,0))&amp;"-"&amp;RIGHT((YEAR(J427)-IF(MONTH(J427)&lt;4,1,0))+1,2))</f>
        <v/>
      </c>
      <c r="AS427" s="43" t="str">
        <f aca="false">IF(OR(B427="",Q427="",D427&lt;&gt;"Active"),"",DATE(YEAR(AsOf)+IF(DATE(YEAR(AsOf),MONTH(Q427),DAY(Q427))&lt;AsOf,1,0),MONTH(Q427),DAY(Q427))-AsOf)</f>
        <v/>
      </c>
      <c r="AT427" s="43" t="str">
        <f aca="false">IF(OR(B427="",I427="",D427&lt;&gt;"Active"),"",IF(YEAR(DATE(YEAR(AsOf)+IF(DATE(YEAR(AsOf),MONTH(I427),DAY(I427))&lt;AsOf,1,0),MONTH(I427),DAY(I427)))-YEAR(I427)&lt;1,"",DATE(YEAR(AsOf)+IF(DATE(YEAR(AsOf),MONTH(I427),DAY(I427))&lt;AsOf,1,0),MONTH(I427),DAY(I427))-AsOf))</f>
        <v/>
      </c>
      <c r="AU427" s="43" t="str">
        <f aca="false">IF(B427="","",IF(AV427="",0,LEN(AV427)-LEN(SUBSTITUTE(AV427,";",""))))</f>
        <v/>
      </c>
      <c r="AV427" s="9" t="str">
        <f aca="false">IF(B427="","",IF(COUNTIF($B$6:$B$505,B427)&gt;1,"Duplicate Emp Code; ","")&amp;IF(C427="","Name missing; ","")&amp;IF(I427="","DOJ missing; ","")&amp;IF(AND(J427&lt;&gt;"",I427&lt;&gt;"",J427&lt;I427),"Exit before DOJ; ","")&amp;IF(Q427="","DOB missing; ","")&amp;IF(T427="","Aadhaar missing; ",IF(LEN(T427)&lt;&gt;12,"Aadhaar not 12 digits; ",IF(COUNTIF($T$6:$T$505,T427)&gt;1,"Duplicate Aadhaar; ","")))&amp;IF(U427="","PAN missing; ",IF(LEN(U427)&lt;&gt;10,"PAN not 10 chars; ",""))&amp;IF(V427="","Mobile missing; ",IF(LEN(V427)&lt;&gt;10,"Mobile not 10 digits; ",""))&amp;IF(AG427="","Bank A/c missing; ","")&amp;IF(AH427="","IFSC missing; ",IF(LEN(AH427)&lt;&gt;11,"IFSC not 11 chars; ","")))</f>
        <v/>
      </c>
      <c r="AW427" s="46" t="str">
        <f aca="false">IF(AS427="","",AS427+ROW()/100000)</f>
        <v/>
      </c>
      <c r="AX427" s="46" t="str">
        <f aca="false">IF(AT427="","",AT427+ROW()/100000)</f>
        <v/>
      </c>
    </row>
    <row r="428" customFormat="false" ht="15" hidden="false" customHeight="false" outlineLevel="0" collapsed="false">
      <c r="A428" s="9" t="str">
        <f aca="false">IF(B428="","",ROW()-5)</f>
        <v/>
      </c>
      <c r="B428" s="40"/>
      <c r="C428" s="8"/>
      <c r="D428" s="9" t="str">
        <f aca="false">IF(B428="","",IF(J428="","Active","Exited"))</f>
        <v/>
      </c>
      <c r="E428" s="8"/>
      <c r="F428" s="8"/>
      <c r="G428" s="8"/>
      <c r="H428" s="9" t="str">
        <f aca="false">IF(OR(B428="",I428=""),"",IF(IF(J428="",AsOf,J428)-I428&gt;=Settings!$C$13,"Permanent","Probation"))</f>
        <v/>
      </c>
      <c r="I428" s="41"/>
      <c r="J428" s="41"/>
      <c r="K428" s="8"/>
      <c r="L428" s="42" t="str">
        <f aca="false">IF(OR(B428="",I428=""),"",ROUND((IF(J428="",AsOf,J428)-I428)/365.25,1))</f>
        <v/>
      </c>
      <c r="M428" s="8"/>
      <c r="N428" s="8"/>
      <c r="O428" s="8"/>
      <c r="P428" s="8"/>
      <c r="Q428" s="41"/>
      <c r="R428" s="43" t="str">
        <f aca="false">IF(OR(B428="",Q428=""),"",INT((AsOf-Q428)/365.25))</f>
        <v/>
      </c>
      <c r="S428" s="8"/>
      <c r="T428" s="40"/>
      <c r="U428" s="40"/>
      <c r="V428" s="40"/>
      <c r="W428" s="40"/>
      <c r="X428" s="8"/>
      <c r="Y428" s="8"/>
      <c r="Z428" s="8"/>
      <c r="AA428" s="8"/>
      <c r="AB428" s="8"/>
      <c r="AC428" s="8"/>
      <c r="AD428" s="8"/>
      <c r="AE428" s="40"/>
      <c r="AF428" s="8"/>
      <c r="AG428" s="40"/>
      <c r="AH428" s="40"/>
      <c r="AI428" s="8"/>
      <c r="AJ428" s="40"/>
      <c r="AK428" s="40"/>
      <c r="AL428" s="40"/>
      <c r="AM428" s="44"/>
      <c r="AN428" s="44"/>
      <c r="AO428" s="41"/>
      <c r="AP428" s="45" t="str">
        <f aca="false">IF(B428="","",IF(AND(ISNUMBER(AM428),ISNUMBER(AN428),AM428&gt;0,AN428&gt;0),AN428/AM428-1,""))</f>
        <v/>
      </c>
      <c r="AQ428" s="9" t="str">
        <f aca="false">IF(I428="","",(YEAR(I428)-IF(MONTH(I428)&lt;4,1,0))&amp;"-"&amp;RIGHT((YEAR(I428)-IF(MONTH(I428)&lt;4,1,0))+1,2))</f>
        <v/>
      </c>
      <c r="AR428" s="9" t="str">
        <f aca="false">IF(J428="","",(YEAR(J428)-IF(MONTH(J428)&lt;4,1,0))&amp;"-"&amp;RIGHT((YEAR(J428)-IF(MONTH(J428)&lt;4,1,0))+1,2))</f>
        <v/>
      </c>
      <c r="AS428" s="43" t="str">
        <f aca="false">IF(OR(B428="",Q428="",D428&lt;&gt;"Active"),"",DATE(YEAR(AsOf)+IF(DATE(YEAR(AsOf),MONTH(Q428),DAY(Q428))&lt;AsOf,1,0),MONTH(Q428),DAY(Q428))-AsOf)</f>
        <v/>
      </c>
      <c r="AT428" s="43" t="str">
        <f aca="false">IF(OR(B428="",I428="",D428&lt;&gt;"Active"),"",IF(YEAR(DATE(YEAR(AsOf)+IF(DATE(YEAR(AsOf),MONTH(I428),DAY(I428))&lt;AsOf,1,0),MONTH(I428),DAY(I428)))-YEAR(I428)&lt;1,"",DATE(YEAR(AsOf)+IF(DATE(YEAR(AsOf),MONTH(I428),DAY(I428))&lt;AsOf,1,0),MONTH(I428),DAY(I428))-AsOf))</f>
        <v/>
      </c>
      <c r="AU428" s="43" t="str">
        <f aca="false">IF(B428="","",IF(AV428="",0,LEN(AV428)-LEN(SUBSTITUTE(AV428,";",""))))</f>
        <v/>
      </c>
      <c r="AV428" s="9" t="str">
        <f aca="false">IF(B428="","",IF(COUNTIF($B$6:$B$505,B428)&gt;1,"Duplicate Emp Code; ","")&amp;IF(C428="","Name missing; ","")&amp;IF(I428="","DOJ missing; ","")&amp;IF(AND(J428&lt;&gt;"",I428&lt;&gt;"",J428&lt;I428),"Exit before DOJ; ","")&amp;IF(Q428="","DOB missing; ","")&amp;IF(T428="","Aadhaar missing; ",IF(LEN(T428)&lt;&gt;12,"Aadhaar not 12 digits; ",IF(COUNTIF($T$6:$T$505,T428)&gt;1,"Duplicate Aadhaar; ","")))&amp;IF(U428="","PAN missing; ",IF(LEN(U428)&lt;&gt;10,"PAN not 10 chars; ",""))&amp;IF(V428="","Mobile missing; ",IF(LEN(V428)&lt;&gt;10,"Mobile not 10 digits; ",""))&amp;IF(AG428="","Bank A/c missing; ","")&amp;IF(AH428="","IFSC missing; ",IF(LEN(AH428)&lt;&gt;11,"IFSC not 11 chars; ","")))</f>
        <v/>
      </c>
      <c r="AW428" s="46" t="str">
        <f aca="false">IF(AS428="","",AS428+ROW()/100000)</f>
        <v/>
      </c>
      <c r="AX428" s="46" t="str">
        <f aca="false">IF(AT428="","",AT428+ROW()/100000)</f>
        <v/>
      </c>
    </row>
    <row r="429" customFormat="false" ht="15" hidden="false" customHeight="false" outlineLevel="0" collapsed="false">
      <c r="A429" s="9" t="str">
        <f aca="false">IF(B429="","",ROW()-5)</f>
        <v/>
      </c>
      <c r="B429" s="40"/>
      <c r="C429" s="8"/>
      <c r="D429" s="9" t="str">
        <f aca="false">IF(B429="","",IF(J429="","Active","Exited"))</f>
        <v/>
      </c>
      <c r="E429" s="8"/>
      <c r="F429" s="8"/>
      <c r="G429" s="8"/>
      <c r="H429" s="9" t="str">
        <f aca="false">IF(OR(B429="",I429=""),"",IF(IF(J429="",AsOf,J429)-I429&gt;=Settings!$C$13,"Permanent","Probation"))</f>
        <v/>
      </c>
      <c r="I429" s="41"/>
      <c r="J429" s="41"/>
      <c r="K429" s="8"/>
      <c r="L429" s="42" t="str">
        <f aca="false">IF(OR(B429="",I429=""),"",ROUND((IF(J429="",AsOf,J429)-I429)/365.25,1))</f>
        <v/>
      </c>
      <c r="M429" s="8"/>
      <c r="N429" s="8"/>
      <c r="O429" s="8"/>
      <c r="P429" s="8"/>
      <c r="Q429" s="41"/>
      <c r="R429" s="43" t="str">
        <f aca="false">IF(OR(B429="",Q429=""),"",INT((AsOf-Q429)/365.25))</f>
        <v/>
      </c>
      <c r="S429" s="8"/>
      <c r="T429" s="40"/>
      <c r="U429" s="40"/>
      <c r="V429" s="40"/>
      <c r="W429" s="40"/>
      <c r="X429" s="8"/>
      <c r="Y429" s="8"/>
      <c r="Z429" s="8"/>
      <c r="AA429" s="8"/>
      <c r="AB429" s="8"/>
      <c r="AC429" s="8"/>
      <c r="AD429" s="8"/>
      <c r="AE429" s="40"/>
      <c r="AF429" s="8"/>
      <c r="AG429" s="40"/>
      <c r="AH429" s="40"/>
      <c r="AI429" s="8"/>
      <c r="AJ429" s="40"/>
      <c r="AK429" s="40"/>
      <c r="AL429" s="40"/>
      <c r="AM429" s="44"/>
      <c r="AN429" s="44"/>
      <c r="AO429" s="41"/>
      <c r="AP429" s="45" t="str">
        <f aca="false">IF(B429="","",IF(AND(ISNUMBER(AM429),ISNUMBER(AN429),AM429&gt;0,AN429&gt;0),AN429/AM429-1,""))</f>
        <v/>
      </c>
      <c r="AQ429" s="9" t="str">
        <f aca="false">IF(I429="","",(YEAR(I429)-IF(MONTH(I429)&lt;4,1,0))&amp;"-"&amp;RIGHT((YEAR(I429)-IF(MONTH(I429)&lt;4,1,0))+1,2))</f>
        <v/>
      </c>
      <c r="AR429" s="9" t="str">
        <f aca="false">IF(J429="","",(YEAR(J429)-IF(MONTH(J429)&lt;4,1,0))&amp;"-"&amp;RIGHT((YEAR(J429)-IF(MONTH(J429)&lt;4,1,0))+1,2))</f>
        <v/>
      </c>
      <c r="AS429" s="43" t="str">
        <f aca="false">IF(OR(B429="",Q429="",D429&lt;&gt;"Active"),"",DATE(YEAR(AsOf)+IF(DATE(YEAR(AsOf),MONTH(Q429),DAY(Q429))&lt;AsOf,1,0),MONTH(Q429),DAY(Q429))-AsOf)</f>
        <v/>
      </c>
      <c r="AT429" s="43" t="str">
        <f aca="false">IF(OR(B429="",I429="",D429&lt;&gt;"Active"),"",IF(YEAR(DATE(YEAR(AsOf)+IF(DATE(YEAR(AsOf),MONTH(I429),DAY(I429))&lt;AsOf,1,0),MONTH(I429),DAY(I429)))-YEAR(I429)&lt;1,"",DATE(YEAR(AsOf)+IF(DATE(YEAR(AsOf),MONTH(I429),DAY(I429))&lt;AsOf,1,0),MONTH(I429),DAY(I429))-AsOf))</f>
        <v/>
      </c>
      <c r="AU429" s="43" t="str">
        <f aca="false">IF(B429="","",IF(AV429="",0,LEN(AV429)-LEN(SUBSTITUTE(AV429,";",""))))</f>
        <v/>
      </c>
      <c r="AV429" s="9" t="str">
        <f aca="false">IF(B429="","",IF(COUNTIF($B$6:$B$505,B429)&gt;1,"Duplicate Emp Code; ","")&amp;IF(C429="","Name missing; ","")&amp;IF(I429="","DOJ missing; ","")&amp;IF(AND(J429&lt;&gt;"",I429&lt;&gt;"",J429&lt;I429),"Exit before DOJ; ","")&amp;IF(Q429="","DOB missing; ","")&amp;IF(T429="","Aadhaar missing; ",IF(LEN(T429)&lt;&gt;12,"Aadhaar not 12 digits; ",IF(COUNTIF($T$6:$T$505,T429)&gt;1,"Duplicate Aadhaar; ","")))&amp;IF(U429="","PAN missing; ",IF(LEN(U429)&lt;&gt;10,"PAN not 10 chars; ",""))&amp;IF(V429="","Mobile missing; ",IF(LEN(V429)&lt;&gt;10,"Mobile not 10 digits; ",""))&amp;IF(AG429="","Bank A/c missing; ","")&amp;IF(AH429="","IFSC missing; ",IF(LEN(AH429)&lt;&gt;11,"IFSC not 11 chars; ","")))</f>
        <v/>
      </c>
      <c r="AW429" s="46" t="str">
        <f aca="false">IF(AS429="","",AS429+ROW()/100000)</f>
        <v/>
      </c>
      <c r="AX429" s="46" t="str">
        <f aca="false">IF(AT429="","",AT429+ROW()/100000)</f>
        <v/>
      </c>
    </row>
    <row r="430" customFormat="false" ht="15" hidden="false" customHeight="false" outlineLevel="0" collapsed="false">
      <c r="A430" s="9" t="str">
        <f aca="false">IF(B430="","",ROW()-5)</f>
        <v/>
      </c>
      <c r="B430" s="40"/>
      <c r="C430" s="8"/>
      <c r="D430" s="9" t="str">
        <f aca="false">IF(B430="","",IF(J430="","Active","Exited"))</f>
        <v/>
      </c>
      <c r="E430" s="8"/>
      <c r="F430" s="8"/>
      <c r="G430" s="8"/>
      <c r="H430" s="9" t="str">
        <f aca="false">IF(OR(B430="",I430=""),"",IF(IF(J430="",AsOf,J430)-I430&gt;=Settings!$C$13,"Permanent","Probation"))</f>
        <v/>
      </c>
      <c r="I430" s="41"/>
      <c r="J430" s="41"/>
      <c r="K430" s="8"/>
      <c r="L430" s="42" t="str">
        <f aca="false">IF(OR(B430="",I430=""),"",ROUND((IF(J430="",AsOf,J430)-I430)/365.25,1))</f>
        <v/>
      </c>
      <c r="M430" s="8"/>
      <c r="N430" s="8"/>
      <c r="O430" s="8"/>
      <c r="P430" s="8"/>
      <c r="Q430" s="41"/>
      <c r="R430" s="43" t="str">
        <f aca="false">IF(OR(B430="",Q430=""),"",INT((AsOf-Q430)/365.25))</f>
        <v/>
      </c>
      <c r="S430" s="8"/>
      <c r="T430" s="40"/>
      <c r="U430" s="40"/>
      <c r="V430" s="40"/>
      <c r="W430" s="40"/>
      <c r="X430" s="8"/>
      <c r="Y430" s="8"/>
      <c r="Z430" s="8"/>
      <c r="AA430" s="8"/>
      <c r="AB430" s="8"/>
      <c r="AC430" s="8"/>
      <c r="AD430" s="8"/>
      <c r="AE430" s="40"/>
      <c r="AF430" s="8"/>
      <c r="AG430" s="40"/>
      <c r="AH430" s="40"/>
      <c r="AI430" s="8"/>
      <c r="AJ430" s="40"/>
      <c r="AK430" s="40"/>
      <c r="AL430" s="40"/>
      <c r="AM430" s="44"/>
      <c r="AN430" s="44"/>
      <c r="AO430" s="41"/>
      <c r="AP430" s="45" t="str">
        <f aca="false">IF(B430="","",IF(AND(ISNUMBER(AM430),ISNUMBER(AN430),AM430&gt;0,AN430&gt;0),AN430/AM430-1,""))</f>
        <v/>
      </c>
      <c r="AQ430" s="9" t="str">
        <f aca="false">IF(I430="","",(YEAR(I430)-IF(MONTH(I430)&lt;4,1,0))&amp;"-"&amp;RIGHT((YEAR(I430)-IF(MONTH(I430)&lt;4,1,0))+1,2))</f>
        <v/>
      </c>
      <c r="AR430" s="9" t="str">
        <f aca="false">IF(J430="","",(YEAR(J430)-IF(MONTH(J430)&lt;4,1,0))&amp;"-"&amp;RIGHT((YEAR(J430)-IF(MONTH(J430)&lt;4,1,0))+1,2))</f>
        <v/>
      </c>
      <c r="AS430" s="43" t="str">
        <f aca="false">IF(OR(B430="",Q430="",D430&lt;&gt;"Active"),"",DATE(YEAR(AsOf)+IF(DATE(YEAR(AsOf),MONTH(Q430),DAY(Q430))&lt;AsOf,1,0),MONTH(Q430),DAY(Q430))-AsOf)</f>
        <v/>
      </c>
      <c r="AT430" s="43" t="str">
        <f aca="false">IF(OR(B430="",I430="",D430&lt;&gt;"Active"),"",IF(YEAR(DATE(YEAR(AsOf)+IF(DATE(YEAR(AsOf),MONTH(I430),DAY(I430))&lt;AsOf,1,0),MONTH(I430),DAY(I430)))-YEAR(I430)&lt;1,"",DATE(YEAR(AsOf)+IF(DATE(YEAR(AsOf),MONTH(I430),DAY(I430))&lt;AsOf,1,0),MONTH(I430),DAY(I430))-AsOf))</f>
        <v/>
      </c>
      <c r="AU430" s="43" t="str">
        <f aca="false">IF(B430="","",IF(AV430="",0,LEN(AV430)-LEN(SUBSTITUTE(AV430,";",""))))</f>
        <v/>
      </c>
      <c r="AV430" s="9" t="str">
        <f aca="false">IF(B430="","",IF(COUNTIF($B$6:$B$505,B430)&gt;1,"Duplicate Emp Code; ","")&amp;IF(C430="","Name missing; ","")&amp;IF(I430="","DOJ missing; ","")&amp;IF(AND(J430&lt;&gt;"",I430&lt;&gt;"",J430&lt;I430),"Exit before DOJ; ","")&amp;IF(Q430="","DOB missing; ","")&amp;IF(T430="","Aadhaar missing; ",IF(LEN(T430)&lt;&gt;12,"Aadhaar not 12 digits; ",IF(COUNTIF($T$6:$T$505,T430)&gt;1,"Duplicate Aadhaar; ","")))&amp;IF(U430="","PAN missing; ",IF(LEN(U430)&lt;&gt;10,"PAN not 10 chars; ",""))&amp;IF(V430="","Mobile missing; ",IF(LEN(V430)&lt;&gt;10,"Mobile not 10 digits; ",""))&amp;IF(AG430="","Bank A/c missing; ","")&amp;IF(AH430="","IFSC missing; ",IF(LEN(AH430)&lt;&gt;11,"IFSC not 11 chars; ","")))</f>
        <v/>
      </c>
      <c r="AW430" s="46" t="str">
        <f aca="false">IF(AS430="","",AS430+ROW()/100000)</f>
        <v/>
      </c>
      <c r="AX430" s="46" t="str">
        <f aca="false">IF(AT430="","",AT430+ROW()/100000)</f>
        <v/>
      </c>
    </row>
    <row r="431" customFormat="false" ht="15" hidden="false" customHeight="false" outlineLevel="0" collapsed="false">
      <c r="A431" s="9" t="str">
        <f aca="false">IF(B431="","",ROW()-5)</f>
        <v/>
      </c>
      <c r="B431" s="40"/>
      <c r="C431" s="8"/>
      <c r="D431" s="9" t="str">
        <f aca="false">IF(B431="","",IF(J431="","Active","Exited"))</f>
        <v/>
      </c>
      <c r="E431" s="8"/>
      <c r="F431" s="8"/>
      <c r="G431" s="8"/>
      <c r="H431" s="9" t="str">
        <f aca="false">IF(OR(B431="",I431=""),"",IF(IF(J431="",AsOf,J431)-I431&gt;=Settings!$C$13,"Permanent","Probation"))</f>
        <v/>
      </c>
      <c r="I431" s="41"/>
      <c r="J431" s="41"/>
      <c r="K431" s="8"/>
      <c r="L431" s="42" t="str">
        <f aca="false">IF(OR(B431="",I431=""),"",ROUND((IF(J431="",AsOf,J431)-I431)/365.25,1))</f>
        <v/>
      </c>
      <c r="M431" s="8"/>
      <c r="N431" s="8"/>
      <c r="O431" s="8"/>
      <c r="P431" s="8"/>
      <c r="Q431" s="41"/>
      <c r="R431" s="43" t="str">
        <f aca="false">IF(OR(B431="",Q431=""),"",INT((AsOf-Q431)/365.25))</f>
        <v/>
      </c>
      <c r="S431" s="8"/>
      <c r="T431" s="40"/>
      <c r="U431" s="40"/>
      <c r="V431" s="40"/>
      <c r="W431" s="40"/>
      <c r="X431" s="8"/>
      <c r="Y431" s="8"/>
      <c r="Z431" s="8"/>
      <c r="AA431" s="8"/>
      <c r="AB431" s="8"/>
      <c r="AC431" s="8"/>
      <c r="AD431" s="8"/>
      <c r="AE431" s="40"/>
      <c r="AF431" s="8"/>
      <c r="AG431" s="40"/>
      <c r="AH431" s="40"/>
      <c r="AI431" s="8"/>
      <c r="AJ431" s="40"/>
      <c r="AK431" s="40"/>
      <c r="AL431" s="40"/>
      <c r="AM431" s="44"/>
      <c r="AN431" s="44"/>
      <c r="AO431" s="41"/>
      <c r="AP431" s="45" t="str">
        <f aca="false">IF(B431="","",IF(AND(ISNUMBER(AM431),ISNUMBER(AN431),AM431&gt;0,AN431&gt;0),AN431/AM431-1,""))</f>
        <v/>
      </c>
      <c r="AQ431" s="9" t="str">
        <f aca="false">IF(I431="","",(YEAR(I431)-IF(MONTH(I431)&lt;4,1,0))&amp;"-"&amp;RIGHT((YEAR(I431)-IF(MONTH(I431)&lt;4,1,0))+1,2))</f>
        <v/>
      </c>
      <c r="AR431" s="9" t="str">
        <f aca="false">IF(J431="","",(YEAR(J431)-IF(MONTH(J431)&lt;4,1,0))&amp;"-"&amp;RIGHT((YEAR(J431)-IF(MONTH(J431)&lt;4,1,0))+1,2))</f>
        <v/>
      </c>
      <c r="AS431" s="43" t="str">
        <f aca="false">IF(OR(B431="",Q431="",D431&lt;&gt;"Active"),"",DATE(YEAR(AsOf)+IF(DATE(YEAR(AsOf),MONTH(Q431),DAY(Q431))&lt;AsOf,1,0),MONTH(Q431),DAY(Q431))-AsOf)</f>
        <v/>
      </c>
      <c r="AT431" s="43" t="str">
        <f aca="false">IF(OR(B431="",I431="",D431&lt;&gt;"Active"),"",IF(YEAR(DATE(YEAR(AsOf)+IF(DATE(YEAR(AsOf),MONTH(I431),DAY(I431))&lt;AsOf,1,0),MONTH(I431),DAY(I431)))-YEAR(I431)&lt;1,"",DATE(YEAR(AsOf)+IF(DATE(YEAR(AsOf),MONTH(I431),DAY(I431))&lt;AsOf,1,0),MONTH(I431),DAY(I431))-AsOf))</f>
        <v/>
      </c>
      <c r="AU431" s="43" t="str">
        <f aca="false">IF(B431="","",IF(AV431="",0,LEN(AV431)-LEN(SUBSTITUTE(AV431,";",""))))</f>
        <v/>
      </c>
      <c r="AV431" s="9" t="str">
        <f aca="false">IF(B431="","",IF(COUNTIF($B$6:$B$505,B431)&gt;1,"Duplicate Emp Code; ","")&amp;IF(C431="","Name missing; ","")&amp;IF(I431="","DOJ missing; ","")&amp;IF(AND(J431&lt;&gt;"",I431&lt;&gt;"",J431&lt;I431),"Exit before DOJ; ","")&amp;IF(Q431="","DOB missing; ","")&amp;IF(T431="","Aadhaar missing; ",IF(LEN(T431)&lt;&gt;12,"Aadhaar not 12 digits; ",IF(COUNTIF($T$6:$T$505,T431)&gt;1,"Duplicate Aadhaar; ","")))&amp;IF(U431="","PAN missing; ",IF(LEN(U431)&lt;&gt;10,"PAN not 10 chars; ",""))&amp;IF(V431="","Mobile missing; ",IF(LEN(V431)&lt;&gt;10,"Mobile not 10 digits; ",""))&amp;IF(AG431="","Bank A/c missing; ","")&amp;IF(AH431="","IFSC missing; ",IF(LEN(AH431)&lt;&gt;11,"IFSC not 11 chars; ","")))</f>
        <v/>
      </c>
      <c r="AW431" s="46" t="str">
        <f aca="false">IF(AS431="","",AS431+ROW()/100000)</f>
        <v/>
      </c>
      <c r="AX431" s="46" t="str">
        <f aca="false">IF(AT431="","",AT431+ROW()/100000)</f>
        <v/>
      </c>
    </row>
    <row r="432" customFormat="false" ht="15" hidden="false" customHeight="false" outlineLevel="0" collapsed="false">
      <c r="A432" s="9" t="str">
        <f aca="false">IF(B432="","",ROW()-5)</f>
        <v/>
      </c>
      <c r="B432" s="40"/>
      <c r="C432" s="8"/>
      <c r="D432" s="9" t="str">
        <f aca="false">IF(B432="","",IF(J432="","Active","Exited"))</f>
        <v/>
      </c>
      <c r="E432" s="8"/>
      <c r="F432" s="8"/>
      <c r="G432" s="8"/>
      <c r="H432" s="9" t="str">
        <f aca="false">IF(OR(B432="",I432=""),"",IF(IF(J432="",AsOf,J432)-I432&gt;=Settings!$C$13,"Permanent","Probation"))</f>
        <v/>
      </c>
      <c r="I432" s="41"/>
      <c r="J432" s="41"/>
      <c r="K432" s="8"/>
      <c r="L432" s="42" t="str">
        <f aca="false">IF(OR(B432="",I432=""),"",ROUND((IF(J432="",AsOf,J432)-I432)/365.25,1))</f>
        <v/>
      </c>
      <c r="M432" s="8"/>
      <c r="N432" s="8"/>
      <c r="O432" s="8"/>
      <c r="P432" s="8"/>
      <c r="Q432" s="41"/>
      <c r="R432" s="43" t="str">
        <f aca="false">IF(OR(B432="",Q432=""),"",INT((AsOf-Q432)/365.25))</f>
        <v/>
      </c>
      <c r="S432" s="8"/>
      <c r="T432" s="40"/>
      <c r="U432" s="40"/>
      <c r="V432" s="40"/>
      <c r="W432" s="40"/>
      <c r="X432" s="8"/>
      <c r="Y432" s="8"/>
      <c r="Z432" s="8"/>
      <c r="AA432" s="8"/>
      <c r="AB432" s="8"/>
      <c r="AC432" s="8"/>
      <c r="AD432" s="8"/>
      <c r="AE432" s="40"/>
      <c r="AF432" s="8"/>
      <c r="AG432" s="40"/>
      <c r="AH432" s="40"/>
      <c r="AI432" s="8"/>
      <c r="AJ432" s="40"/>
      <c r="AK432" s="40"/>
      <c r="AL432" s="40"/>
      <c r="AM432" s="44"/>
      <c r="AN432" s="44"/>
      <c r="AO432" s="41"/>
      <c r="AP432" s="45" t="str">
        <f aca="false">IF(B432="","",IF(AND(ISNUMBER(AM432),ISNUMBER(AN432),AM432&gt;0,AN432&gt;0),AN432/AM432-1,""))</f>
        <v/>
      </c>
      <c r="AQ432" s="9" t="str">
        <f aca="false">IF(I432="","",(YEAR(I432)-IF(MONTH(I432)&lt;4,1,0))&amp;"-"&amp;RIGHT((YEAR(I432)-IF(MONTH(I432)&lt;4,1,0))+1,2))</f>
        <v/>
      </c>
      <c r="AR432" s="9" t="str">
        <f aca="false">IF(J432="","",(YEAR(J432)-IF(MONTH(J432)&lt;4,1,0))&amp;"-"&amp;RIGHT((YEAR(J432)-IF(MONTH(J432)&lt;4,1,0))+1,2))</f>
        <v/>
      </c>
      <c r="AS432" s="43" t="str">
        <f aca="false">IF(OR(B432="",Q432="",D432&lt;&gt;"Active"),"",DATE(YEAR(AsOf)+IF(DATE(YEAR(AsOf),MONTH(Q432),DAY(Q432))&lt;AsOf,1,0),MONTH(Q432),DAY(Q432))-AsOf)</f>
        <v/>
      </c>
      <c r="AT432" s="43" t="str">
        <f aca="false">IF(OR(B432="",I432="",D432&lt;&gt;"Active"),"",IF(YEAR(DATE(YEAR(AsOf)+IF(DATE(YEAR(AsOf),MONTH(I432),DAY(I432))&lt;AsOf,1,0),MONTH(I432),DAY(I432)))-YEAR(I432)&lt;1,"",DATE(YEAR(AsOf)+IF(DATE(YEAR(AsOf),MONTH(I432),DAY(I432))&lt;AsOf,1,0),MONTH(I432),DAY(I432))-AsOf))</f>
        <v/>
      </c>
      <c r="AU432" s="43" t="str">
        <f aca="false">IF(B432="","",IF(AV432="",0,LEN(AV432)-LEN(SUBSTITUTE(AV432,";",""))))</f>
        <v/>
      </c>
      <c r="AV432" s="9" t="str">
        <f aca="false">IF(B432="","",IF(COUNTIF($B$6:$B$505,B432)&gt;1,"Duplicate Emp Code; ","")&amp;IF(C432="","Name missing; ","")&amp;IF(I432="","DOJ missing; ","")&amp;IF(AND(J432&lt;&gt;"",I432&lt;&gt;"",J432&lt;I432),"Exit before DOJ; ","")&amp;IF(Q432="","DOB missing; ","")&amp;IF(T432="","Aadhaar missing; ",IF(LEN(T432)&lt;&gt;12,"Aadhaar not 12 digits; ",IF(COUNTIF($T$6:$T$505,T432)&gt;1,"Duplicate Aadhaar; ","")))&amp;IF(U432="","PAN missing; ",IF(LEN(U432)&lt;&gt;10,"PAN not 10 chars; ",""))&amp;IF(V432="","Mobile missing; ",IF(LEN(V432)&lt;&gt;10,"Mobile not 10 digits; ",""))&amp;IF(AG432="","Bank A/c missing; ","")&amp;IF(AH432="","IFSC missing; ",IF(LEN(AH432)&lt;&gt;11,"IFSC not 11 chars; ","")))</f>
        <v/>
      </c>
      <c r="AW432" s="46" t="str">
        <f aca="false">IF(AS432="","",AS432+ROW()/100000)</f>
        <v/>
      </c>
      <c r="AX432" s="46" t="str">
        <f aca="false">IF(AT432="","",AT432+ROW()/100000)</f>
        <v/>
      </c>
    </row>
    <row r="433" customFormat="false" ht="15" hidden="false" customHeight="false" outlineLevel="0" collapsed="false">
      <c r="A433" s="9" t="str">
        <f aca="false">IF(B433="","",ROW()-5)</f>
        <v/>
      </c>
      <c r="B433" s="40"/>
      <c r="C433" s="8"/>
      <c r="D433" s="9" t="str">
        <f aca="false">IF(B433="","",IF(J433="","Active","Exited"))</f>
        <v/>
      </c>
      <c r="E433" s="8"/>
      <c r="F433" s="8"/>
      <c r="G433" s="8"/>
      <c r="H433" s="9" t="str">
        <f aca="false">IF(OR(B433="",I433=""),"",IF(IF(J433="",AsOf,J433)-I433&gt;=Settings!$C$13,"Permanent","Probation"))</f>
        <v/>
      </c>
      <c r="I433" s="41"/>
      <c r="J433" s="41"/>
      <c r="K433" s="8"/>
      <c r="L433" s="42" t="str">
        <f aca="false">IF(OR(B433="",I433=""),"",ROUND((IF(J433="",AsOf,J433)-I433)/365.25,1))</f>
        <v/>
      </c>
      <c r="M433" s="8"/>
      <c r="N433" s="8"/>
      <c r="O433" s="8"/>
      <c r="P433" s="8"/>
      <c r="Q433" s="41"/>
      <c r="R433" s="43" t="str">
        <f aca="false">IF(OR(B433="",Q433=""),"",INT((AsOf-Q433)/365.25))</f>
        <v/>
      </c>
      <c r="S433" s="8"/>
      <c r="T433" s="40"/>
      <c r="U433" s="40"/>
      <c r="V433" s="40"/>
      <c r="W433" s="40"/>
      <c r="X433" s="8"/>
      <c r="Y433" s="8"/>
      <c r="Z433" s="8"/>
      <c r="AA433" s="8"/>
      <c r="AB433" s="8"/>
      <c r="AC433" s="8"/>
      <c r="AD433" s="8"/>
      <c r="AE433" s="40"/>
      <c r="AF433" s="8"/>
      <c r="AG433" s="40"/>
      <c r="AH433" s="40"/>
      <c r="AI433" s="8"/>
      <c r="AJ433" s="40"/>
      <c r="AK433" s="40"/>
      <c r="AL433" s="40"/>
      <c r="AM433" s="44"/>
      <c r="AN433" s="44"/>
      <c r="AO433" s="41"/>
      <c r="AP433" s="45" t="str">
        <f aca="false">IF(B433="","",IF(AND(ISNUMBER(AM433),ISNUMBER(AN433),AM433&gt;0,AN433&gt;0),AN433/AM433-1,""))</f>
        <v/>
      </c>
      <c r="AQ433" s="9" t="str">
        <f aca="false">IF(I433="","",(YEAR(I433)-IF(MONTH(I433)&lt;4,1,0))&amp;"-"&amp;RIGHT((YEAR(I433)-IF(MONTH(I433)&lt;4,1,0))+1,2))</f>
        <v/>
      </c>
      <c r="AR433" s="9" t="str">
        <f aca="false">IF(J433="","",(YEAR(J433)-IF(MONTH(J433)&lt;4,1,0))&amp;"-"&amp;RIGHT((YEAR(J433)-IF(MONTH(J433)&lt;4,1,0))+1,2))</f>
        <v/>
      </c>
      <c r="AS433" s="43" t="str">
        <f aca="false">IF(OR(B433="",Q433="",D433&lt;&gt;"Active"),"",DATE(YEAR(AsOf)+IF(DATE(YEAR(AsOf),MONTH(Q433),DAY(Q433))&lt;AsOf,1,0),MONTH(Q433),DAY(Q433))-AsOf)</f>
        <v/>
      </c>
      <c r="AT433" s="43" t="str">
        <f aca="false">IF(OR(B433="",I433="",D433&lt;&gt;"Active"),"",IF(YEAR(DATE(YEAR(AsOf)+IF(DATE(YEAR(AsOf),MONTH(I433),DAY(I433))&lt;AsOf,1,0),MONTH(I433),DAY(I433)))-YEAR(I433)&lt;1,"",DATE(YEAR(AsOf)+IF(DATE(YEAR(AsOf),MONTH(I433),DAY(I433))&lt;AsOf,1,0),MONTH(I433),DAY(I433))-AsOf))</f>
        <v/>
      </c>
      <c r="AU433" s="43" t="str">
        <f aca="false">IF(B433="","",IF(AV433="",0,LEN(AV433)-LEN(SUBSTITUTE(AV433,";",""))))</f>
        <v/>
      </c>
      <c r="AV433" s="9" t="str">
        <f aca="false">IF(B433="","",IF(COUNTIF($B$6:$B$505,B433)&gt;1,"Duplicate Emp Code; ","")&amp;IF(C433="","Name missing; ","")&amp;IF(I433="","DOJ missing; ","")&amp;IF(AND(J433&lt;&gt;"",I433&lt;&gt;"",J433&lt;I433),"Exit before DOJ; ","")&amp;IF(Q433="","DOB missing; ","")&amp;IF(T433="","Aadhaar missing; ",IF(LEN(T433)&lt;&gt;12,"Aadhaar not 12 digits; ",IF(COUNTIF($T$6:$T$505,T433)&gt;1,"Duplicate Aadhaar; ","")))&amp;IF(U433="","PAN missing; ",IF(LEN(U433)&lt;&gt;10,"PAN not 10 chars; ",""))&amp;IF(V433="","Mobile missing; ",IF(LEN(V433)&lt;&gt;10,"Mobile not 10 digits; ",""))&amp;IF(AG433="","Bank A/c missing; ","")&amp;IF(AH433="","IFSC missing; ",IF(LEN(AH433)&lt;&gt;11,"IFSC not 11 chars; ","")))</f>
        <v/>
      </c>
      <c r="AW433" s="46" t="str">
        <f aca="false">IF(AS433="","",AS433+ROW()/100000)</f>
        <v/>
      </c>
      <c r="AX433" s="46" t="str">
        <f aca="false">IF(AT433="","",AT433+ROW()/100000)</f>
        <v/>
      </c>
    </row>
    <row r="434" customFormat="false" ht="15" hidden="false" customHeight="false" outlineLevel="0" collapsed="false">
      <c r="A434" s="9" t="str">
        <f aca="false">IF(B434="","",ROW()-5)</f>
        <v/>
      </c>
      <c r="B434" s="40"/>
      <c r="C434" s="8"/>
      <c r="D434" s="9" t="str">
        <f aca="false">IF(B434="","",IF(J434="","Active","Exited"))</f>
        <v/>
      </c>
      <c r="E434" s="8"/>
      <c r="F434" s="8"/>
      <c r="G434" s="8"/>
      <c r="H434" s="9" t="str">
        <f aca="false">IF(OR(B434="",I434=""),"",IF(IF(J434="",AsOf,J434)-I434&gt;=Settings!$C$13,"Permanent","Probation"))</f>
        <v/>
      </c>
      <c r="I434" s="41"/>
      <c r="J434" s="41"/>
      <c r="K434" s="8"/>
      <c r="L434" s="42" t="str">
        <f aca="false">IF(OR(B434="",I434=""),"",ROUND((IF(J434="",AsOf,J434)-I434)/365.25,1))</f>
        <v/>
      </c>
      <c r="M434" s="8"/>
      <c r="N434" s="8"/>
      <c r="O434" s="8"/>
      <c r="P434" s="8"/>
      <c r="Q434" s="41"/>
      <c r="R434" s="43" t="str">
        <f aca="false">IF(OR(B434="",Q434=""),"",INT((AsOf-Q434)/365.25))</f>
        <v/>
      </c>
      <c r="S434" s="8"/>
      <c r="T434" s="40"/>
      <c r="U434" s="40"/>
      <c r="V434" s="40"/>
      <c r="W434" s="40"/>
      <c r="X434" s="8"/>
      <c r="Y434" s="8"/>
      <c r="Z434" s="8"/>
      <c r="AA434" s="8"/>
      <c r="AB434" s="8"/>
      <c r="AC434" s="8"/>
      <c r="AD434" s="8"/>
      <c r="AE434" s="40"/>
      <c r="AF434" s="8"/>
      <c r="AG434" s="40"/>
      <c r="AH434" s="40"/>
      <c r="AI434" s="8"/>
      <c r="AJ434" s="40"/>
      <c r="AK434" s="40"/>
      <c r="AL434" s="40"/>
      <c r="AM434" s="44"/>
      <c r="AN434" s="44"/>
      <c r="AO434" s="41"/>
      <c r="AP434" s="45" t="str">
        <f aca="false">IF(B434="","",IF(AND(ISNUMBER(AM434),ISNUMBER(AN434),AM434&gt;0,AN434&gt;0),AN434/AM434-1,""))</f>
        <v/>
      </c>
      <c r="AQ434" s="9" t="str">
        <f aca="false">IF(I434="","",(YEAR(I434)-IF(MONTH(I434)&lt;4,1,0))&amp;"-"&amp;RIGHT((YEAR(I434)-IF(MONTH(I434)&lt;4,1,0))+1,2))</f>
        <v/>
      </c>
      <c r="AR434" s="9" t="str">
        <f aca="false">IF(J434="","",(YEAR(J434)-IF(MONTH(J434)&lt;4,1,0))&amp;"-"&amp;RIGHT((YEAR(J434)-IF(MONTH(J434)&lt;4,1,0))+1,2))</f>
        <v/>
      </c>
      <c r="AS434" s="43" t="str">
        <f aca="false">IF(OR(B434="",Q434="",D434&lt;&gt;"Active"),"",DATE(YEAR(AsOf)+IF(DATE(YEAR(AsOf),MONTH(Q434),DAY(Q434))&lt;AsOf,1,0),MONTH(Q434),DAY(Q434))-AsOf)</f>
        <v/>
      </c>
      <c r="AT434" s="43" t="str">
        <f aca="false">IF(OR(B434="",I434="",D434&lt;&gt;"Active"),"",IF(YEAR(DATE(YEAR(AsOf)+IF(DATE(YEAR(AsOf),MONTH(I434),DAY(I434))&lt;AsOf,1,0),MONTH(I434),DAY(I434)))-YEAR(I434)&lt;1,"",DATE(YEAR(AsOf)+IF(DATE(YEAR(AsOf),MONTH(I434),DAY(I434))&lt;AsOf,1,0),MONTH(I434),DAY(I434))-AsOf))</f>
        <v/>
      </c>
      <c r="AU434" s="43" t="str">
        <f aca="false">IF(B434="","",IF(AV434="",0,LEN(AV434)-LEN(SUBSTITUTE(AV434,";",""))))</f>
        <v/>
      </c>
      <c r="AV434" s="9" t="str">
        <f aca="false">IF(B434="","",IF(COUNTIF($B$6:$B$505,B434)&gt;1,"Duplicate Emp Code; ","")&amp;IF(C434="","Name missing; ","")&amp;IF(I434="","DOJ missing; ","")&amp;IF(AND(J434&lt;&gt;"",I434&lt;&gt;"",J434&lt;I434),"Exit before DOJ; ","")&amp;IF(Q434="","DOB missing; ","")&amp;IF(T434="","Aadhaar missing; ",IF(LEN(T434)&lt;&gt;12,"Aadhaar not 12 digits; ",IF(COUNTIF($T$6:$T$505,T434)&gt;1,"Duplicate Aadhaar; ","")))&amp;IF(U434="","PAN missing; ",IF(LEN(U434)&lt;&gt;10,"PAN not 10 chars; ",""))&amp;IF(V434="","Mobile missing; ",IF(LEN(V434)&lt;&gt;10,"Mobile not 10 digits; ",""))&amp;IF(AG434="","Bank A/c missing; ","")&amp;IF(AH434="","IFSC missing; ",IF(LEN(AH434)&lt;&gt;11,"IFSC not 11 chars; ","")))</f>
        <v/>
      </c>
      <c r="AW434" s="46" t="str">
        <f aca="false">IF(AS434="","",AS434+ROW()/100000)</f>
        <v/>
      </c>
      <c r="AX434" s="46" t="str">
        <f aca="false">IF(AT434="","",AT434+ROW()/100000)</f>
        <v/>
      </c>
    </row>
    <row r="435" customFormat="false" ht="15" hidden="false" customHeight="false" outlineLevel="0" collapsed="false">
      <c r="A435" s="9" t="str">
        <f aca="false">IF(B435="","",ROW()-5)</f>
        <v/>
      </c>
      <c r="B435" s="40"/>
      <c r="C435" s="8"/>
      <c r="D435" s="9" t="str">
        <f aca="false">IF(B435="","",IF(J435="","Active","Exited"))</f>
        <v/>
      </c>
      <c r="E435" s="8"/>
      <c r="F435" s="8"/>
      <c r="G435" s="8"/>
      <c r="H435" s="9" t="str">
        <f aca="false">IF(OR(B435="",I435=""),"",IF(IF(J435="",AsOf,J435)-I435&gt;=Settings!$C$13,"Permanent","Probation"))</f>
        <v/>
      </c>
      <c r="I435" s="41"/>
      <c r="J435" s="41"/>
      <c r="K435" s="8"/>
      <c r="L435" s="42" t="str">
        <f aca="false">IF(OR(B435="",I435=""),"",ROUND((IF(J435="",AsOf,J435)-I435)/365.25,1))</f>
        <v/>
      </c>
      <c r="M435" s="8"/>
      <c r="N435" s="8"/>
      <c r="O435" s="8"/>
      <c r="P435" s="8"/>
      <c r="Q435" s="41"/>
      <c r="R435" s="43" t="str">
        <f aca="false">IF(OR(B435="",Q435=""),"",INT((AsOf-Q435)/365.25))</f>
        <v/>
      </c>
      <c r="S435" s="8"/>
      <c r="T435" s="40"/>
      <c r="U435" s="40"/>
      <c r="V435" s="40"/>
      <c r="W435" s="40"/>
      <c r="X435" s="8"/>
      <c r="Y435" s="8"/>
      <c r="Z435" s="8"/>
      <c r="AA435" s="8"/>
      <c r="AB435" s="8"/>
      <c r="AC435" s="8"/>
      <c r="AD435" s="8"/>
      <c r="AE435" s="40"/>
      <c r="AF435" s="8"/>
      <c r="AG435" s="40"/>
      <c r="AH435" s="40"/>
      <c r="AI435" s="8"/>
      <c r="AJ435" s="40"/>
      <c r="AK435" s="40"/>
      <c r="AL435" s="40"/>
      <c r="AM435" s="44"/>
      <c r="AN435" s="44"/>
      <c r="AO435" s="41"/>
      <c r="AP435" s="45" t="str">
        <f aca="false">IF(B435="","",IF(AND(ISNUMBER(AM435),ISNUMBER(AN435),AM435&gt;0,AN435&gt;0),AN435/AM435-1,""))</f>
        <v/>
      </c>
      <c r="AQ435" s="9" t="str">
        <f aca="false">IF(I435="","",(YEAR(I435)-IF(MONTH(I435)&lt;4,1,0))&amp;"-"&amp;RIGHT((YEAR(I435)-IF(MONTH(I435)&lt;4,1,0))+1,2))</f>
        <v/>
      </c>
      <c r="AR435" s="9" t="str">
        <f aca="false">IF(J435="","",(YEAR(J435)-IF(MONTH(J435)&lt;4,1,0))&amp;"-"&amp;RIGHT((YEAR(J435)-IF(MONTH(J435)&lt;4,1,0))+1,2))</f>
        <v/>
      </c>
      <c r="AS435" s="43" t="str">
        <f aca="false">IF(OR(B435="",Q435="",D435&lt;&gt;"Active"),"",DATE(YEAR(AsOf)+IF(DATE(YEAR(AsOf),MONTH(Q435),DAY(Q435))&lt;AsOf,1,0),MONTH(Q435),DAY(Q435))-AsOf)</f>
        <v/>
      </c>
      <c r="AT435" s="43" t="str">
        <f aca="false">IF(OR(B435="",I435="",D435&lt;&gt;"Active"),"",IF(YEAR(DATE(YEAR(AsOf)+IF(DATE(YEAR(AsOf),MONTH(I435),DAY(I435))&lt;AsOf,1,0),MONTH(I435),DAY(I435)))-YEAR(I435)&lt;1,"",DATE(YEAR(AsOf)+IF(DATE(YEAR(AsOf),MONTH(I435),DAY(I435))&lt;AsOf,1,0),MONTH(I435),DAY(I435))-AsOf))</f>
        <v/>
      </c>
      <c r="AU435" s="43" t="str">
        <f aca="false">IF(B435="","",IF(AV435="",0,LEN(AV435)-LEN(SUBSTITUTE(AV435,";",""))))</f>
        <v/>
      </c>
      <c r="AV435" s="9" t="str">
        <f aca="false">IF(B435="","",IF(COUNTIF($B$6:$B$505,B435)&gt;1,"Duplicate Emp Code; ","")&amp;IF(C435="","Name missing; ","")&amp;IF(I435="","DOJ missing; ","")&amp;IF(AND(J435&lt;&gt;"",I435&lt;&gt;"",J435&lt;I435),"Exit before DOJ; ","")&amp;IF(Q435="","DOB missing; ","")&amp;IF(T435="","Aadhaar missing; ",IF(LEN(T435)&lt;&gt;12,"Aadhaar not 12 digits; ",IF(COUNTIF($T$6:$T$505,T435)&gt;1,"Duplicate Aadhaar; ","")))&amp;IF(U435="","PAN missing; ",IF(LEN(U435)&lt;&gt;10,"PAN not 10 chars; ",""))&amp;IF(V435="","Mobile missing; ",IF(LEN(V435)&lt;&gt;10,"Mobile not 10 digits; ",""))&amp;IF(AG435="","Bank A/c missing; ","")&amp;IF(AH435="","IFSC missing; ",IF(LEN(AH435)&lt;&gt;11,"IFSC not 11 chars; ","")))</f>
        <v/>
      </c>
      <c r="AW435" s="46" t="str">
        <f aca="false">IF(AS435="","",AS435+ROW()/100000)</f>
        <v/>
      </c>
      <c r="AX435" s="46" t="str">
        <f aca="false">IF(AT435="","",AT435+ROW()/100000)</f>
        <v/>
      </c>
    </row>
    <row r="436" customFormat="false" ht="15" hidden="false" customHeight="false" outlineLevel="0" collapsed="false">
      <c r="A436" s="9" t="str">
        <f aca="false">IF(B436="","",ROW()-5)</f>
        <v/>
      </c>
      <c r="B436" s="40"/>
      <c r="C436" s="8"/>
      <c r="D436" s="9" t="str">
        <f aca="false">IF(B436="","",IF(J436="","Active","Exited"))</f>
        <v/>
      </c>
      <c r="E436" s="8"/>
      <c r="F436" s="8"/>
      <c r="G436" s="8"/>
      <c r="H436" s="9" t="str">
        <f aca="false">IF(OR(B436="",I436=""),"",IF(IF(J436="",AsOf,J436)-I436&gt;=Settings!$C$13,"Permanent","Probation"))</f>
        <v/>
      </c>
      <c r="I436" s="41"/>
      <c r="J436" s="41"/>
      <c r="K436" s="8"/>
      <c r="L436" s="42" t="str">
        <f aca="false">IF(OR(B436="",I436=""),"",ROUND((IF(J436="",AsOf,J436)-I436)/365.25,1))</f>
        <v/>
      </c>
      <c r="M436" s="8"/>
      <c r="N436" s="8"/>
      <c r="O436" s="8"/>
      <c r="P436" s="8"/>
      <c r="Q436" s="41"/>
      <c r="R436" s="43" t="str">
        <f aca="false">IF(OR(B436="",Q436=""),"",INT((AsOf-Q436)/365.25))</f>
        <v/>
      </c>
      <c r="S436" s="8"/>
      <c r="T436" s="40"/>
      <c r="U436" s="40"/>
      <c r="V436" s="40"/>
      <c r="W436" s="40"/>
      <c r="X436" s="8"/>
      <c r="Y436" s="8"/>
      <c r="Z436" s="8"/>
      <c r="AA436" s="8"/>
      <c r="AB436" s="8"/>
      <c r="AC436" s="8"/>
      <c r="AD436" s="8"/>
      <c r="AE436" s="40"/>
      <c r="AF436" s="8"/>
      <c r="AG436" s="40"/>
      <c r="AH436" s="40"/>
      <c r="AI436" s="8"/>
      <c r="AJ436" s="40"/>
      <c r="AK436" s="40"/>
      <c r="AL436" s="40"/>
      <c r="AM436" s="44"/>
      <c r="AN436" s="44"/>
      <c r="AO436" s="41"/>
      <c r="AP436" s="45" t="str">
        <f aca="false">IF(B436="","",IF(AND(ISNUMBER(AM436),ISNUMBER(AN436),AM436&gt;0,AN436&gt;0),AN436/AM436-1,""))</f>
        <v/>
      </c>
      <c r="AQ436" s="9" t="str">
        <f aca="false">IF(I436="","",(YEAR(I436)-IF(MONTH(I436)&lt;4,1,0))&amp;"-"&amp;RIGHT((YEAR(I436)-IF(MONTH(I436)&lt;4,1,0))+1,2))</f>
        <v/>
      </c>
      <c r="AR436" s="9" t="str">
        <f aca="false">IF(J436="","",(YEAR(J436)-IF(MONTH(J436)&lt;4,1,0))&amp;"-"&amp;RIGHT((YEAR(J436)-IF(MONTH(J436)&lt;4,1,0))+1,2))</f>
        <v/>
      </c>
      <c r="AS436" s="43" t="str">
        <f aca="false">IF(OR(B436="",Q436="",D436&lt;&gt;"Active"),"",DATE(YEAR(AsOf)+IF(DATE(YEAR(AsOf),MONTH(Q436),DAY(Q436))&lt;AsOf,1,0),MONTH(Q436),DAY(Q436))-AsOf)</f>
        <v/>
      </c>
      <c r="AT436" s="43" t="str">
        <f aca="false">IF(OR(B436="",I436="",D436&lt;&gt;"Active"),"",IF(YEAR(DATE(YEAR(AsOf)+IF(DATE(YEAR(AsOf),MONTH(I436),DAY(I436))&lt;AsOf,1,0),MONTH(I436),DAY(I436)))-YEAR(I436)&lt;1,"",DATE(YEAR(AsOf)+IF(DATE(YEAR(AsOf),MONTH(I436),DAY(I436))&lt;AsOf,1,0),MONTH(I436),DAY(I436))-AsOf))</f>
        <v/>
      </c>
      <c r="AU436" s="43" t="str">
        <f aca="false">IF(B436="","",IF(AV436="",0,LEN(AV436)-LEN(SUBSTITUTE(AV436,";",""))))</f>
        <v/>
      </c>
      <c r="AV436" s="9" t="str">
        <f aca="false">IF(B436="","",IF(COUNTIF($B$6:$B$505,B436)&gt;1,"Duplicate Emp Code; ","")&amp;IF(C436="","Name missing; ","")&amp;IF(I436="","DOJ missing; ","")&amp;IF(AND(J436&lt;&gt;"",I436&lt;&gt;"",J436&lt;I436),"Exit before DOJ; ","")&amp;IF(Q436="","DOB missing; ","")&amp;IF(T436="","Aadhaar missing; ",IF(LEN(T436)&lt;&gt;12,"Aadhaar not 12 digits; ",IF(COUNTIF($T$6:$T$505,T436)&gt;1,"Duplicate Aadhaar; ","")))&amp;IF(U436="","PAN missing; ",IF(LEN(U436)&lt;&gt;10,"PAN not 10 chars; ",""))&amp;IF(V436="","Mobile missing; ",IF(LEN(V436)&lt;&gt;10,"Mobile not 10 digits; ",""))&amp;IF(AG436="","Bank A/c missing; ","")&amp;IF(AH436="","IFSC missing; ",IF(LEN(AH436)&lt;&gt;11,"IFSC not 11 chars; ","")))</f>
        <v/>
      </c>
      <c r="AW436" s="46" t="str">
        <f aca="false">IF(AS436="","",AS436+ROW()/100000)</f>
        <v/>
      </c>
      <c r="AX436" s="46" t="str">
        <f aca="false">IF(AT436="","",AT436+ROW()/100000)</f>
        <v/>
      </c>
    </row>
    <row r="437" customFormat="false" ht="15" hidden="false" customHeight="false" outlineLevel="0" collapsed="false">
      <c r="A437" s="9" t="str">
        <f aca="false">IF(B437="","",ROW()-5)</f>
        <v/>
      </c>
      <c r="B437" s="40"/>
      <c r="C437" s="8"/>
      <c r="D437" s="9" t="str">
        <f aca="false">IF(B437="","",IF(J437="","Active","Exited"))</f>
        <v/>
      </c>
      <c r="E437" s="8"/>
      <c r="F437" s="8"/>
      <c r="G437" s="8"/>
      <c r="H437" s="9" t="str">
        <f aca="false">IF(OR(B437="",I437=""),"",IF(IF(J437="",AsOf,J437)-I437&gt;=Settings!$C$13,"Permanent","Probation"))</f>
        <v/>
      </c>
      <c r="I437" s="41"/>
      <c r="J437" s="41"/>
      <c r="K437" s="8"/>
      <c r="L437" s="42" t="str">
        <f aca="false">IF(OR(B437="",I437=""),"",ROUND((IF(J437="",AsOf,J437)-I437)/365.25,1))</f>
        <v/>
      </c>
      <c r="M437" s="8"/>
      <c r="N437" s="8"/>
      <c r="O437" s="8"/>
      <c r="P437" s="8"/>
      <c r="Q437" s="41"/>
      <c r="R437" s="43" t="str">
        <f aca="false">IF(OR(B437="",Q437=""),"",INT((AsOf-Q437)/365.25))</f>
        <v/>
      </c>
      <c r="S437" s="8"/>
      <c r="T437" s="40"/>
      <c r="U437" s="40"/>
      <c r="V437" s="40"/>
      <c r="W437" s="40"/>
      <c r="X437" s="8"/>
      <c r="Y437" s="8"/>
      <c r="Z437" s="8"/>
      <c r="AA437" s="8"/>
      <c r="AB437" s="8"/>
      <c r="AC437" s="8"/>
      <c r="AD437" s="8"/>
      <c r="AE437" s="40"/>
      <c r="AF437" s="8"/>
      <c r="AG437" s="40"/>
      <c r="AH437" s="40"/>
      <c r="AI437" s="8"/>
      <c r="AJ437" s="40"/>
      <c r="AK437" s="40"/>
      <c r="AL437" s="40"/>
      <c r="AM437" s="44"/>
      <c r="AN437" s="44"/>
      <c r="AO437" s="41"/>
      <c r="AP437" s="45" t="str">
        <f aca="false">IF(B437="","",IF(AND(ISNUMBER(AM437),ISNUMBER(AN437),AM437&gt;0,AN437&gt;0),AN437/AM437-1,""))</f>
        <v/>
      </c>
      <c r="AQ437" s="9" t="str">
        <f aca="false">IF(I437="","",(YEAR(I437)-IF(MONTH(I437)&lt;4,1,0))&amp;"-"&amp;RIGHT((YEAR(I437)-IF(MONTH(I437)&lt;4,1,0))+1,2))</f>
        <v/>
      </c>
      <c r="AR437" s="9" t="str">
        <f aca="false">IF(J437="","",(YEAR(J437)-IF(MONTH(J437)&lt;4,1,0))&amp;"-"&amp;RIGHT((YEAR(J437)-IF(MONTH(J437)&lt;4,1,0))+1,2))</f>
        <v/>
      </c>
      <c r="AS437" s="43" t="str">
        <f aca="false">IF(OR(B437="",Q437="",D437&lt;&gt;"Active"),"",DATE(YEAR(AsOf)+IF(DATE(YEAR(AsOf),MONTH(Q437),DAY(Q437))&lt;AsOf,1,0),MONTH(Q437),DAY(Q437))-AsOf)</f>
        <v/>
      </c>
      <c r="AT437" s="43" t="str">
        <f aca="false">IF(OR(B437="",I437="",D437&lt;&gt;"Active"),"",IF(YEAR(DATE(YEAR(AsOf)+IF(DATE(YEAR(AsOf),MONTH(I437),DAY(I437))&lt;AsOf,1,0),MONTH(I437),DAY(I437)))-YEAR(I437)&lt;1,"",DATE(YEAR(AsOf)+IF(DATE(YEAR(AsOf),MONTH(I437),DAY(I437))&lt;AsOf,1,0),MONTH(I437),DAY(I437))-AsOf))</f>
        <v/>
      </c>
      <c r="AU437" s="43" t="str">
        <f aca="false">IF(B437="","",IF(AV437="",0,LEN(AV437)-LEN(SUBSTITUTE(AV437,";",""))))</f>
        <v/>
      </c>
      <c r="AV437" s="9" t="str">
        <f aca="false">IF(B437="","",IF(COUNTIF($B$6:$B$505,B437)&gt;1,"Duplicate Emp Code; ","")&amp;IF(C437="","Name missing; ","")&amp;IF(I437="","DOJ missing; ","")&amp;IF(AND(J437&lt;&gt;"",I437&lt;&gt;"",J437&lt;I437),"Exit before DOJ; ","")&amp;IF(Q437="","DOB missing; ","")&amp;IF(T437="","Aadhaar missing; ",IF(LEN(T437)&lt;&gt;12,"Aadhaar not 12 digits; ",IF(COUNTIF($T$6:$T$505,T437)&gt;1,"Duplicate Aadhaar; ","")))&amp;IF(U437="","PAN missing; ",IF(LEN(U437)&lt;&gt;10,"PAN not 10 chars; ",""))&amp;IF(V437="","Mobile missing; ",IF(LEN(V437)&lt;&gt;10,"Mobile not 10 digits; ",""))&amp;IF(AG437="","Bank A/c missing; ","")&amp;IF(AH437="","IFSC missing; ",IF(LEN(AH437)&lt;&gt;11,"IFSC not 11 chars; ","")))</f>
        <v/>
      </c>
      <c r="AW437" s="46" t="str">
        <f aca="false">IF(AS437="","",AS437+ROW()/100000)</f>
        <v/>
      </c>
      <c r="AX437" s="46" t="str">
        <f aca="false">IF(AT437="","",AT437+ROW()/100000)</f>
        <v/>
      </c>
    </row>
    <row r="438" customFormat="false" ht="15" hidden="false" customHeight="false" outlineLevel="0" collapsed="false">
      <c r="A438" s="9" t="str">
        <f aca="false">IF(B438="","",ROW()-5)</f>
        <v/>
      </c>
      <c r="B438" s="40"/>
      <c r="C438" s="8"/>
      <c r="D438" s="9" t="str">
        <f aca="false">IF(B438="","",IF(J438="","Active","Exited"))</f>
        <v/>
      </c>
      <c r="E438" s="8"/>
      <c r="F438" s="8"/>
      <c r="G438" s="8"/>
      <c r="H438" s="9" t="str">
        <f aca="false">IF(OR(B438="",I438=""),"",IF(IF(J438="",AsOf,J438)-I438&gt;=Settings!$C$13,"Permanent","Probation"))</f>
        <v/>
      </c>
      <c r="I438" s="41"/>
      <c r="J438" s="41"/>
      <c r="K438" s="8"/>
      <c r="L438" s="42" t="str">
        <f aca="false">IF(OR(B438="",I438=""),"",ROUND((IF(J438="",AsOf,J438)-I438)/365.25,1))</f>
        <v/>
      </c>
      <c r="M438" s="8"/>
      <c r="N438" s="8"/>
      <c r="O438" s="8"/>
      <c r="P438" s="8"/>
      <c r="Q438" s="41"/>
      <c r="R438" s="43" t="str">
        <f aca="false">IF(OR(B438="",Q438=""),"",INT((AsOf-Q438)/365.25))</f>
        <v/>
      </c>
      <c r="S438" s="8"/>
      <c r="T438" s="40"/>
      <c r="U438" s="40"/>
      <c r="V438" s="40"/>
      <c r="W438" s="40"/>
      <c r="X438" s="8"/>
      <c r="Y438" s="8"/>
      <c r="Z438" s="8"/>
      <c r="AA438" s="8"/>
      <c r="AB438" s="8"/>
      <c r="AC438" s="8"/>
      <c r="AD438" s="8"/>
      <c r="AE438" s="40"/>
      <c r="AF438" s="8"/>
      <c r="AG438" s="40"/>
      <c r="AH438" s="40"/>
      <c r="AI438" s="8"/>
      <c r="AJ438" s="40"/>
      <c r="AK438" s="40"/>
      <c r="AL438" s="40"/>
      <c r="AM438" s="44"/>
      <c r="AN438" s="44"/>
      <c r="AO438" s="41"/>
      <c r="AP438" s="45" t="str">
        <f aca="false">IF(B438="","",IF(AND(ISNUMBER(AM438),ISNUMBER(AN438),AM438&gt;0,AN438&gt;0),AN438/AM438-1,""))</f>
        <v/>
      </c>
      <c r="AQ438" s="9" t="str">
        <f aca="false">IF(I438="","",(YEAR(I438)-IF(MONTH(I438)&lt;4,1,0))&amp;"-"&amp;RIGHT((YEAR(I438)-IF(MONTH(I438)&lt;4,1,0))+1,2))</f>
        <v/>
      </c>
      <c r="AR438" s="9" t="str">
        <f aca="false">IF(J438="","",(YEAR(J438)-IF(MONTH(J438)&lt;4,1,0))&amp;"-"&amp;RIGHT((YEAR(J438)-IF(MONTH(J438)&lt;4,1,0))+1,2))</f>
        <v/>
      </c>
      <c r="AS438" s="43" t="str">
        <f aca="false">IF(OR(B438="",Q438="",D438&lt;&gt;"Active"),"",DATE(YEAR(AsOf)+IF(DATE(YEAR(AsOf),MONTH(Q438),DAY(Q438))&lt;AsOf,1,0),MONTH(Q438),DAY(Q438))-AsOf)</f>
        <v/>
      </c>
      <c r="AT438" s="43" t="str">
        <f aca="false">IF(OR(B438="",I438="",D438&lt;&gt;"Active"),"",IF(YEAR(DATE(YEAR(AsOf)+IF(DATE(YEAR(AsOf),MONTH(I438),DAY(I438))&lt;AsOf,1,0),MONTH(I438),DAY(I438)))-YEAR(I438)&lt;1,"",DATE(YEAR(AsOf)+IF(DATE(YEAR(AsOf),MONTH(I438),DAY(I438))&lt;AsOf,1,0),MONTH(I438),DAY(I438))-AsOf))</f>
        <v/>
      </c>
      <c r="AU438" s="43" t="str">
        <f aca="false">IF(B438="","",IF(AV438="",0,LEN(AV438)-LEN(SUBSTITUTE(AV438,";",""))))</f>
        <v/>
      </c>
      <c r="AV438" s="9" t="str">
        <f aca="false">IF(B438="","",IF(COUNTIF($B$6:$B$505,B438)&gt;1,"Duplicate Emp Code; ","")&amp;IF(C438="","Name missing; ","")&amp;IF(I438="","DOJ missing; ","")&amp;IF(AND(J438&lt;&gt;"",I438&lt;&gt;"",J438&lt;I438),"Exit before DOJ; ","")&amp;IF(Q438="","DOB missing; ","")&amp;IF(T438="","Aadhaar missing; ",IF(LEN(T438)&lt;&gt;12,"Aadhaar not 12 digits; ",IF(COUNTIF($T$6:$T$505,T438)&gt;1,"Duplicate Aadhaar; ","")))&amp;IF(U438="","PAN missing; ",IF(LEN(U438)&lt;&gt;10,"PAN not 10 chars; ",""))&amp;IF(V438="","Mobile missing; ",IF(LEN(V438)&lt;&gt;10,"Mobile not 10 digits; ",""))&amp;IF(AG438="","Bank A/c missing; ","")&amp;IF(AH438="","IFSC missing; ",IF(LEN(AH438)&lt;&gt;11,"IFSC not 11 chars; ","")))</f>
        <v/>
      </c>
      <c r="AW438" s="46" t="str">
        <f aca="false">IF(AS438="","",AS438+ROW()/100000)</f>
        <v/>
      </c>
      <c r="AX438" s="46" t="str">
        <f aca="false">IF(AT438="","",AT438+ROW()/100000)</f>
        <v/>
      </c>
    </row>
    <row r="439" customFormat="false" ht="15" hidden="false" customHeight="false" outlineLevel="0" collapsed="false">
      <c r="A439" s="9" t="str">
        <f aca="false">IF(B439="","",ROW()-5)</f>
        <v/>
      </c>
      <c r="B439" s="40"/>
      <c r="C439" s="8"/>
      <c r="D439" s="9" t="str">
        <f aca="false">IF(B439="","",IF(J439="","Active","Exited"))</f>
        <v/>
      </c>
      <c r="E439" s="8"/>
      <c r="F439" s="8"/>
      <c r="G439" s="8"/>
      <c r="H439" s="9" t="str">
        <f aca="false">IF(OR(B439="",I439=""),"",IF(IF(J439="",AsOf,J439)-I439&gt;=Settings!$C$13,"Permanent","Probation"))</f>
        <v/>
      </c>
      <c r="I439" s="41"/>
      <c r="J439" s="41"/>
      <c r="K439" s="8"/>
      <c r="L439" s="42" t="str">
        <f aca="false">IF(OR(B439="",I439=""),"",ROUND((IF(J439="",AsOf,J439)-I439)/365.25,1))</f>
        <v/>
      </c>
      <c r="M439" s="8"/>
      <c r="N439" s="8"/>
      <c r="O439" s="8"/>
      <c r="P439" s="8"/>
      <c r="Q439" s="41"/>
      <c r="R439" s="43" t="str">
        <f aca="false">IF(OR(B439="",Q439=""),"",INT((AsOf-Q439)/365.25))</f>
        <v/>
      </c>
      <c r="S439" s="8"/>
      <c r="T439" s="40"/>
      <c r="U439" s="40"/>
      <c r="V439" s="40"/>
      <c r="W439" s="40"/>
      <c r="X439" s="8"/>
      <c r="Y439" s="8"/>
      <c r="Z439" s="8"/>
      <c r="AA439" s="8"/>
      <c r="AB439" s="8"/>
      <c r="AC439" s="8"/>
      <c r="AD439" s="8"/>
      <c r="AE439" s="40"/>
      <c r="AF439" s="8"/>
      <c r="AG439" s="40"/>
      <c r="AH439" s="40"/>
      <c r="AI439" s="8"/>
      <c r="AJ439" s="40"/>
      <c r="AK439" s="40"/>
      <c r="AL439" s="40"/>
      <c r="AM439" s="44"/>
      <c r="AN439" s="44"/>
      <c r="AO439" s="41"/>
      <c r="AP439" s="45" t="str">
        <f aca="false">IF(B439="","",IF(AND(ISNUMBER(AM439),ISNUMBER(AN439),AM439&gt;0,AN439&gt;0),AN439/AM439-1,""))</f>
        <v/>
      </c>
      <c r="AQ439" s="9" t="str">
        <f aca="false">IF(I439="","",(YEAR(I439)-IF(MONTH(I439)&lt;4,1,0))&amp;"-"&amp;RIGHT((YEAR(I439)-IF(MONTH(I439)&lt;4,1,0))+1,2))</f>
        <v/>
      </c>
      <c r="AR439" s="9" t="str">
        <f aca="false">IF(J439="","",(YEAR(J439)-IF(MONTH(J439)&lt;4,1,0))&amp;"-"&amp;RIGHT((YEAR(J439)-IF(MONTH(J439)&lt;4,1,0))+1,2))</f>
        <v/>
      </c>
      <c r="AS439" s="43" t="str">
        <f aca="false">IF(OR(B439="",Q439="",D439&lt;&gt;"Active"),"",DATE(YEAR(AsOf)+IF(DATE(YEAR(AsOf),MONTH(Q439),DAY(Q439))&lt;AsOf,1,0),MONTH(Q439),DAY(Q439))-AsOf)</f>
        <v/>
      </c>
      <c r="AT439" s="43" t="str">
        <f aca="false">IF(OR(B439="",I439="",D439&lt;&gt;"Active"),"",IF(YEAR(DATE(YEAR(AsOf)+IF(DATE(YEAR(AsOf),MONTH(I439),DAY(I439))&lt;AsOf,1,0),MONTH(I439),DAY(I439)))-YEAR(I439)&lt;1,"",DATE(YEAR(AsOf)+IF(DATE(YEAR(AsOf),MONTH(I439),DAY(I439))&lt;AsOf,1,0),MONTH(I439),DAY(I439))-AsOf))</f>
        <v/>
      </c>
      <c r="AU439" s="43" t="str">
        <f aca="false">IF(B439="","",IF(AV439="",0,LEN(AV439)-LEN(SUBSTITUTE(AV439,";",""))))</f>
        <v/>
      </c>
      <c r="AV439" s="9" t="str">
        <f aca="false">IF(B439="","",IF(COUNTIF($B$6:$B$505,B439)&gt;1,"Duplicate Emp Code; ","")&amp;IF(C439="","Name missing; ","")&amp;IF(I439="","DOJ missing; ","")&amp;IF(AND(J439&lt;&gt;"",I439&lt;&gt;"",J439&lt;I439),"Exit before DOJ; ","")&amp;IF(Q439="","DOB missing; ","")&amp;IF(T439="","Aadhaar missing; ",IF(LEN(T439)&lt;&gt;12,"Aadhaar not 12 digits; ",IF(COUNTIF($T$6:$T$505,T439)&gt;1,"Duplicate Aadhaar; ","")))&amp;IF(U439="","PAN missing; ",IF(LEN(U439)&lt;&gt;10,"PAN not 10 chars; ",""))&amp;IF(V439="","Mobile missing; ",IF(LEN(V439)&lt;&gt;10,"Mobile not 10 digits; ",""))&amp;IF(AG439="","Bank A/c missing; ","")&amp;IF(AH439="","IFSC missing; ",IF(LEN(AH439)&lt;&gt;11,"IFSC not 11 chars; ","")))</f>
        <v/>
      </c>
      <c r="AW439" s="46" t="str">
        <f aca="false">IF(AS439="","",AS439+ROW()/100000)</f>
        <v/>
      </c>
      <c r="AX439" s="46" t="str">
        <f aca="false">IF(AT439="","",AT439+ROW()/100000)</f>
        <v/>
      </c>
    </row>
    <row r="440" customFormat="false" ht="15" hidden="false" customHeight="false" outlineLevel="0" collapsed="false">
      <c r="A440" s="9" t="str">
        <f aca="false">IF(B440="","",ROW()-5)</f>
        <v/>
      </c>
      <c r="B440" s="40"/>
      <c r="C440" s="8"/>
      <c r="D440" s="9" t="str">
        <f aca="false">IF(B440="","",IF(J440="","Active","Exited"))</f>
        <v/>
      </c>
      <c r="E440" s="8"/>
      <c r="F440" s="8"/>
      <c r="G440" s="8"/>
      <c r="H440" s="9" t="str">
        <f aca="false">IF(OR(B440="",I440=""),"",IF(IF(J440="",AsOf,J440)-I440&gt;=Settings!$C$13,"Permanent","Probation"))</f>
        <v/>
      </c>
      <c r="I440" s="41"/>
      <c r="J440" s="41"/>
      <c r="K440" s="8"/>
      <c r="L440" s="42" t="str">
        <f aca="false">IF(OR(B440="",I440=""),"",ROUND((IF(J440="",AsOf,J440)-I440)/365.25,1))</f>
        <v/>
      </c>
      <c r="M440" s="8"/>
      <c r="N440" s="8"/>
      <c r="O440" s="8"/>
      <c r="P440" s="8"/>
      <c r="Q440" s="41"/>
      <c r="R440" s="43" t="str">
        <f aca="false">IF(OR(B440="",Q440=""),"",INT((AsOf-Q440)/365.25))</f>
        <v/>
      </c>
      <c r="S440" s="8"/>
      <c r="T440" s="40"/>
      <c r="U440" s="40"/>
      <c r="V440" s="40"/>
      <c r="W440" s="40"/>
      <c r="X440" s="8"/>
      <c r="Y440" s="8"/>
      <c r="Z440" s="8"/>
      <c r="AA440" s="8"/>
      <c r="AB440" s="8"/>
      <c r="AC440" s="8"/>
      <c r="AD440" s="8"/>
      <c r="AE440" s="40"/>
      <c r="AF440" s="8"/>
      <c r="AG440" s="40"/>
      <c r="AH440" s="40"/>
      <c r="AI440" s="8"/>
      <c r="AJ440" s="40"/>
      <c r="AK440" s="40"/>
      <c r="AL440" s="40"/>
      <c r="AM440" s="44"/>
      <c r="AN440" s="44"/>
      <c r="AO440" s="41"/>
      <c r="AP440" s="45" t="str">
        <f aca="false">IF(B440="","",IF(AND(ISNUMBER(AM440),ISNUMBER(AN440),AM440&gt;0,AN440&gt;0),AN440/AM440-1,""))</f>
        <v/>
      </c>
      <c r="AQ440" s="9" t="str">
        <f aca="false">IF(I440="","",(YEAR(I440)-IF(MONTH(I440)&lt;4,1,0))&amp;"-"&amp;RIGHT((YEAR(I440)-IF(MONTH(I440)&lt;4,1,0))+1,2))</f>
        <v/>
      </c>
      <c r="AR440" s="9" t="str">
        <f aca="false">IF(J440="","",(YEAR(J440)-IF(MONTH(J440)&lt;4,1,0))&amp;"-"&amp;RIGHT((YEAR(J440)-IF(MONTH(J440)&lt;4,1,0))+1,2))</f>
        <v/>
      </c>
      <c r="AS440" s="43" t="str">
        <f aca="false">IF(OR(B440="",Q440="",D440&lt;&gt;"Active"),"",DATE(YEAR(AsOf)+IF(DATE(YEAR(AsOf),MONTH(Q440),DAY(Q440))&lt;AsOf,1,0),MONTH(Q440),DAY(Q440))-AsOf)</f>
        <v/>
      </c>
      <c r="AT440" s="43" t="str">
        <f aca="false">IF(OR(B440="",I440="",D440&lt;&gt;"Active"),"",IF(YEAR(DATE(YEAR(AsOf)+IF(DATE(YEAR(AsOf),MONTH(I440),DAY(I440))&lt;AsOf,1,0),MONTH(I440),DAY(I440)))-YEAR(I440)&lt;1,"",DATE(YEAR(AsOf)+IF(DATE(YEAR(AsOf),MONTH(I440),DAY(I440))&lt;AsOf,1,0),MONTH(I440),DAY(I440))-AsOf))</f>
        <v/>
      </c>
      <c r="AU440" s="43" t="str">
        <f aca="false">IF(B440="","",IF(AV440="",0,LEN(AV440)-LEN(SUBSTITUTE(AV440,";",""))))</f>
        <v/>
      </c>
      <c r="AV440" s="9" t="str">
        <f aca="false">IF(B440="","",IF(COUNTIF($B$6:$B$505,B440)&gt;1,"Duplicate Emp Code; ","")&amp;IF(C440="","Name missing; ","")&amp;IF(I440="","DOJ missing; ","")&amp;IF(AND(J440&lt;&gt;"",I440&lt;&gt;"",J440&lt;I440),"Exit before DOJ; ","")&amp;IF(Q440="","DOB missing; ","")&amp;IF(T440="","Aadhaar missing; ",IF(LEN(T440)&lt;&gt;12,"Aadhaar not 12 digits; ",IF(COUNTIF($T$6:$T$505,T440)&gt;1,"Duplicate Aadhaar; ","")))&amp;IF(U440="","PAN missing; ",IF(LEN(U440)&lt;&gt;10,"PAN not 10 chars; ",""))&amp;IF(V440="","Mobile missing; ",IF(LEN(V440)&lt;&gt;10,"Mobile not 10 digits; ",""))&amp;IF(AG440="","Bank A/c missing; ","")&amp;IF(AH440="","IFSC missing; ",IF(LEN(AH440)&lt;&gt;11,"IFSC not 11 chars; ","")))</f>
        <v/>
      </c>
      <c r="AW440" s="46" t="str">
        <f aca="false">IF(AS440="","",AS440+ROW()/100000)</f>
        <v/>
      </c>
      <c r="AX440" s="46" t="str">
        <f aca="false">IF(AT440="","",AT440+ROW()/100000)</f>
        <v/>
      </c>
    </row>
    <row r="441" customFormat="false" ht="15" hidden="false" customHeight="false" outlineLevel="0" collapsed="false">
      <c r="A441" s="9" t="str">
        <f aca="false">IF(B441="","",ROW()-5)</f>
        <v/>
      </c>
      <c r="B441" s="40"/>
      <c r="C441" s="8"/>
      <c r="D441" s="9" t="str">
        <f aca="false">IF(B441="","",IF(J441="","Active","Exited"))</f>
        <v/>
      </c>
      <c r="E441" s="8"/>
      <c r="F441" s="8"/>
      <c r="G441" s="8"/>
      <c r="H441" s="9" t="str">
        <f aca="false">IF(OR(B441="",I441=""),"",IF(IF(J441="",AsOf,J441)-I441&gt;=Settings!$C$13,"Permanent","Probation"))</f>
        <v/>
      </c>
      <c r="I441" s="41"/>
      <c r="J441" s="41"/>
      <c r="K441" s="8"/>
      <c r="L441" s="42" t="str">
        <f aca="false">IF(OR(B441="",I441=""),"",ROUND((IF(J441="",AsOf,J441)-I441)/365.25,1))</f>
        <v/>
      </c>
      <c r="M441" s="8"/>
      <c r="N441" s="8"/>
      <c r="O441" s="8"/>
      <c r="P441" s="8"/>
      <c r="Q441" s="41"/>
      <c r="R441" s="43" t="str">
        <f aca="false">IF(OR(B441="",Q441=""),"",INT((AsOf-Q441)/365.25))</f>
        <v/>
      </c>
      <c r="S441" s="8"/>
      <c r="T441" s="40"/>
      <c r="U441" s="40"/>
      <c r="V441" s="40"/>
      <c r="W441" s="40"/>
      <c r="X441" s="8"/>
      <c r="Y441" s="8"/>
      <c r="Z441" s="8"/>
      <c r="AA441" s="8"/>
      <c r="AB441" s="8"/>
      <c r="AC441" s="8"/>
      <c r="AD441" s="8"/>
      <c r="AE441" s="40"/>
      <c r="AF441" s="8"/>
      <c r="AG441" s="40"/>
      <c r="AH441" s="40"/>
      <c r="AI441" s="8"/>
      <c r="AJ441" s="40"/>
      <c r="AK441" s="40"/>
      <c r="AL441" s="40"/>
      <c r="AM441" s="44"/>
      <c r="AN441" s="44"/>
      <c r="AO441" s="41"/>
      <c r="AP441" s="45" t="str">
        <f aca="false">IF(B441="","",IF(AND(ISNUMBER(AM441),ISNUMBER(AN441),AM441&gt;0,AN441&gt;0),AN441/AM441-1,""))</f>
        <v/>
      </c>
      <c r="AQ441" s="9" t="str">
        <f aca="false">IF(I441="","",(YEAR(I441)-IF(MONTH(I441)&lt;4,1,0))&amp;"-"&amp;RIGHT((YEAR(I441)-IF(MONTH(I441)&lt;4,1,0))+1,2))</f>
        <v/>
      </c>
      <c r="AR441" s="9" t="str">
        <f aca="false">IF(J441="","",(YEAR(J441)-IF(MONTH(J441)&lt;4,1,0))&amp;"-"&amp;RIGHT((YEAR(J441)-IF(MONTH(J441)&lt;4,1,0))+1,2))</f>
        <v/>
      </c>
      <c r="AS441" s="43" t="str">
        <f aca="false">IF(OR(B441="",Q441="",D441&lt;&gt;"Active"),"",DATE(YEAR(AsOf)+IF(DATE(YEAR(AsOf),MONTH(Q441),DAY(Q441))&lt;AsOf,1,0),MONTH(Q441),DAY(Q441))-AsOf)</f>
        <v/>
      </c>
      <c r="AT441" s="43" t="str">
        <f aca="false">IF(OR(B441="",I441="",D441&lt;&gt;"Active"),"",IF(YEAR(DATE(YEAR(AsOf)+IF(DATE(YEAR(AsOf),MONTH(I441),DAY(I441))&lt;AsOf,1,0),MONTH(I441),DAY(I441)))-YEAR(I441)&lt;1,"",DATE(YEAR(AsOf)+IF(DATE(YEAR(AsOf),MONTH(I441),DAY(I441))&lt;AsOf,1,0),MONTH(I441),DAY(I441))-AsOf))</f>
        <v/>
      </c>
      <c r="AU441" s="43" t="str">
        <f aca="false">IF(B441="","",IF(AV441="",0,LEN(AV441)-LEN(SUBSTITUTE(AV441,";",""))))</f>
        <v/>
      </c>
      <c r="AV441" s="9" t="str">
        <f aca="false">IF(B441="","",IF(COUNTIF($B$6:$B$505,B441)&gt;1,"Duplicate Emp Code; ","")&amp;IF(C441="","Name missing; ","")&amp;IF(I441="","DOJ missing; ","")&amp;IF(AND(J441&lt;&gt;"",I441&lt;&gt;"",J441&lt;I441),"Exit before DOJ; ","")&amp;IF(Q441="","DOB missing; ","")&amp;IF(T441="","Aadhaar missing; ",IF(LEN(T441)&lt;&gt;12,"Aadhaar not 12 digits; ",IF(COUNTIF($T$6:$T$505,T441)&gt;1,"Duplicate Aadhaar; ","")))&amp;IF(U441="","PAN missing; ",IF(LEN(U441)&lt;&gt;10,"PAN not 10 chars; ",""))&amp;IF(V441="","Mobile missing; ",IF(LEN(V441)&lt;&gt;10,"Mobile not 10 digits; ",""))&amp;IF(AG441="","Bank A/c missing; ","")&amp;IF(AH441="","IFSC missing; ",IF(LEN(AH441)&lt;&gt;11,"IFSC not 11 chars; ","")))</f>
        <v/>
      </c>
      <c r="AW441" s="46" t="str">
        <f aca="false">IF(AS441="","",AS441+ROW()/100000)</f>
        <v/>
      </c>
      <c r="AX441" s="46" t="str">
        <f aca="false">IF(AT441="","",AT441+ROW()/100000)</f>
        <v/>
      </c>
    </row>
    <row r="442" customFormat="false" ht="15" hidden="false" customHeight="false" outlineLevel="0" collapsed="false">
      <c r="A442" s="9" t="str">
        <f aca="false">IF(B442="","",ROW()-5)</f>
        <v/>
      </c>
      <c r="B442" s="40"/>
      <c r="C442" s="8"/>
      <c r="D442" s="9" t="str">
        <f aca="false">IF(B442="","",IF(J442="","Active","Exited"))</f>
        <v/>
      </c>
      <c r="E442" s="8"/>
      <c r="F442" s="8"/>
      <c r="G442" s="8"/>
      <c r="H442" s="9" t="str">
        <f aca="false">IF(OR(B442="",I442=""),"",IF(IF(J442="",AsOf,J442)-I442&gt;=Settings!$C$13,"Permanent","Probation"))</f>
        <v/>
      </c>
      <c r="I442" s="41"/>
      <c r="J442" s="41"/>
      <c r="K442" s="8"/>
      <c r="L442" s="42" t="str">
        <f aca="false">IF(OR(B442="",I442=""),"",ROUND((IF(J442="",AsOf,J442)-I442)/365.25,1))</f>
        <v/>
      </c>
      <c r="M442" s="8"/>
      <c r="N442" s="8"/>
      <c r="O442" s="8"/>
      <c r="P442" s="8"/>
      <c r="Q442" s="41"/>
      <c r="R442" s="43" t="str">
        <f aca="false">IF(OR(B442="",Q442=""),"",INT((AsOf-Q442)/365.25))</f>
        <v/>
      </c>
      <c r="S442" s="8"/>
      <c r="T442" s="40"/>
      <c r="U442" s="40"/>
      <c r="V442" s="40"/>
      <c r="W442" s="40"/>
      <c r="X442" s="8"/>
      <c r="Y442" s="8"/>
      <c r="Z442" s="8"/>
      <c r="AA442" s="8"/>
      <c r="AB442" s="8"/>
      <c r="AC442" s="8"/>
      <c r="AD442" s="8"/>
      <c r="AE442" s="40"/>
      <c r="AF442" s="8"/>
      <c r="AG442" s="40"/>
      <c r="AH442" s="40"/>
      <c r="AI442" s="8"/>
      <c r="AJ442" s="40"/>
      <c r="AK442" s="40"/>
      <c r="AL442" s="40"/>
      <c r="AM442" s="44"/>
      <c r="AN442" s="44"/>
      <c r="AO442" s="41"/>
      <c r="AP442" s="45" t="str">
        <f aca="false">IF(B442="","",IF(AND(ISNUMBER(AM442),ISNUMBER(AN442),AM442&gt;0,AN442&gt;0),AN442/AM442-1,""))</f>
        <v/>
      </c>
      <c r="AQ442" s="9" t="str">
        <f aca="false">IF(I442="","",(YEAR(I442)-IF(MONTH(I442)&lt;4,1,0))&amp;"-"&amp;RIGHT((YEAR(I442)-IF(MONTH(I442)&lt;4,1,0))+1,2))</f>
        <v/>
      </c>
      <c r="AR442" s="9" t="str">
        <f aca="false">IF(J442="","",(YEAR(J442)-IF(MONTH(J442)&lt;4,1,0))&amp;"-"&amp;RIGHT((YEAR(J442)-IF(MONTH(J442)&lt;4,1,0))+1,2))</f>
        <v/>
      </c>
      <c r="AS442" s="43" t="str">
        <f aca="false">IF(OR(B442="",Q442="",D442&lt;&gt;"Active"),"",DATE(YEAR(AsOf)+IF(DATE(YEAR(AsOf),MONTH(Q442),DAY(Q442))&lt;AsOf,1,0),MONTH(Q442),DAY(Q442))-AsOf)</f>
        <v/>
      </c>
      <c r="AT442" s="43" t="str">
        <f aca="false">IF(OR(B442="",I442="",D442&lt;&gt;"Active"),"",IF(YEAR(DATE(YEAR(AsOf)+IF(DATE(YEAR(AsOf),MONTH(I442),DAY(I442))&lt;AsOf,1,0),MONTH(I442),DAY(I442)))-YEAR(I442)&lt;1,"",DATE(YEAR(AsOf)+IF(DATE(YEAR(AsOf),MONTH(I442),DAY(I442))&lt;AsOf,1,0),MONTH(I442),DAY(I442))-AsOf))</f>
        <v/>
      </c>
      <c r="AU442" s="43" t="str">
        <f aca="false">IF(B442="","",IF(AV442="",0,LEN(AV442)-LEN(SUBSTITUTE(AV442,";",""))))</f>
        <v/>
      </c>
      <c r="AV442" s="9" t="str">
        <f aca="false">IF(B442="","",IF(COUNTIF($B$6:$B$505,B442)&gt;1,"Duplicate Emp Code; ","")&amp;IF(C442="","Name missing; ","")&amp;IF(I442="","DOJ missing; ","")&amp;IF(AND(J442&lt;&gt;"",I442&lt;&gt;"",J442&lt;I442),"Exit before DOJ; ","")&amp;IF(Q442="","DOB missing; ","")&amp;IF(T442="","Aadhaar missing; ",IF(LEN(T442)&lt;&gt;12,"Aadhaar not 12 digits; ",IF(COUNTIF($T$6:$T$505,T442)&gt;1,"Duplicate Aadhaar; ","")))&amp;IF(U442="","PAN missing; ",IF(LEN(U442)&lt;&gt;10,"PAN not 10 chars; ",""))&amp;IF(V442="","Mobile missing; ",IF(LEN(V442)&lt;&gt;10,"Mobile not 10 digits; ",""))&amp;IF(AG442="","Bank A/c missing; ","")&amp;IF(AH442="","IFSC missing; ",IF(LEN(AH442)&lt;&gt;11,"IFSC not 11 chars; ","")))</f>
        <v/>
      </c>
      <c r="AW442" s="46" t="str">
        <f aca="false">IF(AS442="","",AS442+ROW()/100000)</f>
        <v/>
      </c>
      <c r="AX442" s="46" t="str">
        <f aca="false">IF(AT442="","",AT442+ROW()/100000)</f>
        <v/>
      </c>
    </row>
    <row r="443" customFormat="false" ht="15" hidden="false" customHeight="false" outlineLevel="0" collapsed="false">
      <c r="A443" s="9" t="str">
        <f aca="false">IF(B443="","",ROW()-5)</f>
        <v/>
      </c>
      <c r="B443" s="40"/>
      <c r="C443" s="8"/>
      <c r="D443" s="9" t="str">
        <f aca="false">IF(B443="","",IF(J443="","Active","Exited"))</f>
        <v/>
      </c>
      <c r="E443" s="8"/>
      <c r="F443" s="8"/>
      <c r="G443" s="8"/>
      <c r="H443" s="9" t="str">
        <f aca="false">IF(OR(B443="",I443=""),"",IF(IF(J443="",AsOf,J443)-I443&gt;=Settings!$C$13,"Permanent","Probation"))</f>
        <v/>
      </c>
      <c r="I443" s="41"/>
      <c r="J443" s="41"/>
      <c r="K443" s="8"/>
      <c r="L443" s="42" t="str">
        <f aca="false">IF(OR(B443="",I443=""),"",ROUND((IF(J443="",AsOf,J443)-I443)/365.25,1))</f>
        <v/>
      </c>
      <c r="M443" s="8"/>
      <c r="N443" s="8"/>
      <c r="O443" s="8"/>
      <c r="P443" s="8"/>
      <c r="Q443" s="41"/>
      <c r="R443" s="43" t="str">
        <f aca="false">IF(OR(B443="",Q443=""),"",INT((AsOf-Q443)/365.25))</f>
        <v/>
      </c>
      <c r="S443" s="8"/>
      <c r="T443" s="40"/>
      <c r="U443" s="40"/>
      <c r="V443" s="40"/>
      <c r="W443" s="40"/>
      <c r="X443" s="8"/>
      <c r="Y443" s="8"/>
      <c r="Z443" s="8"/>
      <c r="AA443" s="8"/>
      <c r="AB443" s="8"/>
      <c r="AC443" s="8"/>
      <c r="AD443" s="8"/>
      <c r="AE443" s="40"/>
      <c r="AF443" s="8"/>
      <c r="AG443" s="40"/>
      <c r="AH443" s="40"/>
      <c r="AI443" s="8"/>
      <c r="AJ443" s="40"/>
      <c r="AK443" s="40"/>
      <c r="AL443" s="40"/>
      <c r="AM443" s="44"/>
      <c r="AN443" s="44"/>
      <c r="AO443" s="41"/>
      <c r="AP443" s="45" t="str">
        <f aca="false">IF(B443="","",IF(AND(ISNUMBER(AM443),ISNUMBER(AN443),AM443&gt;0,AN443&gt;0),AN443/AM443-1,""))</f>
        <v/>
      </c>
      <c r="AQ443" s="9" t="str">
        <f aca="false">IF(I443="","",(YEAR(I443)-IF(MONTH(I443)&lt;4,1,0))&amp;"-"&amp;RIGHT((YEAR(I443)-IF(MONTH(I443)&lt;4,1,0))+1,2))</f>
        <v/>
      </c>
      <c r="AR443" s="9" t="str">
        <f aca="false">IF(J443="","",(YEAR(J443)-IF(MONTH(J443)&lt;4,1,0))&amp;"-"&amp;RIGHT((YEAR(J443)-IF(MONTH(J443)&lt;4,1,0))+1,2))</f>
        <v/>
      </c>
      <c r="AS443" s="43" t="str">
        <f aca="false">IF(OR(B443="",Q443="",D443&lt;&gt;"Active"),"",DATE(YEAR(AsOf)+IF(DATE(YEAR(AsOf),MONTH(Q443),DAY(Q443))&lt;AsOf,1,0),MONTH(Q443),DAY(Q443))-AsOf)</f>
        <v/>
      </c>
      <c r="AT443" s="43" t="str">
        <f aca="false">IF(OR(B443="",I443="",D443&lt;&gt;"Active"),"",IF(YEAR(DATE(YEAR(AsOf)+IF(DATE(YEAR(AsOf),MONTH(I443),DAY(I443))&lt;AsOf,1,0),MONTH(I443),DAY(I443)))-YEAR(I443)&lt;1,"",DATE(YEAR(AsOf)+IF(DATE(YEAR(AsOf),MONTH(I443),DAY(I443))&lt;AsOf,1,0),MONTH(I443),DAY(I443))-AsOf))</f>
        <v/>
      </c>
      <c r="AU443" s="43" t="str">
        <f aca="false">IF(B443="","",IF(AV443="",0,LEN(AV443)-LEN(SUBSTITUTE(AV443,";",""))))</f>
        <v/>
      </c>
      <c r="AV443" s="9" t="str">
        <f aca="false">IF(B443="","",IF(COUNTIF($B$6:$B$505,B443)&gt;1,"Duplicate Emp Code; ","")&amp;IF(C443="","Name missing; ","")&amp;IF(I443="","DOJ missing; ","")&amp;IF(AND(J443&lt;&gt;"",I443&lt;&gt;"",J443&lt;I443),"Exit before DOJ; ","")&amp;IF(Q443="","DOB missing; ","")&amp;IF(T443="","Aadhaar missing; ",IF(LEN(T443)&lt;&gt;12,"Aadhaar not 12 digits; ",IF(COUNTIF($T$6:$T$505,T443)&gt;1,"Duplicate Aadhaar; ","")))&amp;IF(U443="","PAN missing; ",IF(LEN(U443)&lt;&gt;10,"PAN not 10 chars; ",""))&amp;IF(V443="","Mobile missing; ",IF(LEN(V443)&lt;&gt;10,"Mobile not 10 digits; ",""))&amp;IF(AG443="","Bank A/c missing; ","")&amp;IF(AH443="","IFSC missing; ",IF(LEN(AH443)&lt;&gt;11,"IFSC not 11 chars; ","")))</f>
        <v/>
      </c>
      <c r="AW443" s="46" t="str">
        <f aca="false">IF(AS443="","",AS443+ROW()/100000)</f>
        <v/>
      </c>
      <c r="AX443" s="46" t="str">
        <f aca="false">IF(AT443="","",AT443+ROW()/100000)</f>
        <v/>
      </c>
    </row>
    <row r="444" customFormat="false" ht="15" hidden="false" customHeight="false" outlineLevel="0" collapsed="false">
      <c r="A444" s="9" t="str">
        <f aca="false">IF(B444="","",ROW()-5)</f>
        <v/>
      </c>
      <c r="B444" s="40"/>
      <c r="C444" s="8"/>
      <c r="D444" s="9" t="str">
        <f aca="false">IF(B444="","",IF(J444="","Active","Exited"))</f>
        <v/>
      </c>
      <c r="E444" s="8"/>
      <c r="F444" s="8"/>
      <c r="G444" s="8"/>
      <c r="H444" s="9" t="str">
        <f aca="false">IF(OR(B444="",I444=""),"",IF(IF(J444="",AsOf,J444)-I444&gt;=Settings!$C$13,"Permanent","Probation"))</f>
        <v/>
      </c>
      <c r="I444" s="41"/>
      <c r="J444" s="41"/>
      <c r="K444" s="8"/>
      <c r="L444" s="42" t="str">
        <f aca="false">IF(OR(B444="",I444=""),"",ROUND((IF(J444="",AsOf,J444)-I444)/365.25,1))</f>
        <v/>
      </c>
      <c r="M444" s="8"/>
      <c r="N444" s="8"/>
      <c r="O444" s="8"/>
      <c r="P444" s="8"/>
      <c r="Q444" s="41"/>
      <c r="R444" s="43" t="str">
        <f aca="false">IF(OR(B444="",Q444=""),"",INT((AsOf-Q444)/365.25))</f>
        <v/>
      </c>
      <c r="S444" s="8"/>
      <c r="T444" s="40"/>
      <c r="U444" s="40"/>
      <c r="V444" s="40"/>
      <c r="W444" s="40"/>
      <c r="X444" s="8"/>
      <c r="Y444" s="8"/>
      <c r="Z444" s="8"/>
      <c r="AA444" s="8"/>
      <c r="AB444" s="8"/>
      <c r="AC444" s="8"/>
      <c r="AD444" s="8"/>
      <c r="AE444" s="40"/>
      <c r="AF444" s="8"/>
      <c r="AG444" s="40"/>
      <c r="AH444" s="40"/>
      <c r="AI444" s="8"/>
      <c r="AJ444" s="40"/>
      <c r="AK444" s="40"/>
      <c r="AL444" s="40"/>
      <c r="AM444" s="44"/>
      <c r="AN444" s="44"/>
      <c r="AO444" s="41"/>
      <c r="AP444" s="45" t="str">
        <f aca="false">IF(B444="","",IF(AND(ISNUMBER(AM444),ISNUMBER(AN444),AM444&gt;0,AN444&gt;0),AN444/AM444-1,""))</f>
        <v/>
      </c>
      <c r="AQ444" s="9" t="str">
        <f aca="false">IF(I444="","",(YEAR(I444)-IF(MONTH(I444)&lt;4,1,0))&amp;"-"&amp;RIGHT((YEAR(I444)-IF(MONTH(I444)&lt;4,1,0))+1,2))</f>
        <v/>
      </c>
      <c r="AR444" s="9" t="str">
        <f aca="false">IF(J444="","",(YEAR(J444)-IF(MONTH(J444)&lt;4,1,0))&amp;"-"&amp;RIGHT((YEAR(J444)-IF(MONTH(J444)&lt;4,1,0))+1,2))</f>
        <v/>
      </c>
      <c r="AS444" s="43" t="str">
        <f aca="false">IF(OR(B444="",Q444="",D444&lt;&gt;"Active"),"",DATE(YEAR(AsOf)+IF(DATE(YEAR(AsOf),MONTH(Q444),DAY(Q444))&lt;AsOf,1,0),MONTH(Q444),DAY(Q444))-AsOf)</f>
        <v/>
      </c>
      <c r="AT444" s="43" t="str">
        <f aca="false">IF(OR(B444="",I444="",D444&lt;&gt;"Active"),"",IF(YEAR(DATE(YEAR(AsOf)+IF(DATE(YEAR(AsOf),MONTH(I444),DAY(I444))&lt;AsOf,1,0),MONTH(I444),DAY(I444)))-YEAR(I444)&lt;1,"",DATE(YEAR(AsOf)+IF(DATE(YEAR(AsOf),MONTH(I444),DAY(I444))&lt;AsOf,1,0),MONTH(I444),DAY(I444))-AsOf))</f>
        <v/>
      </c>
      <c r="AU444" s="43" t="str">
        <f aca="false">IF(B444="","",IF(AV444="",0,LEN(AV444)-LEN(SUBSTITUTE(AV444,";",""))))</f>
        <v/>
      </c>
      <c r="AV444" s="9" t="str">
        <f aca="false">IF(B444="","",IF(COUNTIF($B$6:$B$505,B444)&gt;1,"Duplicate Emp Code; ","")&amp;IF(C444="","Name missing; ","")&amp;IF(I444="","DOJ missing; ","")&amp;IF(AND(J444&lt;&gt;"",I444&lt;&gt;"",J444&lt;I444),"Exit before DOJ; ","")&amp;IF(Q444="","DOB missing; ","")&amp;IF(T444="","Aadhaar missing; ",IF(LEN(T444)&lt;&gt;12,"Aadhaar not 12 digits; ",IF(COUNTIF($T$6:$T$505,T444)&gt;1,"Duplicate Aadhaar; ","")))&amp;IF(U444="","PAN missing; ",IF(LEN(U444)&lt;&gt;10,"PAN not 10 chars; ",""))&amp;IF(V444="","Mobile missing; ",IF(LEN(V444)&lt;&gt;10,"Mobile not 10 digits; ",""))&amp;IF(AG444="","Bank A/c missing; ","")&amp;IF(AH444="","IFSC missing; ",IF(LEN(AH444)&lt;&gt;11,"IFSC not 11 chars; ","")))</f>
        <v/>
      </c>
      <c r="AW444" s="46" t="str">
        <f aca="false">IF(AS444="","",AS444+ROW()/100000)</f>
        <v/>
      </c>
      <c r="AX444" s="46" t="str">
        <f aca="false">IF(AT444="","",AT444+ROW()/100000)</f>
        <v/>
      </c>
    </row>
    <row r="445" customFormat="false" ht="15" hidden="false" customHeight="false" outlineLevel="0" collapsed="false">
      <c r="A445" s="9" t="str">
        <f aca="false">IF(B445="","",ROW()-5)</f>
        <v/>
      </c>
      <c r="B445" s="40"/>
      <c r="C445" s="8"/>
      <c r="D445" s="9" t="str">
        <f aca="false">IF(B445="","",IF(J445="","Active","Exited"))</f>
        <v/>
      </c>
      <c r="E445" s="8"/>
      <c r="F445" s="8"/>
      <c r="G445" s="8"/>
      <c r="H445" s="9" t="str">
        <f aca="false">IF(OR(B445="",I445=""),"",IF(IF(J445="",AsOf,J445)-I445&gt;=Settings!$C$13,"Permanent","Probation"))</f>
        <v/>
      </c>
      <c r="I445" s="41"/>
      <c r="J445" s="41"/>
      <c r="K445" s="8"/>
      <c r="L445" s="42" t="str">
        <f aca="false">IF(OR(B445="",I445=""),"",ROUND((IF(J445="",AsOf,J445)-I445)/365.25,1))</f>
        <v/>
      </c>
      <c r="M445" s="8"/>
      <c r="N445" s="8"/>
      <c r="O445" s="8"/>
      <c r="P445" s="8"/>
      <c r="Q445" s="41"/>
      <c r="R445" s="43" t="str">
        <f aca="false">IF(OR(B445="",Q445=""),"",INT((AsOf-Q445)/365.25))</f>
        <v/>
      </c>
      <c r="S445" s="8"/>
      <c r="T445" s="40"/>
      <c r="U445" s="40"/>
      <c r="V445" s="40"/>
      <c r="W445" s="40"/>
      <c r="X445" s="8"/>
      <c r="Y445" s="8"/>
      <c r="Z445" s="8"/>
      <c r="AA445" s="8"/>
      <c r="AB445" s="8"/>
      <c r="AC445" s="8"/>
      <c r="AD445" s="8"/>
      <c r="AE445" s="40"/>
      <c r="AF445" s="8"/>
      <c r="AG445" s="40"/>
      <c r="AH445" s="40"/>
      <c r="AI445" s="8"/>
      <c r="AJ445" s="40"/>
      <c r="AK445" s="40"/>
      <c r="AL445" s="40"/>
      <c r="AM445" s="44"/>
      <c r="AN445" s="44"/>
      <c r="AO445" s="41"/>
      <c r="AP445" s="45" t="str">
        <f aca="false">IF(B445="","",IF(AND(ISNUMBER(AM445),ISNUMBER(AN445),AM445&gt;0,AN445&gt;0),AN445/AM445-1,""))</f>
        <v/>
      </c>
      <c r="AQ445" s="9" t="str">
        <f aca="false">IF(I445="","",(YEAR(I445)-IF(MONTH(I445)&lt;4,1,0))&amp;"-"&amp;RIGHT((YEAR(I445)-IF(MONTH(I445)&lt;4,1,0))+1,2))</f>
        <v/>
      </c>
      <c r="AR445" s="9" t="str">
        <f aca="false">IF(J445="","",(YEAR(J445)-IF(MONTH(J445)&lt;4,1,0))&amp;"-"&amp;RIGHT((YEAR(J445)-IF(MONTH(J445)&lt;4,1,0))+1,2))</f>
        <v/>
      </c>
      <c r="AS445" s="43" t="str">
        <f aca="false">IF(OR(B445="",Q445="",D445&lt;&gt;"Active"),"",DATE(YEAR(AsOf)+IF(DATE(YEAR(AsOf),MONTH(Q445),DAY(Q445))&lt;AsOf,1,0),MONTH(Q445),DAY(Q445))-AsOf)</f>
        <v/>
      </c>
      <c r="AT445" s="43" t="str">
        <f aca="false">IF(OR(B445="",I445="",D445&lt;&gt;"Active"),"",IF(YEAR(DATE(YEAR(AsOf)+IF(DATE(YEAR(AsOf),MONTH(I445),DAY(I445))&lt;AsOf,1,0),MONTH(I445),DAY(I445)))-YEAR(I445)&lt;1,"",DATE(YEAR(AsOf)+IF(DATE(YEAR(AsOf),MONTH(I445),DAY(I445))&lt;AsOf,1,0),MONTH(I445),DAY(I445))-AsOf))</f>
        <v/>
      </c>
      <c r="AU445" s="43" t="str">
        <f aca="false">IF(B445="","",IF(AV445="",0,LEN(AV445)-LEN(SUBSTITUTE(AV445,";",""))))</f>
        <v/>
      </c>
      <c r="AV445" s="9" t="str">
        <f aca="false">IF(B445="","",IF(COUNTIF($B$6:$B$505,B445)&gt;1,"Duplicate Emp Code; ","")&amp;IF(C445="","Name missing; ","")&amp;IF(I445="","DOJ missing; ","")&amp;IF(AND(J445&lt;&gt;"",I445&lt;&gt;"",J445&lt;I445),"Exit before DOJ; ","")&amp;IF(Q445="","DOB missing; ","")&amp;IF(T445="","Aadhaar missing; ",IF(LEN(T445)&lt;&gt;12,"Aadhaar not 12 digits; ",IF(COUNTIF($T$6:$T$505,T445)&gt;1,"Duplicate Aadhaar; ","")))&amp;IF(U445="","PAN missing; ",IF(LEN(U445)&lt;&gt;10,"PAN not 10 chars; ",""))&amp;IF(V445="","Mobile missing; ",IF(LEN(V445)&lt;&gt;10,"Mobile not 10 digits; ",""))&amp;IF(AG445="","Bank A/c missing; ","")&amp;IF(AH445="","IFSC missing; ",IF(LEN(AH445)&lt;&gt;11,"IFSC not 11 chars; ","")))</f>
        <v/>
      </c>
      <c r="AW445" s="46" t="str">
        <f aca="false">IF(AS445="","",AS445+ROW()/100000)</f>
        <v/>
      </c>
      <c r="AX445" s="46" t="str">
        <f aca="false">IF(AT445="","",AT445+ROW()/100000)</f>
        <v/>
      </c>
    </row>
    <row r="446" customFormat="false" ht="15" hidden="false" customHeight="false" outlineLevel="0" collapsed="false">
      <c r="A446" s="9" t="str">
        <f aca="false">IF(B446="","",ROW()-5)</f>
        <v/>
      </c>
      <c r="B446" s="40"/>
      <c r="C446" s="8"/>
      <c r="D446" s="9" t="str">
        <f aca="false">IF(B446="","",IF(J446="","Active","Exited"))</f>
        <v/>
      </c>
      <c r="E446" s="8"/>
      <c r="F446" s="8"/>
      <c r="G446" s="8"/>
      <c r="H446" s="9" t="str">
        <f aca="false">IF(OR(B446="",I446=""),"",IF(IF(J446="",AsOf,J446)-I446&gt;=Settings!$C$13,"Permanent","Probation"))</f>
        <v/>
      </c>
      <c r="I446" s="41"/>
      <c r="J446" s="41"/>
      <c r="K446" s="8"/>
      <c r="L446" s="42" t="str">
        <f aca="false">IF(OR(B446="",I446=""),"",ROUND((IF(J446="",AsOf,J446)-I446)/365.25,1))</f>
        <v/>
      </c>
      <c r="M446" s="8"/>
      <c r="N446" s="8"/>
      <c r="O446" s="8"/>
      <c r="P446" s="8"/>
      <c r="Q446" s="41"/>
      <c r="R446" s="43" t="str">
        <f aca="false">IF(OR(B446="",Q446=""),"",INT((AsOf-Q446)/365.25))</f>
        <v/>
      </c>
      <c r="S446" s="8"/>
      <c r="T446" s="40"/>
      <c r="U446" s="40"/>
      <c r="V446" s="40"/>
      <c r="W446" s="40"/>
      <c r="X446" s="8"/>
      <c r="Y446" s="8"/>
      <c r="Z446" s="8"/>
      <c r="AA446" s="8"/>
      <c r="AB446" s="8"/>
      <c r="AC446" s="8"/>
      <c r="AD446" s="8"/>
      <c r="AE446" s="40"/>
      <c r="AF446" s="8"/>
      <c r="AG446" s="40"/>
      <c r="AH446" s="40"/>
      <c r="AI446" s="8"/>
      <c r="AJ446" s="40"/>
      <c r="AK446" s="40"/>
      <c r="AL446" s="40"/>
      <c r="AM446" s="44"/>
      <c r="AN446" s="44"/>
      <c r="AO446" s="41"/>
      <c r="AP446" s="45" t="str">
        <f aca="false">IF(B446="","",IF(AND(ISNUMBER(AM446),ISNUMBER(AN446),AM446&gt;0,AN446&gt;0),AN446/AM446-1,""))</f>
        <v/>
      </c>
      <c r="AQ446" s="9" t="str">
        <f aca="false">IF(I446="","",(YEAR(I446)-IF(MONTH(I446)&lt;4,1,0))&amp;"-"&amp;RIGHT((YEAR(I446)-IF(MONTH(I446)&lt;4,1,0))+1,2))</f>
        <v/>
      </c>
      <c r="AR446" s="9" t="str">
        <f aca="false">IF(J446="","",(YEAR(J446)-IF(MONTH(J446)&lt;4,1,0))&amp;"-"&amp;RIGHT((YEAR(J446)-IF(MONTH(J446)&lt;4,1,0))+1,2))</f>
        <v/>
      </c>
      <c r="AS446" s="43" t="str">
        <f aca="false">IF(OR(B446="",Q446="",D446&lt;&gt;"Active"),"",DATE(YEAR(AsOf)+IF(DATE(YEAR(AsOf),MONTH(Q446),DAY(Q446))&lt;AsOf,1,0),MONTH(Q446),DAY(Q446))-AsOf)</f>
        <v/>
      </c>
      <c r="AT446" s="43" t="str">
        <f aca="false">IF(OR(B446="",I446="",D446&lt;&gt;"Active"),"",IF(YEAR(DATE(YEAR(AsOf)+IF(DATE(YEAR(AsOf),MONTH(I446),DAY(I446))&lt;AsOf,1,0),MONTH(I446),DAY(I446)))-YEAR(I446)&lt;1,"",DATE(YEAR(AsOf)+IF(DATE(YEAR(AsOf),MONTH(I446),DAY(I446))&lt;AsOf,1,0),MONTH(I446),DAY(I446))-AsOf))</f>
        <v/>
      </c>
      <c r="AU446" s="43" t="str">
        <f aca="false">IF(B446="","",IF(AV446="",0,LEN(AV446)-LEN(SUBSTITUTE(AV446,";",""))))</f>
        <v/>
      </c>
      <c r="AV446" s="9" t="str">
        <f aca="false">IF(B446="","",IF(COUNTIF($B$6:$B$505,B446)&gt;1,"Duplicate Emp Code; ","")&amp;IF(C446="","Name missing; ","")&amp;IF(I446="","DOJ missing; ","")&amp;IF(AND(J446&lt;&gt;"",I446&lt;&gt;"",J446&lt;I446),"Exit before DOJ; ","")&amp;IF(Q446="","DOB missing; ","")&amp;IF(T446="","Aadhaar missing; ",IF(LEN(T446)&lt;&gt;12,"Aadhaar not 12 digits; ",IF(COUNTIF($T$6:$T$505,T446)&gt;1,"Duplicate Aadhaar; ","")))&amp;IF(U446="","PAN missing; ",IF(LEN(U446)&lt;&gt;10,"PAN not 10 chars; ",""))&amp;IF(V446="","Mobile missing; ",IF(LEN(V446)&lt;&gt;10,"Mobile not 10 digits; ",""))&amp;IF(AG446="","Bank A/c missing; ","")&amp;IF(AH446="","IFSC missing; ",IF(LEN(AH446)&lt;&gt;11,"IFSC not 11 chars; ","")))</f>
        <v/>
      </c>
      <c r="AW446" s="46" t="str">
        <f aca="false">IF(AS446="","",AS446+ROW()/100000)</f>
        <v/>
      </c>
      <c r="AX446" s="46" t="str">
        <f aca="false">IF(AT446="","",AT446+ROW()/100000)</f>
        <v/>
      </c>
    </row>
    <row r="447" customFormat="false" ht="15" hidden="false" customHeight="false" outlineLevel="0" collapsed="false">
      <c r="A447" s="9" t="str">
        <f aca="false">IF(B447="","",ROW()-5)</f>
        <v/>
      </c>
      <c r="B447" s="40"/>
      <c r="C447" s="8"/>
      <c r="D447" s="9" t="str">
        <f aca="false">IF(B447="","",IF(J447="","Active","Exited"))</f>
        <v/>
      </c>
      <c r="E447" s="8"/>
      <c r="F447" s="8"/>
      <c r="G447" s="8"/>
      <c r="H447" s="9" t="str">
        <f aca="false">IF(OR(B447="",I447=""),"",IF(IF(J447="",AsOf,J447)-I447&gt;=Settings!$C$13,"Permanent","Probation"))</f>
        <v/>
      </c>
      <c r="I447" s="41"/>
      <c r="J447" s="41"/>
      <c r="K447" s="8"/>
      <c r="L447" s="42" t="str">
        <f aca="false">IF(OR(B447="",I447=""),"",ROUND((IF(J447="",AsOf,J447)-I447)/365.25,1))</f>
        <v/>
      </c>
      <c r="M447" s="8"/>
      <c r="N447" s="8"/>
      <c r="O447" s="8"/>
      <c r="P447" s="8"/>
      <c r="Q447" s="41"/>
      <c r="R447" s="43" t="str">
        <f aca="false">IF(OR(B447="",Q447=""),"",INT((AsOf-Q447)/365.25))</f>
        <v/>
      </c>
      <c r="S447" s="8"/>
      <c r="T447" s="40"/>
      <c r="U447" s="40"/>
      <c r="V447" s="40"/>
      <c r="W447" s="40"/>
      <c r="X447" s="8"/>
      <c r="Y447" s="8"/>
      <c r="Z447" s="8"/>
      <c r="AA447" s="8"/>
      <c r="AB447" s="8"/>
      <c r="AC447" s="8"/>
      <c r="AD447" s="8"/>
      <c r="AE447" s="40"/>
      <c r="AF447" s="8"/>
      <c r="AG447" s="40"/>
      <c r="AH447" s="40"/>
      <c r="AI447" s="8"/>
      <c r="AJ447" s="40"/>
      <c r="AK447" s="40"/>
      <c r="AL447" s="40"/>
      <c r="AM447" s="44"/>
      <c r="AN447" s="44"/>
      <c r="AO447" s="41"/>
      <c r="AP447" s="45" t="str">
        <f aca="false">IF(B447="","",IF(AND(ISNUMBER(AM447),ISNUMBER(AN447),AM447&gt;0,AN447&gt;0),AN447/AM447-1,""))</f>
        <v/>
      </c>
      <c r="AQ447" s="9" t="str">
        <f aca="false">IF(I447="","",(YEAR(I447)-IF(MONTH(I447)&lt;4,1,0))&amp;"-"&amp;RIGHT((YEAR(I447)-IF(MONTH(I447)&lt;4,1,0))+1,2))</f>
        <v/>
      </c>
      <c r="AR447" s="9" t="str">
        <f aca="false">IF(J447="","",(YEAR(J447)-IF(MONTH(J447)&lt;4,1,0))&amp;"-"&amp;RIGHT((YEAR(J447)-IF(MONTH(J447)&lt;4,1,0))+1,2))</f>
        <v/>
      </c>
      <c r="AS447" s="43" t="str">
        <f aca="false">IF(OR(B447="",Q447="",D447&lt;&gt;"Active"),"",DATE(YEAR(AsOf)+IF(DATE(YEAR(AsOf),MONTH(Q447),DAY(Q447))&lt;AsOf,1,0),MONTH(Q447),DAY(Q447))-AsOf)</f>
        <v/>
      </c>
      <c r="AT447" s="43" t="str">
        <f aca="false">IF(OR(B447="",I447="",D447&lt;&gt;"Active"),"",IF(YEAR(DATE(YEAR(AsOf)+IF(DATE(YEAR(AsOf),MONTH(I447),DAY(I447))&lt;AsOf,1,0),MONTH(I447),DAY(I447)))-YEAR(I447)&lt;1,"",DATE(YEAR(AsOf)+IF(DATE(YEAR(AsOf),MONTH(I447),DAY(I447))&lt;AsOf,1,0),MONTH(I447),DAY(I447))-AsOf))</f>
        <v/>
      </c>
      <c r="AU447" s="43" t="str">
        <f aca="false">IF(B447="","",IF(AV447="",0,LEN(AV447)-LEN(SUBSTITUTE(AV447,";",""))))</f>
        <v/>
      </c>
      <c r="AV447" s="9" t="str">
        <f aca="false">IF(B447="","",IF(COUNTIF($B$6:$B$505,B447)&gt;1,"Duplicate Emp Code; ","")&amp;IF(C447="","Name missing; ","")&amp;IF(I447="","DOJ missing; ","")&amp;IF(AND(J447&lt;&gt;"",I447&lt;&gt;"",J447&lt;I447),"Exit before DOJ; ","")&amp;IF(Q447="","DOB missing; ","")&amp;IF(T447="","Aadhaar missing; ",IF(LEN(T447)&lt;&gt;12,"Aadhaar not 12 digits; ",IF(COUNTIF($T$6:$T$505,T447)&gt;1,"Duplicate Aadhaar; ","")))&amp;IF(U447="","PAN missing; ",IF(LEN(U447)&lt;&gt;10,"PAN not 10 chars; ",""))&amp;IF(V447="","Mobile missing; ",IF(LEN(V447)&lt;&gt;10,"Mobile not 10 digits; ",""))&amp;IF(AG447="","Bank A/c missing; ","")&amp;IF(AH447="","IFSC missing; ",IF(LEN(AH447)&lt;&gt;11,"IFSC not 11 chars; ","")))</f>
        <v/>
      </c>
      <c r="AW447" s="46" t="str">
        <f aca="false">IF(AS447="","",AS447+ROW()/100000)</f>
        <v/>
      </c>
      <c r="AX447" s="46" t="str">
        <f aca="false">IF(AT447="","",AT447+ROW()/100000)</f>
        <v/>
      </c>
    </row>
    <row r="448" customFormat="false" ht="15" hidden="false" customHeight="false" outlineLevel="0" collapsed="false">
      <c r="A448" s="9" t="str">
        <f aca="false">IF(B448="","",ROW()-5)</f>
        <v/>
      </c>
      <c r="B448" s="40"/>
      <c r="C448" s="8"/>
      <c r="D448" s="9" t="str">
        <f aca="false">IF(B448="","",IF(J448="","Active","Exited"))</f>
        <v/>
      </c>
      <c r="E448" s="8"/>
      <c r="F448" s="8"/>
      <c r="G448" s="8"/>
      <c r="H448" s="9" t="str">
        <f aca="false">IF(OR(B448="",I448=""),"",IF(IF(J448="",AsOf,J448)-I448&gt;=Settings!$C$13,"Permanent","Probation"))</f>
        <v/>
      </c>
      <c r="I448" s="41"/>
      <c r="J448" s="41"/>
      <c r="K448" s="8"/>
      <c r="L448" s="42" t="str">
        <f aca="false">IF(OR(B448="",I448=""),"",ROUND((IF(J448="",AsOf,J448)-I448)/365.25,1))</f>
        <v/>
      </c>
      <c r="M448" s="8"/>
      <c r="N448" s="8"/>
      <c r="O448" s="8"/>
      <c r="P448" s="8"/>
      <c r="Q448" s="41"/>
      <c r="R448" s="43" t="str">
        <f aca="false">IF(OR(B448="",Q448=""),"",INT((AsOf-Q448)/365.25))</f>
        <v/>
      </c>
      <c r="S448" s="8"/>
      <c r="T448" s="40"/>
      <c r="U448" s="40"/>
      <c r="V448" s="40"/>
      <c r="W448" s="40"/>
      <c r="X448" s="8"/>
      <c r="Y448" s="8"/>
      <c r="Z448" s="8"/>
      <c r="AA448" s="8"/>
      <c r="AB448" s="8"/>
      <c r="AC448" s="8"/>
      <c r="AD448" s="8"/>
      <c r="AE448" s="40"/>
      <c r="AF448" s="8"/>
      <c r="AG448" s="40"/>
      <c r="AH448" s="40"/>
      <c r="AI448" s="8"/>
      <c r="AJ448" s="40"/>
      <c r="AK448" s="40"/>
      <c r="AL448" s="40"/>
      <c r="AM448" s="44"/>
      <c r="AN448" s="44"/>
      <c r="AO448" s="41"/>
      <c r="AP448" s="45" t="str">
        <f aca="false">IF(B448="","",IF(AND(ISNUMBER(AM448),ISNUMBER(AN448),AM448&gt;0,AN448&gt;0),AN448/AM448-1,""))</f>
        <v/>
      </c>
      <c r="AQ448" s="9" t="str">
        <f aca="false">IF(I448="","",(YEAR(I448)-IF(MONTH(I448)&lt;4,1,0))&amp;"-"&amp;RIGHT((YEAR(I448)-IF(MONTH(I448)&lt;4,1,0))+1,2))</f>
        <v/>
      </c>
      <c r="AR448" s="9" t="str">
        <f aca="false">IF(J448="","",(YEAR(J448)-IF(MONTH(J448)&lt;4,1,0))&amp;"-"&amp;RIGHT((YEAR(J448)-IF(MONTH(J448)&lt;4,1,0))+1,2))</f>
        <v/>
      </c>
      <c r="AS448" s="43" t="str">
        <f aca="false">IF(OR(B448="",Q448="",D448&lt;&gt;"Active"),"",DATE(YEAR(AsOf)+IF(DATE(YEAR(AsOf),MONTH(Q448),DAY(Q448))&lt;AsOf,1,0),MONTH(Q448),DAY(Q448))-AsOf)</f>
        <v/>
      </c>
      <c r="AT448" s="43" t="str">
        <f aca="false">IF(OR(B448="",I448="",D448&lt;&gt;"Active"),"",IF(YEAR(DATE(YEAR(AsOf)+IF(DATE(YEAR(AsOf),MONTH(I448),DAY(I448))&lt;AsOf,1,0),MONTH(I448),DAY(I448)))-YEAR(I448)&lt;1,"",DATE(YEAR(AsOf)+IF(DATE(YEAR(AsOf),MONTH(I448),DAY(I448))&lt;AsOf,1,0),MONTH(I448),DAY(I448))-AsOf))</f>
        <v/>
      </c>
      <c r="AU448" s="43" t="str">
        <f aca="false">IF(B448="","",IF(AV448="",0,LEN(AV448)-LEN(SUBSTITUTE(AV448,";",""))))</f>
        <v/>
      </c>
      <c r="AV448" s="9" t="str">
        <f aca="false">IF(B448="","",IF(COUNTIF($B$6:$B$505,B448)&gt;1,"Duplicate Emp Code; ","")&amp;IF(C448="","Name missing; ","")&amp;IF(I448="","DOJ missing; ","")&amp;IF(AND(J448&lt;&gt;"",I448&lt;&gt;"",J448&lt;I448),"Exit before DOJ; ","")&amp;IF(Q448="","DOB missing; ","")&amp;IF(T448="","Aadhaar missing; ",IF(LEN(T448)&lt;&gt;12,"Aadhaar not 12 digits; ",IF(COUNTIF($T$6:$T$505,T448)&gt;1,"Duplicate Aadhaar; ","")))&amp;IF(U448="","PAN missing; ",IF(LEN(U448)&lt;&gt;10,"PAN not 10 chars; ",""))&amp;IF(V448="","Mobile missing; ",IF(LEN(V448)&lt;&gt;10,"Mobile not 10 digits; ",""))&amp;IF(AG448="","Bank A/c missing; ","")&amp;IF(AH448="","IFSC missing; ",IF(LEN(AH448)&lt;&gt;11,"IFSC not 11 chars; ","")))</f>
        <v/>
      </c>
      <c r="AW448" s="46" t="str">
        <f aca="false">IF(AS448="","",AS448+ROW()/100000)</f>
        <v/>
      </c>
      <c r="AX448" s="46" t="str">
        <f aca="false">IF(AT448="","",AT448+ROW()/100000)</f>
        <v/>
      </c>
    </row>
    <row r="449" customFormat="false" ht="15" hidden="false" customHeight="false" outlineLevel="0" collapsed="false">
      <c r="A449" s="9" t="str">
        <f aca="false">IF(B449="","",ROW()-5)</f>
        <v/>
      </c>
      <c r="B449" s="40"/>
      <c r="C449" s="8"/>
      <c r="D449" s="9" t="str">
        <f aca="false">IF(B449="","",IF(J449="","Active","Exited"))</f>
        <v/>
      </c>
      <c r="E449" s="8"/>
      <c r="F449" s="8"/>
      <c r="G449" s="8"/>
      <c r="H449" s="9" t="str">
        <f aca="false">IF(OR(B449="",I449=""),"",IF(IF(J449="",AsOf,J449)-I449&gt;=Settings!$C$13,"Permanent","Probation"))</f>
        <v/>
      </c>
      <c r="I449" s="41"/>
      <c r="J449" s="41"/>
      <c r="K449" s="8"/>
      <c r="L449" s="42" t="str">
        <f aca="false">IF(OR(B449="",I449=""),"",ROUND((IF(J449="",AsOf,J449)-I449)/365.25,1))</f>
        <v/>
      </c>
      <c r="M449" s="8"/>
      <c r="N449" s="8"/>
      <c r="O449" s="8"/>
      <c r="P449" s="8"/>
      <c r="Q449" s="41"/>
      <c r="R449" s="43" t="str">
        <f aca="false">IF(OR(B449="",Q449=""),"",INT((AsOf-Q449)/365.25))</f>
        <v/>
      </c>
      <c r="S449" s="8"/>
      <c r="T449" s="40"/>
      <c r="U449" s="40"/>
      <c r="V449" s="40"/>
      <c r="W449" s="40"/>
      <c r="X449" s="8"/>
      <c r="Y449" s="8"/>
      <c r="Z449" s="8"/>
      <c r="AA449" s="8"/>
      <c r="AB449" s="8"/>
      <c r="AC449" s="8"/>
      <c r="AD449" s="8"/>
      <c r="AE449" s="40"/>
      <c r="AF449" s="8"/>
      <c r="AG449" s="40"/>
      <c r="AH449" s="40"/>
      <c r="AI449" s="8"/>
      <c r="AJ449" s="40"/>
      <c r="AK449" s="40"/>
      <c r="AL449" s="40"/>
      <c r="AM449" s="44"/>
      <c r="AN449" s="44"/>
      <c r="AO449" s="41"/>
      <c r="AP449" s="45" t="str">
        <f aca="false">IF(B449="","",IF(AND(ISNUMBER(AM449),ISNUMBER(AN449),AM449&gt;0,AN449&gt;0),AN449/AM449-1,""))</f>
        <v/>
      </c>
      <c r="AQ449" s="9" t="str">
        <f aca="false">IF(I449="","",(YEAR(I449)-IF(MONTH(I449)&lt;4,1,0))&amp;"-"&amp;RIGHT((YEAR(I449)-IF(MONTH(I449)&lt;4,1,0))+1,2))</f>
        <v/>
      </c>
      <c r="AR449" s="9" t="str">
        <f aca="false">IF(J449="","",(YEAR(J449)-IF(MONTH(J449)&lt;4,1,0))&amp;"-"&amp;RIGHT((YEAR(J449)-IF(MONTH(J449)&lt;4,1,0))+1,2))</f>
        <v/>
      </c>
      <c r="AS449" s="43" t="str">
        <f aca="false">IF(OR(B449="",Q449="",D449&lt;&gt;"Active"),"",DATE(YEAR(AsOf)+IF(DATE(YEAR(AsOf),MONTH(Q449),DAY(Q449))&lt;AsOf,1,0),MONTH(Q449),DAY(Q449))-AsOf)</f>
        <v/>
      </c>
      <c r="AT449" s="43" t="str">
        <f aca="false">IF(OR(B449="",I449="",D449&lt;&gt;"Active"),"",IF(YEAR(DATE(YEAR(AsOf)+IF(DATE(YEAR(AsOf),MONTH(I449),DAY(I449))&lt;AsOf,1,0),MONTH(I449),DAY(I449)))-YEAR(I449)&lt;1,"",DATE(YEAR(AsOf)+IF(DATE(YEAR(AsOf),MONTH(I449),DAY(I449))&lt;AsOf,1,0),MONTH(I449),DAY(I449))-AsOf))</f>
        <v/>
      </c>
      <c r="AU449" s="43" t="str">
        <f aca="false">IF(B449="","",IF(AV449="",0,LEN(AV449)-LEN(SUBSTITUTE(AV449,";",""))))</f>
        <v/>
      </c>
      <c r="AV449" s="9" t="str">
        <f aca="false">IF(B449="","",IF(COUNTIF($B$6:$B$505,B449)&gt;1,"Duplicate Emp Code; ","")&amp;IF(C449="","Name missing; ","")&amp;IF(I449="","DOJ missing; ","")&amp;IF(AND(J449&lt;&gt;"",I449&lt;&gt;"",J449&lt;I449),"Exit before DOJ; ","")&amp;IF(Q449="","DOB missing; ","")&amp;IF(T449="","Aadhaar missing; ",IF(LEN(T449)&lt;&gt;12,"Aadhaar not 12 digits; ",IF(COUNTIF($T$6:$T$505,T449)&gt;1,"Duplicate Aadhaar; ","")))&amp;IF(U449="","PAN missing; ",IF(LEN(U449)&lt;&gt;10,"PAN not 10 chars; ",""))&amp;IF(V449="","Mobile missing; ",IF(LEN(V449)&lt;&gt;10,"Mobile not 10 digits; ",""))&amp;IF(AG449="","Bank A/c missing; ","")&amp;IF(AH449="","IFSC missing; ",IF(LEN(AH449)&lt;&gt;11,"IFSC not 11 chars; ","")))</f>
        <v/>
      </c>
      <c r="AW449" s="46" t="str">
        <f aca="false">IF(AS449="","",AS449+ROW()/100000)</f>
        <v/>
      </c>
      <c r="AX449" s="46" t="str">
        <f aca="false">IF(AT449="","",AT449+ROW()/100000)</f>
        <v/>
      </c>
    </row>
    <row r="450" customFormat="false" ht="15" hidden="false" customHeight="false" outlineLevel="0" collapsed="false">
      <c r="A450" s="9" t="str">
        <f aca="false">IF(B450="","",ROW()-5)</f>
        <v/>
      </c>
      <c r="B450" s="40"/>
      <c r="C450" s="8"/>
      <c r="D450" s="9" t="str">
        <f aca="false">IF(B450="","",IF(J450="","Active","Exited"))</f>
        <v/>
      </c>
      <c r="E450" s="8"/>
      <c r="F450" s="8"/>
      <c r="G450" s="8"/>
      <c r="H450" s="9" t="str">
        <f aca="false">IF(OR(B450="",I450=""),"",IF(IF(J450="",AsOf,J450)-I450&gt;=Settings!$C$13,"Permanent","Probation"))</f>
        <v/>
      </c>
      <c r="I450" s="41"/>
      <c r="J450" s="41"/>
      <c r="K450" s="8"/>
      <c r="L450" s="42" t="str">
        <f aca="false">IF(OR(B450="",I450=""),"",ROUND((IF(J450="",AsOf,J450)-I450)/365.25,1))</f>
        <v/>
      </c>
      <c r="M450" s="8"/>
      <c r="N450" s="8"/>
      <c r="O450" s="8"/>
      <c r="P450" s="8"/>
      <c r="Q450" s="41"/>
      <c r="R450" s="43" t="str">
        <f aca="false">IF(OR(B450="",Q450=""),"",INT((AsOf-Q450)/365.25))</f>
        <v/>
      </c>
      <c r="S450" s="8"/>
      <c r="T450" s="40"/>
      <c r="U450" s="40"/>
      <c r="V450" s="40"/>
      <c r="W450" s="40"/>
      <c r="X450" s="8"/>
      <c r="Y450" s="8"/>
      <c r="Z450" s="8"/>
      <c r="AA450" s="8"/>
      <c r="AB450" s="8"/>
      <c r="AC450" s="8"/>
      <c r="AD450" s="8"/>
      <c r="AE450" s="40"/>
      <c r="AF450" s="8"/>
      <c r="AG450" s="40"/>
      <c r="AH450" s="40"/>
      <c r="AI450" s="8"/>
      <c r="AJ450" s="40"/>
      <c r="AK450" s="40"/>
      <c r="AL450" s="40"/>
      <c r="AM450" s="44"/>
      <c r="AN450" s="44"/>
      <c r="AO450" s="41"/>
      <c r="AP450" s="45" t="str">
        <f aca="false">IF(B450="","",IF(AND(ISNUMBER(AM450),ISNUMBER(AN450),AM450&gt;0,AN450&gt;0),AN450/AM450-1,""))</f>
        <v/>
      </c>
      <c r="AQ450" s="9" t="str">
        <f aca="false">IF(I450="","",(YEAR(I450)-IF(MONTH(I450)&lt;4,1,0))&amp;"-"&amp;RIGHT((YEAR(I450)-IF(MONTH(I450)&lt;4,1,0))+1,2))</f>
        <v/>
      </c>
      <c r="AR450" s="9" t="str">
        <f aca="false">IF(J450="","",(YEAR(J450)-IF(MONTH(J450)&lt;4,1,0))&amp;"-"&amp;RIGHT((YEAR(J450)-IF(MONTH(J450)&lt;4,1,0))+1,2))</f>
        <v/>
      </c>
      <c r="AS450" s="43" t="str">
        <f aca="false">IF(OR(B450="",Q450="",D450&lt;&gt;"Active"),"",DATE(YEAR(AsOf)+IF(DATE(YEAR(AsOf),MONTH(Q450),DAY(Q450))&lt;AsOf,1,0),MONTH(Q450),DAY(Q450))-AsOf)</f>
        <v/>
      </c>
      <c r="AT450" s="43" t="str">
        <f aca="false">IF(OR(B450="",I450="",D450&lt;&gt;"Active"),"",IF(YEAR(DATE(YEAR(AsOf)+IF(DATE(YEAR(AsOf),MONTH(I450),DAY(I450))&lt;AsOf,1,0),MONTH(I450),DAY(I450)))-YEAR(I450)&lt;1,"",DATE(YEAR(AsOf)+IF(DATE(YEAR(AsOf),MONTH(I450),DAY(I450))&lt;AsOf,1,0),MONTH(I450),DAY(I450))-AsOf))</f>
        <v/>
      </c>
      <c r="AU450" s="43" t="str">
        <f aca="false">IF(B450="","",IF(AV450="",0,LEN(AV450)-LEN(SUBSTITUTE(AV450,";",""))))</f>
        <v/>
      </c>
      <c r="AV450" s="9" t="str">
        <f aca="false">IF(B450="","",IF(COUNTIF($B$6:$B$505,B450)&gt;1,"Duplicate Emp Code; ","")&amp;IF(C450="","Name missing; ","")&amp;IF(I450="","DOJ missing; ","")&amp;IF(AND(J450&lt;&gt;"",I450&lt;&gt;"",J450&lt;I450),"Exit before DOJ; ","")&amp;IF(Q450="","DOB missing; ","")&amp;IF(T450="","Aadhaar missing; ",IF(LEN(T450)&lt;&gt;12,"Aadhaar not 12 digits; ",IF(COUNTIF($T$6:$T$505,T450)&gt;1,"Duplicate Aadhaar; ","")))&amp;IF(U450="","PAN missing; ",IF(LEN(U450)&lt;&gt;10,"PAN not 10 chars; ",""))&amp;IF(V450="","Mobile missing; ",IF(LEN(V450)&lt;&gt;10,"Mobile not 10 digits; ",""))&amp;IF(AG450="","Bank A/c missing; ","")&amp;IF(AH450="","IFSC missing; ",IF(LEN(AH450)&lt;&gt;11,"IFSC not 11 chars; ","")))</f>
        <v/>
      </c>
      <c r="AW450" s="46" t="str">
        <f aca="false">IF(AS450="","",AS450+ROW()/100000)</f>
        <v/>
      </c>
      <c r="AX450" s="46" t="str">
        <f aca="false">IF(AT450="","",AT450+ROW()/100000)</f>
        <v/>
      </c>
    </row>
    <row r="451" customFormat="false" ht="15" hidden="false" customHeight="false" outlineLevel="0" collapsed="false">
      <c r="A451" s="9" t="str">
        <f aca="false">IF(B451="","",ROW()-5)</f>
        <v/>
      </c>
      <c r="B451" s="40"/>
      <c r="C451" s="8"/>
      <c r="D451" s="9" t="str">
        <f aca="false">IF(B451="","",IF(J451="","Active","Exited"))</f>
        <v/>
      </c>
      <c r="E451" s="8"/>
      <c r="F451" s="8"/>
      <c r="G451" s="8"/>
      <c r="H451" s="9" t="str">
        <f aca="false">IF(OR(B451="",I451=""),"",IF(IF(J451="",AsOf,J451)-I451&gt;=Settings!$C$13,"Permanent","Probation"))</f>
        <v/>
      </c>
      <c r="I451" s="41"/>
      <c r="J451" s="41"/>
      <c r="K451" s="8"/>
      <c r="L451" s="42" t="str">
        <f aca="false">IF(OR(B451="",I451=""),"",ROUND((IF(J451="",AsOf,J451)-I451)/365.25,1))</f>
        <v/>
      </c>
      <c r="M451" s="8"/>
      <c r="N451" s="8"/>
      <c r="O451" s="8"/>
      <c r="P451" s="8"/>
      <c r="Q451" s="41"/>
      <c r="R451" s="43" t="str">
        <f aca="false">IF(OR(B451="",Q451=""),"",INT((AsOf-Q451)/365.25))</f>
        <v/>
      </c>
      <c r="S451" s="8"/>
      <c r="T451" s="40"/>
      <c r="U451" s="40"/>
      <c r="V451" s="40"/>
      <c r="W451" s="40"/>
      <c r="X451" s="8"/>
      <c r="Y451" s="8"/>
      <c r="Z451" s="8"/>
      <c r="AA451" s="8"/>
      <c r="AB451" s="8"/>
      <c r="AC451" s="8"/>
      <c r="AD451" s="8"/>
      <c r="AE451" s="40"/>
      <c r="AF451" s="8"/>
      <c r="AG451" s="40"/>
      <c r="AH451" s="40"/>
      <c r="AI451" s="8"/>
      <c r="AJ451" s="40"/>
      <c r="AK451" s="40"/>
      <c r="AL451" s="40"/>
      <c r="AM451" s="44"/>
      <c r="AN451" s="44"/>
      <c r="AO451" s="41"/>
      <c r="AP451" s="45" t="str">
        <f aca="false">IF(B451="","",IF(AND(ISNUMBER(AM451),ISNUMBER(AN451),AM451&gt;0,AN451&gt;0),AN451/AM451-1,""))</f>
        <v/>
      </c>
      <c r="AQ451" s="9" t="str">
        <f aca="false">IF(I451="","",(YEAR(I451)-IF(MONTH(I451)&lt;4,1,0))&amp;"-"&amp;RIGHT((YEAR(I451)-IF(MONTH(I451)&lt;4,1,0))+1,2))</f>
        <v/>
      </c>
      <c r="AR451" s="9" t="str">
        <f aca="false">IF(J451="","",(YEAR(J451)-IF(MONTH(J451)&lt;4,1,0))&amp;"-"&amp;RIGHT((YEAR(J451)-IF(MONTH(J451)&lt;4,1,0))+1,2))</f>
        <v/>
      </c>
      <c r="AS451" s="43" t="str">
        <f aca="false">IF(OR(B451="",Q451="",D451&lt;&gt;"Active"),"",DATE(YEAR(AsOf)+IF(DATE(YEAR(AsOf),MONTH(Q451),DAY(Q451))&lt;AsOf,1,0),MONTH(Q451),DAY(Q451))-AsOf)</f>
        <v/>
      </c>
      <c r="AT451" s="43" t="str">
        <f aca="false">IF(OR(B451="",I451="",D451&lt;&gt;"Active"),"",IF(YEAR(DATE(YEAR(AsOf)+IF(DATE(YEAR(AsOf),MONTH(I451),DAY(I451))&lt;AsOf,1,0),MONTH(I451),DAY(I451)))-YEAR(I451)&lt;1,"",DATE(YEAR(AsOf)+IF(DATE(YEAR(AsOf),MONTH(I451),DAY(I451))&lt;AsOf,1,0),MONTH(I451),DAY(I451))-AsOf))</f>
        <v/>
      </c>
      <c r="AU451" s="43" t="str">
        <f aca="false">IF(B451="","",IF(AV451="",0,LEN(AV451)-LEN(SUBSTITUTE(AV451,";",""))))</f>
        <v/>
      </c>
      <c r="AV451" s="9" t="str">
        <f aca="false">IF(B451="","",IF(COUNTIF($B$6:$B$505,B451)&gt;1,"Duplicate Emp Code; ","")&amp;IF(C451="","Name missing; ","")&amp;IF(I451="","DOJ missing; ","")&amp;IF(AND(J451&lt;&gt;"",I451&lt;&gt;"",J451&lt;I451),"Exit before DOJ; ","")&amp;IF(Q451="","DOB missing; ","")&amp;IF(T451="","Aadhaar missing; ",IF(LEN(T451)&lt;&gt;12,"Aadhaar not 12 digits; ",IF(COUNTIF($T$6:$T$505,T451)&gt;1,"Duplicate Aadhaar; ","")))&amp;IF(U451="","PAN missing; ",IF(LEN(U451)&lt;&gt;10,"PAN not 10 chars; ",""))&amp;IF(V451="","Mobile missing; ",IF(LEN(V451)&lt;&gt;10,"Mobile not 10 digits; ",""))&amp;IF(AG451="","Bank A/c missing; ","")&amp;IF(AH451="","IFSC missing; ",IF(LEN(AH451)&lt;&gt;11,"IFSC not 11 chars; ","")))</f>
        <v/>
      </c>
      <c r="AW451" s="46" t="str">
        <f aca="false">IF(AS451="","",AS451+ROW()/100000)</f>
        <v/>
      </c>
      <c r="AX451" s="46" t="str">
        <f aca="false">IF(AT451="","",AT451+ROW()/100000)</f>
        <v/>
      </c>
    </row>
    <row r="452" customFormat="false" ht="15" hidden="false" customHeight="false" outlineLevel="0" collapsed="false">
      <c r="A452" s="9" t="str">
        <f aca="false">IF(B452="","",ROW()-5)</f>
        <v/>
      </c>
      <c r="B452" s="40"/>
      <c r="C452" s="8"/>
      <c r="D452" s="9" t="str">
        <f aca="false">IF(B452="","",IF(J452="","Active","Exited"))</f>
        <v/>
      </c>
      <c r="E452" s="8"/>
      <c r="F452" s="8"/>
      <c r="G452" s="8"/>
      <c r="H452" s="9" t="str">
        <f aca="false">IF(OR(B452="",I452=""),"",IF(IF(J452="",AsOf,J452)-I452&gt;=Settings!$C$13,"Permanent","Probation"))</f>
        <v/>
      </c>
      <c r="I452" s="41"/>
      <c r="J452" s="41"/>
      <c r="K452" s="8"/>
      <c r="L452" s="42" t="str">
        <f aca="false">IF(OR(B452="",I452=""),"",ROUND((IF(J452="",AsOf,J452)-I452)/365.25,1))</f>
        <v/>
      </c>
      <c r="M452" s="8"/>
      <c r="N452" s="8"/>
      <c r="O452" s="8"/>
      <c r="P452" s="8"/>
      <c r="Q452" s="41"/>
      <c r="R452" s="43" t="str">
        <f aca="false">IF(OR(B452="",Q452=""),"",INT((AsOf-Q452)/365.25))</f>
        <v/>
      </c>
      <c r="S452" s="8"/>
      <c r="T452" s="40"/>
      <c r="U452" s="40"/>
      <c r="V452" s="40"/>
      <c r="W452" s="40"/>
      <c r="X452" s="8"/>
      <c r="Y452" s="8"/>
      <c r="Z452" s="8"/>
      <c r="AA452" s="8"/>
      <c r="AB452" s="8"/>
      <c r="AC452" s="8"/>
      <c r="AD452" s="8"/>
      <c r="AE452" s="40"/>
      <c r="AF452" s="8"/>
      <c r="AG452" s="40"/>
      <c r="AH452" s="40"/>
      <c r="AI452" s="8"/>
      <c r="AJ452" s="40"/>
      <c r="AK452" s="40"/>
      <c r="AL452" s="40"/>
      <c r="AM452" s="44"/>
      <c r="AN452" s="44"/>
      <c r="AO452" s="41"/>
      <c r="AP452" s="45" t="str">
        <f aca="false">IF(B452="","",IF(AND(ISNUMBER(AM452),ISNUMBER(AN452),AM452&gt;0,AN452&gt;0),AN452/AM452-1,""))</f>
        <v/>
      </c>
      <c r="AQ452" s="9" t="str">
        <f aca="false">IF(I452="","",(YEAR(I452)-IF(MONTH(I452)&lt;4,1,0))&amp;"-"&amp;RIGHT((YEAR(I452)-IF(MONTH(I452)&lt;4,1,0))+1,2))</f>
        <v/>
      </c>
      <c r="AR452" s="9" t="str">
        <f aca="false">IF(J452="","",(YEAR(J452)-IF(MONTH(J452)&lt;4,1,0))&amp;"-"&amp;RIGHT((YEAR(J452)-IF(MONTH(J452)&lt;4,1,0))+1,2))</f>
        <v/>
      </c>
      <c r="AS452" s="43" t="str">
        <f aca="false">IF(OR(B452="",Q452="",D452&lt;&gt;"Active"),"",DATE(YEAR(AsOf)+IF(DATE(YEAR(AsOf),MONTH(Q452),DAY(Q452))&lt;AsOf,1,0),MONTH(Q452),DAY(Q452))-AsOf)</f>
        <v/>
      </c>
      <c r="AT452" s="43" t="str">
        <f aca="false">IF(OR(B452="",I452="",D452&lt;&gt;"Active"),"",IF(YEAR(DATE(YEAR(AsOf)+IF(DATE(YEAR(AsOf),MONTH(I452),DAY(I452))&lt;AsOf,1,0),MONTH(I452),DAY(I452)))-YEAR(I452)&lt;1,"",DATE(YEAR(AsOf)+IF(DATE(YEAR(AsOf),MONTH(I452),DAY(I452))&lt;AsOf,1,0),MONTH(I452),DAY(I452))-AsOf))</f>
        <v/>
      </c>
      <c r="AU452" s="43" t="str">
        <f aca="false">IF(B452="","",IF(AV452="",0,LEN(AV452)-LEN(SUBSTITUTE(AV452,";",""))))</f>
        <v/>
      </c>
      <c r="AV452" s="9" t="str">
        <f aca="false">IF(B452="","",IF(COUNTIF($B$6:$B$505,B452)&gt;1,"Duplicate Emp Code; ","")&amp;IF(C452="","Name missing; ","")&amp;IF(I452="","DOJ missing; ","")&amp;IF(AND(J452&lt;&gt;"",I452&lt;&gt;"",J452&lt;I452),"Exit before DOJ; ","")&amp;IF(Q452="","DOB missing; ","")&amp;IF(T452="","Aadhaar missing; ",IF(LEN(T452)&lt;&gt;12,"Aadhaar not 12 digits; ",IF(COUNTIF($T$6:$T$505,T452)&gt;1,"Duplicate Aadhaar; ","")))&amp;IF(U452="","PAN missing; ",IF(LEN(U452)&lt;&gt;10,"PAN not 10 chars; ",""))&amp;IF(V452="","Mobile missing; ",IF(LEN(V452)&lt;&gt;10,"Mobile not 10 digits; ",""))&amp;IF(AG452="","Bank A/c missing; ","")&amp;IF(AH452="","IFSC missing; ",IF(LEN(AH452)&lt;&gt;11,"IFSC not 11 chars; ","")))</f>
        <v/>
      </c>
      <c r="AW452" s="46" t="str">
        <f aca="false">IF(AS452="","",AS452+ROW()/100000)</f>
        <v/>
      </c>
      <c r="AX452" s="46" t="str">
        <f aca="false">IF(AT452="","",AT452+ROW()/100000)</f>
        <v/>
      </c>
    </row>
    <row r="453" customFormat="false" ht="15" hidden="false" customHeight="false" outlineLevel="0" collapsed="false">
      <c r="A453" s="9" t="str">
        <f aca="false">IF(B453="","",ROW()-5)</f>
        <v/>
      </c>
      <c r="B453" s="40"/>
      <c r="C453" s="8"/>
      <c r="D453" s="9" t="str">
        <f aca="false">IF(B453="","",IF(J453="","Active","Exited"))</f>
        <v/>
      </c>
      <c r="E453" s="8"/>
      <c r="F453" s="8"/>
      <c r="G453" s="8"/>
      <c r="H453" s="9" t="str">
        <f aca="false">IF(OR(B453="",I453=""),"",IF(IF(J453="",AsOf,J453)-I453&gt;=Settings!$C$13,"Permanent","Probation"))</f>
        <v/>
      </c>
      <c r="I453" s="41"/>
      <c r="J453" s="41"/>
      <c r="K453" s="8"/>
      <c r="L453" s="42" t="str">
        <f aca="false">IF(OR(B453="",I453=""),"",ROUND((IF(J453="",AsOf,J453)-I453)/365.25,1))</f>
        <v/>
      </c>
      <c r="M453" s="8"/>
      <c r="N453" s="8"/>
      <c r="O453" s="8"/>
      <c r="P453" s="8"/>
      <c r="Q453" s="41"/>
      <c r="R453" s="43" t="str">
        <f aca="false">IF(OR(B453="",Q453=""),"",INT((AsOf-Q453)/365.25))</f>
        <v/>
      </c>
      <c r="S453" s="8"/>
      <c r="T453" s="40"/>
      <c r="U453" s="40"/>
      <c r="V453" s="40"/>
      <c r="W453" s="40"/>
      <c r="X453" s="8"/>
      <c r="Y453" s="8"/>
      <c r="Z453" s="8"/>
      <c r="AA453" s="8"/>
      <c r="AB453" s="8"/>
      <c r="AC453" s="8"/>
      <c r="AD453" s="8"/>
      <c r="AE453" s="40"/>
      <c r="AF453" s="8"/>
      <c r="AG453" s="40"/>
      <c r="AH453" s="40"/>
      <c r="AI453" s="8"/>
      <c r="AJ453" s="40"/>
      <c r="AK453" s="40"/>
      <c r="AL453" s="40"/>
      <c r="AM453" s="44"/>
      <c r="AN453" s="44"/>
      <c r="AO453" s="41"/>
      <c r="AP453" s="45" t="str">
        <f aca="false">IF(B453="","",IF(AND(ISNUMBER(AM453),ISNUMBER(AN453),AM453&gt;0,AN453&gt;0),AN453/AM453-1,""))</f>
        <v/>
      </c>
      <c r="AQ453" s="9" t="str">
        <f aca="false">IF(I453="","",(YEAR(I453)-IF(MONTH(I453)&lt;4,1,0))&amp;"-"&amp;RIGHT((YEAR(I453)-IF(MONTH(I453)&lt;4,1,0))+1,2))</f>
        <v/>
      </c>
      <c r="AR453" s="9" t="str">
        <f aca="false">IF(J453="","",(YEAR(J453)-IF(MONTH(J453)&lt;4,1,0))&amp;"-"&amp;RIGHT((YEAR(J453)-IF(MONTH(J453)&lt;4,1,0))+1,2))</f>
        <v/>
      </c>
      <c r="AS453" s="43" t="str">
        <f aca="false">IF(OR(B453="",Q453="",D453&lt;&gt;"Active"),"",DATE(YEAR(AsOf)+IF(DATE(YEAR(AsOf),MONTH(Q453),DAY(Q453))&lt;AsOf,1,0),MONTH(Q453),DAY(Q453))-AsOf)</f>
        <v/>
      </c>
      <c r="AT453" s="43" t="str">
        <f aca="false">IF(OR(B453="",I453="",D453&lt;&gt;"Active"),"",IF(YEAR(DATE(YEAR(AsOf)+IF(DATE(YEAR(AsOf),MONTH(I453),DAY(I453))&lt;AsOf,1,0),MONTH(I453),DAY(I453)))-YEAR(I453)&lt;1,"",DATE(YEAR(AsOf)+IF(DATE(YEAR(AsOf),MONTH(I453),DAY(I453))&lt;AsOf,1,0),MONTH(I453),DAY(I453))-AsOf))</f>
        <v/>
      </c>
      <c r="AU453" s="43" t="str">
        <f aca="false">IF(B453="","",IF(AV453="",0,LEN(AV453)-LEN(SUBSTITUTE(AV453,";",""))))</f>
        <v/>
      </c>
      <c r="AV453" s="9" t="str">
        <f aca="false">IF(B453="","",IF(COUNTIF($B$6:$B$505,B453)&gt;1,"Duplicate Emp Code; ","")&amp;IF(C453="","Name missing; ","")&amp;IF(I453="","DOJ missing; ","")&amp;IF(AND(J453&lt;&gt;"",I453&lt;&gt;"",J453&lt;I453),"Exit before DOJ; ","")&amp;IF(Q453="","DOB missing; ","")&amp;IF(T453="","Aadhaar missing; ",IF(LEN(T453)&lt;&gt;12,"Aadhaar not 12 digits; ",IF(COUNTIF($T$6:$T$505,T453)&gt;1,"Duplicate Aadhaar; ","")))&amp;IF(U453="","PAN missing; ",IF(LEN(U453)&lt;&gt;10,"PAN not 10 chars; ",""))&amp;IF(V453="","Mobile missing; ",IF(LEN(V453)&lt;&gt;10,"Mobile not 10 digits; ",""))&amp;IF(AG453="","Bank A/c missing; ","")&amp;IF(AH453="","IFSC missing; ",IF(LEN(AH453)&lt;&gt;11,"IFSC not 11 chars; ","")))</f>
        <v/>
      </c>
      <c r="AW453" s="46" t="str">
        <f aca="false">IF(AS453="","",AS453+ROW()/100000)</f>
        <v/>
      </c>
      <c r="AX453" s="46" t="str">
        <f aca="false">IF(AT453="","",AT453+ROW()/100000)</f>
        <v/>
      </c>
    </row>
    <row r="454" customFormat="false" ht="15" hidden="false" customHeight="false" outlineLevel="0" collapsed="false">
      <c r="A454" s="9" t="str">
        <f aca="false">IF(B454="","",ROW()-5)</f>
        <v/>
      </c>
      <c r="B454" s="40"/>
      <c r="C454" s="8"/>
      <c r="D454" s="9" t="str">
        <f aca="false">IF(B454="","",IF(J454="","Active","Exited"))</f>
        <v/>
      </c>
      <c r="E454" s="8"/>
      <c r="F454" s="8"/>
      <c r="G454" s="8"/>
      <c r="H454" s="9" t="str">
        <f aca="false">IF(OR(B454="",I454=""),"",IF(IF(J454="",AsOf,J454)-I454&gt;=Settings!$C$13,"Permanent","Probation"))</f>
        <v/>
      </c>
      <c r="I454" s="41"/>
      <c r="J454" s="41"/>
      <c r="K454" s="8"/>
      <c r="L454" s="42" t="str">
        <f aca="false">IF(OR(B454="",I454=""),"",ROUND((IF(J454="",AsOf,J454)-I454)/365.25,1))</f>
        <v/>
      </c>
      <c r="M454" s="8"/>
      <c r="N454" s="8"/>
      <c r="O454" s="8"/>
      <c r="P454" s="8"/>
      <c r="Q454" s="41"/>
      <c r="R454" s="43" t="str">
        <f aca="false">IF(OR(B454="",Q454=""),"",INT((AsOf-Q454)/365.25))</f>
        <v/>
      </c>
      <c r="S454" s="8"/>
      <c r="T454" s="40"/>
      <c r="U454" s="40"/>
      <c r="V454" s="40"/>
      <c r="W454" s="40"/>
      <c r="X454" s="8"/>
      <c r="Y454" s="8"/>
      <c r="Z454" s="8"/>
      <c r="AA454" s="8"/>
      <c r="AB454" s="8"/>
      <c r="AC454" s="8"/>
      <c r="AD454" s="8"/>
      <c r="AE454" s="40"/>
      <c r="AF454" s="8"/>
      <c r="AG454" s="40"/>
      <c r="AH454" s="40"/>
      <c r="AI454" s="8"/>
      <c r="AJ454" s="40"/>
      <c r="AK454" s="40"/>
      <c r="AL454" s="40"/>
      <c r="AM454" s="44"/>
      <c r="AN454" s="44"/>
      <c r="AO454" s="41"/>
      <c r="AP454" s="45" t="str">
        <f aca="false">IF(B454="","",IF(AND(ISNUMBER(AM454),ISNUMBER(AN454),AM454&gt;0,AN454&gt;0),AN454/AM454-1,""))</f>
        <v/>
      </c>
      <c r="AQ454" s="9" t="str">
        <f aca="false">IF(I454="","",(YEAR(I454)-IF(MONTH(I454)&lt;4,1,0))&amp;"-"&amp;RIGHT((YEAR(I454)-IF(MONTH(I454)&lt;4,1,0))+1,2))</f>
        <v/>
      </c>
      <c r="AR454" s="9" t="str">
        <f aca="false">IF(J454="","",(YEAR(J454)-IF(MONTH(J454)&lt;4,1,0))&amp;"-"&amp;RIGHT((YEAR(J454)-IF(MONTH(J454)&lt;4,1,0))+1,2))</f>
        <v/>
      </c>
      <c r="AS454" s="43" t="str">
        <f aca="false">IF(OR(B454="",Q454="",D454&lt;&gt;"Active"),"",DATE(YEAR(AsOf)+IF(DATE(YEAR(AsOf),MONTH(Q454),DAY(Q454))&lt;AsOf,1,0),MONTH(Q454),DAY(Q454))-AsOf)</f>
        <v/>
      </c>
      <c r="AT454" s="43" t="str">
        <f aca="false">IF(OR(B454="",I454="",D454&lt;&gt;"Active"),"",IF(YEAR(DATE(YEAR(AsOf)+IF(DATE(YEAR(AsOf),MONTH(I454),DAY(I454))&lt;AsOf,1,0),MONTH(I454),DAY(I454)))-YEAR(I454)&lt;1,"",DATE(YEAR(AsOf)+IF(DATE(YEAR(AsOf),MONTH(I454),DAY(I454))&lt;AsOf,1,0),MONTH(I454),DAY(I454))-AsOf))</f>
        <v/>
      </c>
      <c r="AU454" s="43" t="str">
        <f aca="false">IF(B454="","",IF(AV454="",0,LEN(AV454)-LEN(SUBSTITUTE(AV454,";",""))))</f>
        <v/>
      </c>
      <c r="AV454" s="9" t="str">
        <f aca="false">IF(B454="","",IF(COUNTIF($B$6:$B$505,B454)&gt;1,"Duplicate Emp Code; ","")&amp;IF(C454="","Name missing; ","")&amp;IF(I454="","DOJ missing; ","")&amp;IF(AND(J454&lt;&gt;"",I454&lt;&gt;"",J454&lt;I454),"Exit before DOJ; ","")&amp;IF(Q454="","DOB missing; ","")&amp;IF(T454="","Aadhaar missing; ",IF(LEN(T454)&lt;&gt;12,"Aadhaar not 12 digits; ",IF(COUNTIF($T$6:$T$505,T454)&gt;1,"Duplicate Aadhaar; ","")))&amp;IF(U454="","PAN missing; ",IF(LEN(U454)&lt;&gt;10,"PAN not 10 chars; ",""))&amp;IF(V454="","Mobile missing; ",IF(LEN(V454)&lt;&gt;10,"Mobile not 10 digits; ",""))&amp;IF(AG454="","Bank A/c missing; ","")&amp;IF(AH454="","IFSC missing; ",IF(LEN(AH454)&lt;&gt;11,"IFSC not 11 chars; ","")))</f>
        <v/>
      </c>
      <c r="AW454" s="46" t="str">
        <f aca="false">IF(AS454="","",AS454+ROW()/100000)</f>
        <v/>
      </c>
      <c r="AX454" s="46" t="str">
        <f aca="false">IF(AT454="","",AT454+ROW()/100000)</f>
        <v/>
      </c>
    </row>
    <row r="455" customFormat="false" ht="15" hidden="false" customHeight="false" outlineLevel="0" collapsed="false">
      <c r="A455" s="9" t="str">
        <f aca="false">IF(B455="","",ROW()-5)</f>
        <v/>
      </c>
      <c r="B455" s="40"/>
      <c r="C455" s="8"/>
      <c r="D455" s="9" t="str">
        <f aca="false">IF(B455="","",IF(J455="","Active","Exited"))</f>
        <v/>
      </c>
      <c r="E455" s="8"/>
      <c r="F455" s="8"/>
      <c r="G455" s="8"/>
      <c r="H455" s="9" t="str">
        <f aca="false">IF(OR(B455="",I455=""),"",IF(IF(J455="",AsOf,J455)-I455&gt;=Settings!$C$13,"Permanent","Probation"))</f>
        <v/>
      </c>
      <c r="I455" s="41"/>
      <c r="J455" s="41"/>
      <c r="K455" s="8"/>
      <c r="L455" s="42" t="str">
        <f aca="false">IF(OR(B455="",I455=""),"",ROUND((IF(J455="",AsOf,J455)-I455)/365.25,1))</f>
        <v/>
      </c>
      <c r="M455" s="8"/>
      <c r="N455" s="8"/>
      <c r="O455" s="8"/>
      <c r="P455" s="8"/>
      <c r="Q455" s="41"/>
      <c r="R455" s="43" t="str">
        <f aca="false">IF(OR(B455="",Q455=""),"",INT((AsOf-Q455)/365.25))</f>
        <v/>
      </c>
      <c r="S455" s="8"/>
      <c r="T455" s="40"/>
      <c r="U455" s="40"/>
      <c r="V455" s="40"/>
      <c r="W455" s="40"/>
      <c r="X455" s="8"/>
      <c r="Y455" s="8"/>
      <c r="Z455" s="8"/>
      <c r="AA455" s="8"/>
      <c r="AB455" s="8"/>
      <c r="AC455" s="8"/>
      <c r="AD455" s="8"/>
      <c r="AE455" s="40"/>
      <c r="AF455" s="8"/>
      <c r="AG455" s="40"/>
      <c r="AH455" s="40"/>
      <c r="AI455" s="8"/>
      <c r="AJ455" s="40"/>
      <c r="AK455" s="40"/>
      <c r="AL455" s="40"/>
      <c r="AM455" s="44"/>
      <c r="AN455" s="44"/>
      <c r="AO455" s="41"/>
      <c r="AP455" s="45" t="str">
        <f aca="false">IF(B455="","",IF(AND(ISNUMBER(AM455),ISNUMBER(AN455),AM455&gt;0,AN455&gt;0),AN455/AM455-1,""))</f>
        <v/>
      </c>
      <c r="AQ455" s="9" t="str">
        <f aca="false">IF(I455="","",(YEAR(I455)-IF(MONTH(I455)&lt;4,1,0))&amp;"-"&amp;RIGHT((YEAR(I455)-IF(MONTH(I455)&lt;4,1,0))+1,2))</f>
        <v/>
      </c>
      <c r="AR455" s="9" t="str">
        <f aca="false">IF(J455="","",(YEAR(J455)-IF(MONTH(J455)&lt;4,1,0))&amp;"-"&amp;RIGHT((YEAR(J455)-IF(MONTH(J455)&lt;4,1,0))+1,2))</f>
        <v/>
      </c>
      <c r="AS455" s="43" t="str">
        <f aca="false">IF(OR(B455="",Q455="",D455&lt;&gt;"Active"),"",DATE(YEAR(AsOf)+IF(DATE(YEAR(AsOf),MONTH(Q455),DAY(Q455))&lt;AsOf,1,0),MONTH(Q455),DAY(Q455))-AsOf)</f>
        <v/>
      </c>
      <c r="AT455" s="43" t="str">
        <f aca="false">IF(OR(B455="",I455="",D455&lt;&gt;"Active"),"",IF(YEAR(DATE(YEAR(AsOf)+IF(DATE(YEAR(AsOf),MONTH(I455),DAY(I455))&lt;AsOf,1,0),MONTH(I455),DAY(I455)))-YEAR(I455)&lt;1,"",DATE(YEAR(AsOf)+IF(DATE(YEAR(AsOf),MONTH(I455),DAY(I455))&lt;AsOf,1,0),MONTH(I455),DAY(I455))-AsOf))</f>
        <v/>
      </c>
      <c r="AU455" s="43" t="str">
        <f aca="false">IF(B455="","",IF(AV455="",0,LEN(AV455)-LEN(SUBSTITUTE(AV455,";",""))))</f>
        <v/>
      </c>
      <c r="AV455" s="9" t="str">
        <f aca="false">IF(B455="","",IF(COUNTIF($B$6:$B$505,B455)&gt;1,"Duplicate Emp Code; ","")&amp;IF(C455="","Name missing; ","")&amp;IF(I455="","DOJ missing; ","")&amp;IF(AND(J455&lt;&gt;"",I455&lt;&gt;"",J455&lt;I455),"Exit before DOJ; ","")&amp;IF(Q455="","DOB missing; ","")&amp;IF(T455="","Aadhaar missing; ",IF(LEN(T455)&lt;&gt;12,"Aadhaar not 12 digits; ",IF(COUNTIF($T$6:$T$505,T455)&gt;1,"Duplicate Aadhaar; ","")))&amp;IF(U455="","PAN missing; ",IF(LEN(U455)&lt;&gt;10,"PAN not 10 chars; ",""))&amp;IF(V455="","Mobile missing; ",IF(LEN(V455)&lt;&gt;10,"Mobile not 10 digits; ",""))&amp;IF(AG455="","Bank A/c missing; ","")&amp;IF(AH455="","IFSC missing; ",IF(LEN(AH455)&lt;&gt;11,"IFSC not 11 chars; ","")))</f>
        <v/>
      </c>
      <c r="AW455" s="46" t="str">
        <f aca="false">IF(AS455="","",AS455+ROW()/100000)</f>
        <v/>
      </c>
      <c r="AX455" s="46" t="str">
        <f aca="false">IF(AT455="","",AT455+ROW()/100000)</f>
        <v/>
      </c>
    </row>
    <row r="456" customFormat="false" ht="15" hidden="false" customHeight="false" outlineLevel="0" collapsed="false">
      <c r="A456" s="9" t="str">
        <f aca="false">IF(B456="","",ROW()-5)</f>
        <v/>
      </c>
      <c r="B456" s="40"/>
      <c r="C456" s="8"/>
      <c r="D456" s="9" t="str">
        <f aca="false">IF(B456="","",IF(J456="","Active","Exited"))</f>
        <v/>
      </c>
      <c r="E456" s="8"/>
      <c r="F456" s="8"/>
      <c r="G456" s="8"/>
      <c r="H456" s="9" t="str">
        <f aca="false">IF(OR(B456="",I456=""),"",IF(IF(J456="",AsOf,J456)-I456&gt;=Settings!$C$13,"Permanent","Probation"))</f>
        <v/>
      </c>
      <c r="I456" s="41"/>
      <c r="J456" s="41"/>
      <c r="K456" s="8"/>
      <c r="L456" s="42" t="str">
        <f aca="false">IF(OR(B456="",I456=""),"",ROUND((IF(J456="",AsOf,J456)-I456)/365.25,1))</f>
        <v/>
      </c>
      <c r="M456" s="8"/>
      <c r="N456" s="8"/>
      <c r="O456" s="8"/>
      <c r="P456" s="8"/>
      <c r="Q456" s="41"/>
      <c r="R456" s="43" t="str">
        <f aca="false">IF(OR(B456="",Q456=""),"",INT((AsOf-Q456)/365.25))</f>
        <v/>
      </c>
      <c r="S456" s="8"/>
      <c r="T456" s="40"/>
      <c r="U456" s="40"/>
      <c r="V456" s="40"/>
      <c r="W456" s="40"/>
      <c r="X456" s="8"/>
      <c r="Y456" s="8"/>
      <c r="Z456" s="8"/>
      <c r="AA456" s="8"/>
      <c r="AB456" s="8"/>
      <c r="AC456" s="8"/>
      <c r="AD456" s="8"/>
      <c r="AE456" s="40"/>
      <c r="AF456" s="8"/>
      <c r="AG456" s="40"/>
      <c r="AH456" s="40"/>
      <c r="AI456" s="8"/>
      <c r="AJ456" s="40"/>
      <c r="AK456" s="40"/>
      <c r="AL456" s="40"/>
      <c r="AM456" s="44"/>
      <c r="AN456" s="44"/>
      <c r="AO456" s="41"/>
      <c r="AP456" s="45" t="str">
        <f aca="false">IF(B456="","",IF(AND(ISNUMBER(AM456),ISNUMBER(AN456),AM456&gt;0,AN456&gt;0),AN456/AM456-1,""))</f>
        <v/>
      </c>
      <c r="AQ456" s="9" t="str">
        <f aca="false">IF(I456="","",(YEAR(I456)-IF(MONTH(I456)&lt;4,1,0))&amp;"-"&amp;RIGHT((YEAR(I456)-IF(MONTH(I456)&lt;4,1,0))+1,2))</f>
        <v/>
      </c>
      <c r="AR456" s="9" t="str">
        <f aca="false">IF(J456="","",(YEAR(J456)-IF(MONTH(J456)&lt;4,1,0))&amp;"-"&amp;RIGHT((YEAR(J456)-IF(MONTH(J456)&lt;4,1,0))+1,2))</f>
        <v/>
      </c>
      <c r="AS456" s="43" t="str">
        <f aca="false">IF(OR(B456="",Q456="",D456&lt;&gt;"Active"),"",DATE(YEAR(AsOf)+IF(DATE(YEAR(AsOf),MONTH(Q456),DAY(Q456))&lt;AsOf,1,0),MONTH(Q456),DAY(Q456))-AsOf)</f>
        <v/>
      </c>
      <c r="AT456" s="43" t="str">
        <f aca="false">IF(OR(B456="",I456="",D456&lt;&gt;"Active"),"",IF(YEAR(DATE(YEAR(AsOf)+IF(DATE(YEAR(AsOf),MONTH(I456),DAY(I456))&lt;AsOf,1,0),MONTH(I456),DAY(I456)))-YEAR(I456)&lt;1,"",DATE(YEAR(AsOf)+IF(DATE(YEAR(AsOf),MONTH(I456),DAY(I456))&lt;AsOf,1,0),MONTH(I456),DAY(I456))-AsOf))</f>
        <v/>
      </c>
      <c r="AU456" s="43" t="str">
        <f aca="false">IF(B456="","",IF(AV456="",0,LEN(AV456)-LEN(SUBSTITUTE(AV456,";",""))))</f>
        <v/>
      </c>
      <c r="AV456" s="9" t="str">
        <f aca="false">IF(B456="","",IF(COUNTIF($B$6:$B$505,B456)&gt;1,"Duplicate Emp Code; ","")&amp;IF(C456="","Name missing; ","")&amp;IF(I456="","DOJ missing; ","")&amp;IF(AND(J456&lt;&gt;"",I456&lt;&gt;"",J456&lt;I456),"Exit before DOJ; ","")&amp;IF(Q456="","DOB missing; ","")&amp;IF(T456="","Aadhaar missing; ",IF(LEN(T456)&lt;&gt;12,"Aadhaar not 12 digits; ",IF(COUNTIF($T$6:$T$505,T456)&gt;1,"Duplicate Aadhaar; ","")))&amp;IF(U456="","PAN missing; ",IF(LEN(U456)&lt;&gt;10,"PAN not 10 chars; ",""))&amp;IF(V456="","Mobile missing; ",IF(LEN(V456)&lt;&gt;10,"Mobile not 10 digits; ",""))&amp;IF(AG456="","Bank A/c missing; ","")&amp;IF(AH456="","IFSC missing; ",IF(LEN(AH456)&lt;&gt;11,"IFSC not 11 chars; ","")))</f>
        <v/>
      </c>
      <c r="AW456" s="46" t="str">
        <f aca="false">IF(AS456="","",AS456+ROW()/100000)</f>
        <v/>
      </c>
      <c r="AX456" s="46" t="str">
        <f aca="false">IF(AT456="","",AT456+ROW()/100000)</f>
        <v/>
      </c>
    </row>
    <row r="457" customFormat="false" ht="15" hidden="false" customHeight="false" outlineLevel="0" collapsed="false">
      <c r="A457" s="9" t="str">
        <f aca="false">IF(B457="","",ROW()-5)</f>
        <v/>
      </c>
      <c r="B457" s="40"/>
      <c r="C457" s="8"/>
      <c r="D457" s="9" t="str">
        <f aca="false">IF(B457="","",IF(J457="","Active","Exited"))</f>
        <v/>
      </c>
      <c r="E457" s="8"/>
      <c r="F457" s="8"/>
      <c r="G457" s="8"/>
      <c r="H457" s="9" t="str">
        <f aca="false">IF(OR(B457="",I457=""),"",IF(IF(J457="",AsOf,J457)-I457&gt;=Settings!$C$13,"Permanent","Probation"))</f>
        <v/>
      </c>
      <c r="I457" s="41"/>
      <c r="J457" s="41"/>
      <c r="K457" s="8"/>
      <c r="L457" s="42" t="str">
        <f aca="false">IF(OR(B457="",I457=""),"",ROUND((IF(J457="",AsOf,J457)-I457)/365.25,1))</f>
        <v/>
      </c>
      <c r="M457" s="8"/>
      <c r="N457" s="8"/>
      <c r="O457" s="8"/>
      <c r="P457" s="8"/>
      <c r="Q457" s="41"/>
      <c r="R457" s="43" t="str">
        <f aca="false">IF(OR(B457="",Q457=""),"",INT((AsOf-Q457)/365.25))</f>
        <v/>
      </c>
      <c r="S457" s="8"/>
      <c r="T457" s="40"/>
      <c r="U457" s="40"/>
      <c r="V457" s="40"/>
      <c r="W457" s="40"/>
      <c r="X457" s="8"/>
      <c r="Y457" s="8"/>
      <c r="Z457" s="8"/>
      <c r="AA457" s="8"/>
      <c r="AB457" s="8"/>
      <c r="AC457" s="8"/>
      <c r="AD457" s="8"/>
      <c r="AE457" s="40"/>
      <c r="AF457" s="8"/>
      <c r="AG457" s="40"/>
      <c r="AH457" s="40"/>
      <c r="AI457" s="8"/>
      <c r="AJ457" s="40"/>
      <c r="AK457" s="40"/>
      <c r="AL457" s="40"/>
      <c r="AM457" s="44"/>
      <c r="AN457" s="44"/>
      <c r="AO457" s="41"/>
      <c r="AP457" s="45" t="str">
        <f aca="false">IF(B457="","",IF(AND(ISNUMBER(AM457),ISNUMBER(AN457),AM457&gt;0,AN457&gt;0),AN457/AM457-1,""))</f>
        <v/>
      </c>
      <c r="AQ457" s="9" t="str">
        <f aca="false">IF(I457="","",(YEAR(I457)-IF(MONTH(I457)&lt;4,1,0))&amp;"-"&amp;RIGHT((YEAR(I457)-IF(MONTH(I457)&lt;4,1,0))+1,2))</f>
        <v/>
      </c>
      <c r="AR457" s="9" t="str">
        <f aca="false">IF(J457="","",(YEAR(J457)-IF(MONTH(J457)&lt;4,1,0))&amp;"-"&amp;RIGHT((YEAR(J457)-IF(MONTH(J457)&lt;4,1,0))+1,2))</f>
        <v/>
      </c>
      <c r="AS457" s="43" t="str">
        <f aca="false">IF(OR(B457="",Q457="",D457&lt;&gt;"Active"),"",DATE(YEAR(AsOf)+IF(DATE(YEAR(AsOf),MONTH(Q457),DAY(Q457))&lt;AsOf,1,0),MONTH(Q457),DAY(Q457))-AsOf)</f>
        <v/>
      </c>
      <c r="AT457" s="43" t="str">
        <f aca="false">IF(OR(B457="",I457="",D457&lt;&gt;"Active"),"",IF(YEAR(DATE(YEAR(AsOf)+IF(DATE(YEAR(AsOf),MONTH(I457),DAY(I457))&lt;AsOf,1,0),MONTH(I457),DAY(I457)))-YEAR(I457)&lt;1,"",DATE(YEAR(AsOf)+IF(DATE(YEAR(AsOf),MONTH(I457),DAY(I457))&lt;AsOf,1,0),MONTH(I457),DAY(I457))-AsOf))</f>
        <v/>
      </c>
      <c r="AU457" s="43" t="str">
        <f aca="false">IF(B457="","",IF(AV457="",0,LEN(AV457)-LEN(SUBSTITUTE(AV457,";",""))))</f>
        <v/>
      </c>
      <c r="AV457" s="9" t="str">
        <f aca="false">IF(B457="","",IF(COUNTIF($B$6:$B$505,B457)&gt;1,"Duplicate Emp Code; ","")&amp;IF(C457="","Name missing; ","")&amp;IF(I457="","DOJ missing; ","")&amp;IF(AND(J457&lt;&gt;"",I457&lt;&gt;"",J457&lt;I457),"Exit before DOJ; ","")&amp;IF(Q457="","DOB missing; ","")&amp;IF(T457="","Aadhaar missing; ",IF(LEN(T457)&lt;&gt;12,"Aadhaar not 12 digits; ",IF(COUNTIF($T$6:$T$505,T457)&gt;1,"Duplicate Aadhaar; ","")))&amp;IF(U457="","PAN missing; ",IF(LEN(U457)&lt;&gt;10,"PAN not 10 chars; ",""))&amp;IF(V457="","Mobile missing; ",IF(LEN(V457)&lt;&gt;10,"Mobile not 10 digits; ",""))&amp;IF(AG457="","Bank A/c missing; ","")&amp;IF(AH457="","IFSC missing; ",IF(LEN(AH457)&lt;&gt;11,"IFSC not 11 chars; ","")))</f>
        <v/>
      </c>
      <c r="AW457" s="46" t="str">
        <f aca="false">IF(AS457="","",AS457+ROW()/100000)</f>
        <v/>
      </c>
      <c r="AX457" s="46" t="str">
        <f aca="false">IF(AT457="","",AT457+ROW()/100000)</f>
        <v/>
      </c>
    </row>
    <row r="458" customFormat="false" ht="15" hidden="false" customHeight="false" outlineLevel="0" collapsed="false">
      <c r="A458" s="9" t="str">
        <f aca="false">IF(B458="","",ROW()-5)</f>
        <v/>
      </c>
      <c r="B458" s="40"/>
      <c r="C458" s="8"/>
      <c r="D458" s="9" t="str">
        <f aca="false">IF(B458="","",IF(J458="","Active","Exited"))</f>
        <v/>
      </c>
      <c r="E458" s="8"/>
      <c r="F458" s="8"/>
      <c r="G458" s="8"/>
      <c r="H458" s="9" t="str">
        <f aca="false">IF(OR(B458="",I458=""),"",IF(IF(J458="",AsOf,J458)-I458&gt;=Settings!$C$13,"Permanent","Probation"))</f>
        <v/>
      </c>
      <c r="I458" s="41"/>
      <c r="J458" s="41"/>
      <c r="K458" s="8"/>
      <c r="L458" s="42" t="str">
        <f aca="false">IF(OR(B458="",I458=""),"",ROUND((IF(J458="",AsOf,J458)-I458)/365.25,1))</f>
        <v/>
      </c>
      <c r="M458" s="8"/>
      <c r="N458" s="8"/>
      <c r="O458" s="8"/>
      <c r="P458" s="8"/>
      <c r="Q458" s="41"/>
      <c r="R458" s="43" t="str">
        <f aca="false">IF(OR(B458="",Q458=""),"",INT((AsOf-Q458)/365.25))</f>
        <v/>
      </c>
      <c r="S458" s="8"/>
      <c r="T458" s="40"/>
      <c r="U458" s="40"/>
      <c r="V458" s="40"/>
      <c r="W458" s="40"/>
      <c r="X458" s="8"/>
      <c r="Y458" s="8"/>
      <c r="Z458" s="8"/>
      <c r="AA458" s="8"/>
      <c r="AB458" s="8"/>
      <c r="AC458" s="8"/>
      <c r="AD458" s="8"/>
      <c r="AE458" s="40"/>
      <c r="AF458" s="8"/>
      <c r="AG458" s="40"/>
      <c r="AH458" s="40"/>
      <c r="AI458" s="8"/>
      <c r="AJ458" s="40"/>
      <c r="AK458" s="40"/>
      <c r="AL458" s="40"/>
      <c r="AM458" s="44"/>
      <c r="AN458" s="44"/>
      <c r="AO458" s="41"/>
      <c r="AP458" s="45" t="str">
        <f aca="false">IF(B458="","",IF(AND(ISNUMBER(AM458),ISNUMBER(AN458),AM458&gt;0,AN458&gt;0),AN458/AM458-1,""))</f>
        <v/>
      </c>
      <c r="AQ458" s="9" t="str">
        <f aca="false">IF(I458="","",(YEAR(I458)-IF(MONTH(I458)&lt;4,1,0))&amp;"-"&amp;RIGHT((YEAR(I458)-IF(MONTH(I458)&lt;4,1,0))+1,2))</f>
        <v/>
      </c>
      <c r="AR458" s="9" t="str">
        <f aca="false">IF(J458="","",(YEAR(J458)-IF(MONTH(J458)&lt;4,1,0))&amp;"-"&amp;RIGHT((YEAR(J458)-IF(MONTH(J458)&lt;4,1,0))+1,2))</f>
        <v/>
      </c>
      <c r="AS458" s="43" t="str">
        <f aca="false">IF(OR(B458="",Q458="",D458&lt;&gt;"Active"),"",DATE(YEAR(AsOf)+IF(DATE(YEAR(AsOf),MONTH(Q458),DAY(Q458))&lt;AsOf,1,0),MONTH(Q458),DAY(Q458))-AsOf)</f>
        <v/>
      </c>
      <c r="AT458" s="43" t="str">
        <f aca="false">IF(OR(B458="",I458="",D458&lt;&gt;"Active"),"",IF(YEAR(DATE(YEAR(AsOf)+IF(DATE(YEAR(AsOf),MONTH(I458),DAY(I458))&lt;AsOf,1,0),MONTH(I458),DAY(I458)))-YEAR(I458)&lt;1,"",DATE(YEAR(AsOf)+IF(DATE(YEAR(AsOf),MONTH(I458),DAY(I458))&lt;AsOf,1,0),MONTH(I458),DAY(I458))-AsOf))</f>
        <v/>
      </c>
      <c r="AU458" s="43" t="str">
        <f aca="false">IF(B458="","",IF(AV458="",0,LEN(AV458)-LEN(SUBSTITUTE(AV458,";",""))))</f>
        <v/>
      </c>
      <c r="AV458" s="9" t="str">
        <f aca="false">IF(B458="","",IF(COUNTIF($B$6:$B$505,B458)&gt;1,"Duplicate Emp Code; ","")&amp;IF(C458="","Name missing; ","")&amp;IF(I458="","DOJ missing; ","")&amp;IF(AND(J458&lt;&gt;"",I458&lt;&gt;"",J458&lt;I458),"Exit before DOJ; ","")&amp;IF(Q458="","DOB missing; ","")&amp;IF(T458="","Aadhaar missing; ",IF(LEN(T458)&lt;&gt;12,"Aadhaar not 12 digits; ",IF(COUNTIF($T$6:$T$505,T458)&gt;1,"Duplicate Aadhaar; ","")))&amp;IF(U458="","PAN missing; ",IF(LEN(U458)&lt;&gt;10,"PAN not 10 chars; ",""))&amp;IF(V458="","Mobile missing; ",IF(LEN(V458)&lt;&gt;10,"Mobile not 10 digits; ",""))&amp;IF(AG458="","Bank A/c missing; ","")&amp;IF(AH458="","IFSC missing; ",IF(LEN(AH458)&lt;&gt;11,"IFSC not 11 chars; ","")))</f>
        <v/>
      </c>
      <c r="AW458" s="46" t="str">
        <f aca="false">IF(AS458="","",AS458+ROW()/100000)</f>
        <v/>
      </c>
      <c r="AX458" s="46" t="str">
        <f aca="false">IF(AT458="","",AT458+ROW()/100000)</f>
        <v/>
      </c>
    </row>
    <row r="459" customFormat="false" ht="15" hidden="false" customHeight="false" outlineLevel="0" collapsed="false">
      <c r="A459" s="9" t="str">
        <f aca="false">IF(B459="","",ROW()-5)</f>
        <v/>
      </c>
      <c r="B459" s="40"/>
      <c r="C459" s="8"/>
      <c r="D459" s="9" t="str">
        <f aca="false">IF(B459="","",IF(J459="","Active","Exited"))</f>
        <v/>
      </c>
      <c r="E459" s="8"/>
      <c r="F459" s="8"/>
      <c r="G459" s="8"/>
      <c r="H459" s="9" t="str">
        <f aca="false">IF(OR(B459="",I459=""),"",IF(IF(J459="",AsOf,J459)-I459&gt;=Settings!$C$13,"Permanent","Probation"))</f>
        <v/>
      </c>
      <c r="I459" s="41"/>
      <c r="J459" s="41"/>
      <c r="K459" s="8"/>
      <c r="L459" s="42" t="str">
        <f aca="false">IF(OR(B459="",I459=""),"",ROUND((IF(J459="",AsOf,J459)-I459)/365.25,1))</f>
        <v/>
      </c>
      <c r="M459" s="8"/>
      <c r="N459" s="8"/>
      <c r="O459" s="8"/>
      <c r="P459" s="8"/>
      <c r="Q459" s="41"/>
      <c r="R459" s="43" t="str">
        <f aca="false">IF(OR(B459="",Q459=""),"",INT((AsOf-Q459)/365.25))</f>
        <v/>
      </c>
      <c r="S459" s="8"/>
      <c r="T459" s="40"/>
      <c r="U459" s="40"/>
      <c r="V459" s="40"/>
      <c r="W459" s="40"/>
      <c r="X459" s="8"/>
      <c r="Y459" s="8"/>
      <c r="Z459" s="8"/>
      <c r="AA459" s="8"/>
      <c r="AB459" s="8"/>
      <c r="AC459" s="8"/>
      <c r="AD459" s="8"/>
      <c r="AE459" s="40"/>
      <c r="AF459" s="8"/>
      <c r="AG459" s="40"/>
      <c r="AH459" s="40"/>
      <c r="AI459" s="8"/>
      <c r="AJ459" s="40"/>
      <c r="AK459" s="40"/>
      <c r="AL459" s="40"/>
      <c r="AM459" s="44"/>
      <c r="AN459" s="44"/>
      <c r="AO459" s="41"/>
      <c r="AP459" s="45" t="str">
        <f aca="false">IF(B459="","",IF(AND(ISNUMBER(AM459),ISNUMBER(AN459),AM459&gt;0,AN459&gt;0),AN459/AM459-1,""))</f>
        <v/>
      </c>
      <c r="AQ459" s="9" t="str">
        <f aca="false">IF(I459="","",(YEAR(I459)-IF(MONTH(I459)&lt;4,1,0))&amp;"-"&amp;RIGHT((YEAR(I459)-IF(MONTH(I459)&lt;4,1,0))+1,2))</f>
        <v/>
      </c>
      <c r="AR459" s="9" t="str">
        <f aca="false">IF(J459="","",(YEAR(J459)-IF(MONTH(J459)&lt;4,1,0))&amp;"-"&amp;RIGHT((YEAR(J459)-IF(MONTH(J459)&lt;4,1,0))+1,2))</f>
        <v/>
      </c>
      <c r="AS459" s="43" t="str">
        <f aca="false">IF(OR(B459="",Q459="",D459&lt;&gt;"Active"),"",DATE(YEAR(AsOf)+IF(DATE(YEAR(AsOf),MONTH(Q459),DAY(Q459))&lt;AsOf,1,0),MONTH(Q459),DAY(Q459))-AsOf)</f>
        <v/>
      </c>
      <c r="AT459" s="43" t="str">
        <f aca="false">IF(OR(B459="",I459="",D459&lt;&gt;"Active"),"",IF(YEAR(DATE(YEAR(AsOf)+IF(DATE(YEAR(AsOf),MONTH(I459),DAY(I459))&lt;AsOf,1,0),MONTH(I459),DAY(I459)))-YEAR(I459)&lt;1,"",DATE(YEAR(AsOf)+IF(DATE(YEAR(AsOf),MONTH(I459),DAY(I459))&lt;AsOf,1,0),MONTH(I459),DAY(I459))-AsOf))</f>
        <v/>
      </c>
      <c r="AU459" s="43" t="str">
        <f aca="false">IF(B459="","",IF(AV459="",0,LEN(AV459)-LEN(SUBSTITUTE(AV459,";",""))))</f>
        <v/>
      </c>
      <c r="AV459" s="9" t="str">
        <f aca="false">IF(B459="","",IF(COUNTIF($B$6:$B$505,B459)&gt;1,"Duplicate Emp Code; ","")&amp;IF(C459="","Name missing; ","")&amp;IF(I459="","DOJ missing; ","")&amp;IF(AND(J459&lt;&gt;"",I459&lt;&gt;"",J459&lt;I459),"Exit before DOJ; ","")&amp;IF(Q459="","DOB missing; ","")&amp;IF(T459="","Aadhaar missing; ",IF(LEN(T459)&lt;&gt;12,"Aadhaar not 12 digits; ",IF(COUNTIF($T$6:$T$505,T459)&gt;1,"Duplicate Aadhaar; ","")))&amp;IF(U459="","PAN missing; ",IF(LEN(U459)&lt;&gt;10,"PAN not 10 chars; ",""))&amp;IF(V459="","Mobile missing; ",IF(LEN(V459)&lt;&gt;10,"Mobile not 10 digits; ",""))&amp;IF(AG459="","Bank A/c missing; ","")&amp;IF(AH459="","IFSC missing; ",IF(LEN(AH459)&lt;&gt;11,"IFSC not 11 chars; ","")))</f>
        <v/>
      </c>
      <c r="AW459" s="46" t="str">
        <f aca="false">IF(AS459="","",AS459+ROW()/100000)</f>
        <v/>
      </c>
      <c r="AX459" s="46" t="str">
        <f aca="false">IF(AT459="","",AT459+ROW()/100000)</f>
        <v/>
      </c>
    </row>
    <row r="460" customFormat="false" ht="15" hidden="false" customHeight="false" outlineLevel="0" collapsed="false">
      <c r="A460" s="9" t="str">
        <f aca="false">IF(B460="","",ROW()-5)</f>
        <v/>
      </c>
      <c r="B460" s="40"/>
      <c r="C460" s="8"/>
      <c r="D460" s="9" t="str">
        <f aca="false">IF(B460="","",IF(J460="","Active","Exited"))</f>
        <v/>
      </c>
      <c r="E460" s="8"/>
      <c r="F460" s="8"/>
      <c r="G460" s="8"/>
      <c r="H460" s="9" t="str">
        <f aca="false">IF(OR(B460="",I460=""),"",IF(IF(J460="",AsOf,J460)-I460&gt;=Settings!$C$13,"Permanent","Probation"))</f>
        <v/>
      </c>
      <c r="I460" s="41"/>
      <c r="J460" s="41"/>
      <c r="K460" s="8"/>
      <c r="L460" s="42" t="str">
        <f aca="false">IF(OR(B460="",I460=""),"",ROUND((IF(J460="",AsOf,J460)-I460)/365.25,1))</f>
        <v/>
      </c>
      <c r="M460" s="8"/>
      <c r="N460" s="8"/>
      <c r="O460" s="8"/>
      <c r="P460" s="8"/>
      <c r="Q460" s="41"/>
      <c r="R460" s="43" t="str">
        <f aca="false">IF(OR(B460="",Q460=""),"",INT((AsOf-Q460)/365.25))</f>
        <v/>
      </c>
      <c r="S460" s="8"/>
      <c r="T460" s="40"/>
      <c r="U460" s="40"/>
      <c r="V460" s="40"/>
      <c r="W460" s="40"/>
      <c r="X460" s="8"/>
      <c r="Y460" s="8"/>
      <c r="Z460" s="8"/>
      <c r="AA460" s="8"/>
      <c r="AB460" s="8"/>
      <c r="AC460" s="8"/>
      <c r="AD460" s="8"/>
      <c r="AE460" s="40"/>
      <c r="AF460" s="8"/>
      <c r="AG460" s="40"/>
      <c r="AH460" s="40"/>
      <c r="AI460" s="8"/>
      <c r="AJ460" s="40"/>
      <c r="AK460" s="40"/>
      <c r="AL460" s="40"/>
      <c r="AM460" s="44"/>
      <c r="AN460" s="44"/>
      <c r="AO460" s="41"/>
      <c r="AP460" s="45" t="str">
        <f aca="false">IF(B460="","",IF(AND(ISNUMBER(AM460),ISNUMBER(AN460),AM460&gt;0,AN460&gt;0),AN460/AM460-1,""))</f>
        <v/>
      </c>
      <c r="AQ460" s="9" t="str">
        <f aca="false">IF(I460="","",(YEAR(I460)-IF(MONTH(I460)&lt;4,1,0))&amp;"-"&amp;RIGHT((YEAR(I460)-IF(MONTH(I460)&lt;4,1,0))+1,2))</f>
        <v/>
      </c>
      <c r="AR460" s="9" t="str">
        <f aca="false">IF(J460="","",(YEAR(J460)-IF(MONTH(J460)&lt;4,1,0))&amp;"-"&amp;RIGHT((YEAR(J460)-IF(MONTH(J460)&lt;4,1,0))+1,2))</f>
        <v/>
      </c>
      <c r="AS460" s="43" t="str">
        <f aca="false">IF(OR(B460="",Q460="",D460&lt;&gt;"Active"),"",DATE(YEAR(AsOf)+IF(DATE(YEAR(AsOf),MONTH(Q460),DAY(Q460))&lt;AsOf,1,0),MONTH(Q460),DAY(Q460))-AsOf)</f>
        <v/>
      </c>
      <c r="AT460" s="43" t="str">
        <f aca="false">IF(OR(B460="",I460="",D460&lt;&gt;"Active"),"",IF(YEAR(DATE(YEAR(AsOf)+IF(DATE(YEAR(AsOf),MONTH(I460),DAY(I460))&lt;AsOf,1,0),MONTH(I460),DAY(I460)))-YEAR(I460)&lt;1,"",DATE(YEAR(AsOf)+IF(DATE(YEAR(AsOf),MONTH(I460),DAY(I460))&lt;AsOf,1,0),MONTH(I460),DAY(I460))-AsOf))</f>
        <v/>
      </c>
      <c r="AU460" s="43" t="str">
        <f aca="false">IF(B460="","",IF(AV460="",0,LEN(AV460)-LEN(SUBSTITUTE(AV460,";",""))))</f>
        <v/>
      </c>
      <c r="AV460" s="9" t="str">
        <f aca="false">IF(B460="","",IF(COUNTIF($B$6:$B$505,B460)&gt;1,"Duplicate Emp Code; ","")&amp;IF(C460="","Name missing; ","")&amp;IF(I460="","DOJ missing; ","")&amp;IF(AND(J460&lt;&gt;"",I460&lt;&gt;"",J460&lt;I460),"Exit before DOJ; ","")&amp;IF(Q460="","DOB missing; ","")&amp;IF(T460="","Aadhaar missing; ",IF(LEN(T460)&lt;&gt;12,"Aadhaar not 12 digits; ",IF(COUNTIF($T$6:$T$505,T460)&gt;1,"Duplicate Aadhaar; ","")))&amp;IF(U460="","PAN missing; ",IF(LEN(U460)&lt;&gt;10,"PAN not 10 chars; ",""))&amp;IF(V460="","Mobile missing; ",IF(LEN(V460)&lt;&gt;10,"Mobile not 10 digits; ",""))&amp;IF(AG460="","Bank A/c missing; ","")&amp;IF(AH460="","IFSC missing; ",IF(LEN(AH460)&lt;&gt;11,"IFSC not 11 chars; ","")))</f>
        <v/>
      </c>
      <c r="AW460" s="46" t="str">
        <f aca="false">IF(AS460="","",AS460+ROW()/100000)</f>
        <v/>
      </c>
      <c r="AX460" s="46" t="str">
        <f aca="false">IF(AT460="","",AT460+ROW()/100000)</f>
        <v/>
      </c>
    </row>
    <row r="461" customFormat="false" ht="15" hidden="false" customHeight="false" outlineLevel="0" collapsed="false">
      <c r="A461" s="9" t="str">
        <f aca="false">IF(B461="","",ROW()-5)</f>
        <v/>
      </c>
      <c r="B461" s="40"/>
      <c r="C461" s="8"/>
      <c r="D461" s="9" t="str">
        <f aca="false">IF(B461="","",IF(J461="","Active","Exited"))</f>
        <v/>
      </c>
      <c r="E461" s="8"/>
      <c r="F461" s="8"/>
      <c r="G461" s="8"/>
      <c r="H461" s="9" t="str">
        <f aca="false">IF(OR(B461="",I461=""),"",IF(IF(J461="",AsOf,J461)-I461&gt;=Settings!$C$13,"Permanent","Probation"))</f>
        <v/>
      </c>
      <c r="I461" s="41"/>
      <c r="J461" s="41"/>
      <c r="K461" s="8"/>
      <c r="L461" s="42" t="str">
        <f aca="false">IF(OR(B461="",I461=""),"",ROUND((IF(J461="",AsOf,J461)-I461)/365.25,1))</f>
        <v/>
      </c>
      <c r="M461" s="8"/>
      <c r="N461" s="8"/>
      <c r="O461" s="8"/>
      <c r="P461" s="8"/>
      <c r="Q461" s="41"/>
      <c r="R461" s="43" t="str">
        <f aca="false">IF(OR(B461="",Q461=""),"",INT((AsOf-Q461)/365.25))</f>
        <v/>
      </c>
      <c r="S461" s="8"/>
      <c r="T461" s="40"/>
      <c r="U461" s="40"/>
      <c r="V461" s="40"/>
      <c r="W461" s="40"/>
      <c r="X461" s="8"/>
      <c r="Y461" s="8"/>
      <c r="Z461" s="8"/>
      <c r="AA461" s="8"/>
      <c r="AB461" s="8"/>
      <c r="AC461" s="8"/>
      <c r="AD461" s="8"/>
      <c r="AE461" s="40"/>
      <c r="AF461" s="8"/>
      <c r="AG461" s="40"/>
      <c r="AH461" s="40"/>
      <c r="AI461" s="8"/>
      <c r="AJ461" s="40"/>
      <c r="AK461" s="40"/>
      <c r="AL461" s="40"/>
      <c r="AM461" s="44"/>
      <c r="AN461" s="44"/>
      <c r="AO461" s="41"/>
      <c r="AP461" s="45" t="str">
        <f aca="false">IF(B461="","",IF(AND(ISNUMBER(AM461),ISNUMBER(AN461),AM461&gt;0,AN461&gt;0),AN461/AM461-1,""))</f>
        <v/>
      </c>
      <c r="AQ461" s="9" t="str">
        <f aca="false">IF(I461="","",(YEAR(I461)-IF(MONTH(I461)&lt;4,1,0))&amp;"-"&amp;RIGHT((YEAR(I461)-IF(MONTH(I461)&lt;4,1,0))+1,2))</f>
        <v/>
      </c>
      <c r="AR461" s="9" t="str">
        <f aca="false">IF(J461="","",(YEAR(J461)-IF(MONTH(J461)&lt;4,1,0))&amp;"-"&amp;RIGHT((YEAR(J461)-IF(MONTH(J461)&lt;4,1,0))+1,2))</f>
        <v/>
      </c>
      <c r="AS461" s="43" t="str">
        <f aca="false">IF(OR(B461="",Q461="",D461&lt;&gt;"Active"),"",DATE(YEAR(AsOf)+IF(DATE(YEAR(AsOf),MONTH(Q461),DAY(Q461))&lt;AsOf,1,0),MONTH(Q461),DAY(Q461))-AsOf)</f>
        <v/>
      </c>
      <c r="AT461" s="43" t="str">
        <f aca="false">IF(OR(B461="",I461="",D461&lt;&gt;"Active"),"",IF(YEAR(DATE(YEAR(AsOf)+IF(DATE(YEAR(AsOf),MONTH(I461),DAY(I461))&lt;AsOf,1,0),MONTH(I461),DAY(I461)))-YEAR(I461)&lt;1,"",DATE(YEAR(AsOf)+IF(DATE(YEAR(AsOf),MONTH(I461),DAY(I461))&lt;AsOf,1,0),MONTH(I461),DAY(I461))-AsOf))</f>
        <v/>
      </c>
      <c r="AU461" s="43" t="str">
        <f aca="false">IF(B461="","",IF(AV461="",0,LEN(AV461)-LEN(SUBSTITUTE(AV461,";",""))))</f>
        <v/>
      </c>
      <c r="AV461" s="9" t="str">
        <f aca="false">IF(B461="","",IF(COUNTIF($B$6:$B$505,B461)&gt;1,"Duplicate Emp Code; ","")&amp;IF(C461="","Name missing; ","")&amp;IF(I461="","DOJ missing; ","")&amp;IF(AND(J461&lt;&gt;"",I461&lt;&gt;"",J461&lt;I461),"Exit before DOJ; ","")&amp;IF(Q461="","DOB missing; ","")&amp;IF(T461="","Aadhaar missing; ",IF(LEN(T461)&lt;&gt;12,"Aadhaar not 12 digits; ",IF(COUNTIF($T$6:$T$505,T461)&gt;1,"Duplicate Aadhaar; ","")))&amp;IF(U461="","PAN missing; ",IF(LEN(U461)&lt;&gt;10,"PAN not 10 chars; ",""))&amp;IF(V461="","Mobile missing; ",IF(LEN(V461)&lt;&gt;10,"Mobile not 10 digits; ",""))&amp;IF(AG461="","Bank A/c missing; ","")&amp;IF(AH461="","IFSC missing; ",IF(LEN(AH461)&lt;&gt;11,"IFSC not 11 chars; ","")))</f>
        <v/>
      </c>
      <c r="AW461" s="46" t="str">
        <f aca="false">IF(AS461="","",AS461+ROW()/100000)</f>
        <v/>
      </c>
      <c r="AX461" s="46" t="str">
        <f aca="false">IF(AT461="","",AT461+ROW()/100000)</f>
        <v/>
      </c>
    </row>
    <row r="462" customFormat="false" ht="15" hidden="false" customHeight="false" outlineLevel="0" collapsed="false">
      <c r="A462" s="9" t="str">
        <f aca="false">IF(B462="","",ROW()-5)</f>
        <v/>
      </c>
      <c r="B462" s="40"/>
      <c r="C462" s="8"/>
      <c r="D462" s="9" t="str">
        <f aca="false">IF(B462="","",IF(J462="","Active","Exited"))</f>
        <v/>
      </c>
      <c r="E462" s="8"/>
      <c r="F462" s="8"/>
      <c r="G462" s="8"/>
      <c r="H462" s="9" t="str">
        <f aca="false">IF(OR(B462="",I462=""),"",IF(IF(J462="",AsOf,J462)-I462&gt;=Settings!$C$13,"Permanent","Probation"))</f>
        <v/>
      </c>
      <c r="I462" s="41"/>
      <c r="J462" s="41"/>
      <c r="K462" s="8"/>
      <c r="L462" s="42" t="str">
        <f aca="false">IF(OR(B462="",I462=""),"",ROUND((IF(J462="",AsOf,J462)-I462)/365.25,1))</f>
        <v/>
      </c>
      <c r="M462" s="8"/>
      <c r="N462" s="8"/>
      <c r="O462" s="8"/>
      <c r="P462" s="8"/>
      <c r="Q462" s="41"/>
      <c r="R462" s="43" t="str">
        <f aca="false">IF(OR(B462="",Q462=""),"",INT((AsOf-Q462)/365.25))</f>
        <v/>
      </c>
      <c r="S462" s="8"/>
      <c r="T462" s="40"/>
      <c r="U462" s="40"/>
      <c r="V462" s="40"/>
      <c r="W462" s="40"/>
      <c r="X462" s="8"/>
      <c r="Y462" s="8"/>
      <c r="Z462" s="8"/>
      <c r="AA462" s="8"/>
      <c r="AB462" s="8"/>
      <c r="AC462" s="8"/>
      <c r="AD462" s="8"/>
      <c r="AE462" s="40"/>
      <c r="AF462" s="8"/>
      <c r="AG462" s="40"/>
      <c r="AH462" s="40"/>
      <c r="AI462" s="8"/>
      <c r="AJ462" s="40"/>
      <c r="AK462" s="40"/>
      <c r="AL462" s="40"/>
      <c r="AM462" s="44"/>
      <c r="AN462" s="44"/>
      <c r="AO462" s="41"/>
      <c r="AP462" s="45" t="str">
        <f aca="false">IF(B462="","",IF(AND(ISNUMBER(AM462),ISNUMBER(AN462),AM462&gt;0,AN462&gt;0),AN462/AM462-1,""))</f>
        <v/>
      </c>
      <c r="AQ462" s="9" t="str">
        <f aca="false">IF(I462="","",(YEAR(I462)-IF(MONTH(I462)&lt;4,1,0))&amp;"-"&amp;RIGHT((YEAR(I462)-IF(MONTH(I462)&lt;4,1,0))+1,2))</f>
        <v/>
      </c>
      <c r="AR462" s="9" t="str">
        <f aca="false">IF(J462="","",(YEAR(J462)-IF(MONTH(J462)&lt;4,1,0))&amp;"-"&amp;RIGHT((YEAR(J462)-IF(MONTH(J462)&lt;4,1,0))+1,2))</f>
        <v/>
      </c>
      <c r="AS462" s="43" t="str">
        <f aca="false">IF(OR(B462="",Q462="",D462&lt;&gt;"Active"),"",DATE(YEAR(AsOf)+IF(DATE(YEAR(AsOf),MONTH(Q462),DAY(Q462))&lt;AsOf,1,0),MONTH(Q462),DAY(Q462))-AsOf)</f>
        <v/>
      </c>
      <c r="AT462" s="43" t="str">
        <f aca="false">IF(OR(B462="",I462="",D462&lt;&gt;"Active"),"",IF(YEAR(DATE(YEAR(AsOf)+IF(DATE(YEAR(AsOf),MONTH(I462),DAY(I462))&lt;AsOf,1,0),MONTH(I462),DAY(I462)))-YEAR(I462)&lt;1,"",DATE(YEAR(AsOf)+IF(DATE(YEAR(AsOf),MONTH(I462),DAY(I462))&lt;AsOf,1,0),MONTH(I462),DAY(I462))-AsOf))</f>
        <v/>
      </c>
      <c r="AU462" s="43" t="str">
        <f aca="false">IF(B462="","",IF(AV462="",0,LEN(AV462)-LEN(SUBSTITUTE(AV462,";",""))))</f>
        <v/>
      </c>
      <c r="AV462" s="9" t="str">
        <f aca="false">IF(B462="","",IF(COUNTIF($B$6:$B$505,B462)&gt;1,"Duplicate Emp Code; ","")&amp;IF(C462="","Name missing; ","")&amp;IF(I462="","DOJ missing; ","")&amp;IF(AND(J462&lt;&gt;"",I462&lt;&gt;"",J462&lt;I462),"Exit before DOJ; ","")&amp;IF(Q462="","DOB missing; ","")&amp;IF(T462="","Aadhaar missing; ",IF(LEN(T462)&lt;&gt;12,"Aadhaar not 12 digits; ",IF(COUNTIF($T$6:$T$505,T462)&gt;1,"Duplicate Aadhaar; ","")))&amp;IF(U462="","PAN missing; ",IF(LEN(U462)&lt;&gt;10,"PAN not 10 chars; ",""))&amp;IF(V462="","Mobile missing; ",IF(LEN(V462)&lt;&gt;10,"Mobile not 10 digits; ",""))&amp;IF(AG462="","Bank A/c missing; ","")&amp;IF(AH462="","IFSC missing; ",IF(LEN(AH462)&lt;&gt;11,"IFSC not 11 chars; ","")))</f>
        <v/>
      </c>
      <c r="AW462" s="46" t="str">
        <f aca="false">IF(AS462="","",AS462+ROW()/100000)</f>
        <v/>
      </c>
      <c r="AX462" s="46" t="str">
        <f aca="false">IF(AT462="","",AT462+ROW()/100000)</f>
        <v/>
      </c>
    </row>
    <row r="463" customFormat="false" ht="15" hidden="false" customHeight="false" outlineLevel="0" collapsed="false">
      <c r="A463" s="9" t="str">
        <f aca="false">IF(B463="","",ROW()-5)</f>
        <v/>
      </c>
      <c r="B463" s="40"/>
      <c r="C463" s="8"/>
      <c r="D463" s="9" t="str">
        <f aca="false">IF(B463="","",IF(J463="","Active","Exited"))</f>
        <v/>
      </c>
      <c r="E463" s="8"/>
      <c r="F463" s="8"/>
      <c r="G463" s="8"/>
      <c r="H463" s="9" t="str">
        <f aca="false">IF(OR(B463="",I463=""),"",IF(IF(J463="",AsOf,J463)-I463&gt;=Settings!$C$13,"Permanent","Probation"))</f>
        <v/>
      </c>
      <c r="I463" s="41"/>
      <c r="J463" s="41"/>
      <c r="K463" s="8"/>
      <c r="L463" s="42" t="str">
        <f aca="false">IF(OR(B463="",I463=""),"",ROUND((IF(J463="",AsOf,J463)-I463)/365.25,1))</f>
        <v/>
      </c>
      <c r="M463" s="8"/>
      <c r="N463" s="8"/>
      <c r="O463" s="8"/>
      <c r="P463" s="8"/>
      <c r="Q463" s="41"/>
      <c r="R463" s="43" t="str">
        <f aca="false">IF(OR(B463="",Q463=""),"",INT((AsOf-Q463)/365.25))</f>
        <v/>
      </c>
      <c r="S463" s="8"/>
      <c r="T463" s="40"/>
      <c r="U463" s="40"/>
      <c r="V463" s="40"/>
      <c r="W463" s="40"/>
      <c r="X463" s="8"/>
      <c r="Y463" s="8"/>
      <c r="Z463" s="8"/>
      <c r="AA463" s="8"/>
      <c r="AB463" s="8"/>
      <c r="AC463" s="8"/>
      <c r="AD463" s="8"/>
      <c r="AE463" s="40"/>
      <c r="AF463" s="8"/>
      <c r="AG463" s="40"/>
      <c r="AH463" s="40"/>
      <c r="AI463" s="8"/>
      <c r="AJ463" s="40"/>
      <c r="AK463" s="40"/>
      <c r="AL463" s="40"/>
      <c r="AM463" s="44"/>
      <c r="AN463" s="44"/>
      <c r="AO463" s="41"/>
      <c r="AP463" s="45" t="str">
        <f aca="false">IF(B463="","",IF(AND(ISNUMBER(AM463),ISNUMBER(AN463),AM463&gt;0,AN463&gt;0),AN463/AM463-1,""))</f>
        <v/>
      </c>
      <c r="AQ463" s="9" t="str">
        <f aca="false">IF(I463="","",(YEAR(I463)-IF(MONTH(I463)&lt;4,1,0))&amp;"-"&amp;RIGHT((YEAR(I463)-IF(MONTH(I463)&lt;4,1,0))+1,2))</f>
        <v/>
      </c>
      <c r="AR463" s="9" t="str">
        <f aca="false">IF(J463="","",(YEAR(J463)-IF(MONTH(J463)&lt;4,1,0))&amp;"-"&amp;RIGHT((YEAR(J463)-IF(MONTH(J463)&lt;4,1,0))+1,2))</f>
        <v/>
      </c>
      <c r="AS463" s="43" t="str">
        <f aca="false">IF(OR(B463="",Q463="",D463&lt;&gt;"Active"),"",DATE(YEAR(AsOf)+IF(DATE(YEAR(AsOf),MONTH(Q463),DAY(Q463))&lt;AsOf,1,0),MONTH(Q463),DAY(Q463))-AsOf)</f>
        <v/>
      </c>
      <c r="AT463" s="43" t="str">
        <f aca="false">IF(OR(B463="",I463="",D463&lt;&gt;"Active"),"",IF(YEAR(DATE(YEAR(AsOf)+IF(DATE(YEAR(AsOf),MONTH(I463),DAY(I463))&lt;AsOf,1,0),MONTH(I463),DAY(I463)))-YEAR(I463)&lt;1,"",DATE(YEAR(AsOf)+IF(DATE(YEAR(AsOf),MONTH(I463),DAY(I463))&lt;AsOf,1,0),MONTH(I463),DAY(I463))-AsOf))</f>
        <v/>
      </c>
      <c r="AU463" s="43" t="str">
        <f aca="false">IF(B463="","",IF(AV463="",0,LEN(AV463)-LEN(SUBSTITUTE(AV463,";",""))))</f>
        <v/>
      </c>
      <c r="AV463" s="9" t="str">
        <f aca="false">IF(B463="","",IF(COUNTIF($B$6:$B$505,B463)&gt;1,"Duplicate Emp Code; ","")&amp;IF(C463="","Name missing; ","")&amp;IF(I463="","DOJ missing; ","")&amp;IF(AND(J463&lt;&gt;"",I463&lt;&gt;"",J463&lt;I463),"Exit before DOJ; ","")&amp;IF(Q463="","DOB missing; ","")&amp;IF(T463="","Aadhaar missing; ",IF(LEN(T463)&lt;&gt;12,"Aadhaar not 12 digits; ",IF(COUNTIF($T$6:$T$505,T463)&gt;1,"Duplicate Aadhaar; ","")))&amp;IF(U463="","PAN missing; ",IF(LEN(U463)&lt;&gt;10,"PAN not 10 chars; ",""))&amp;IF(V463="","Mobile missing; ",IF(LEN(V463)&lt;&gt;10,"Mobile not 10 digits; ",""))&amp;IF(AG463="","Bank A/c missing; ","")&amp;IF(AH463="","IFSC missing; ",IF(LEN(AH463)&lt;&gt;11,"IFSC not 11 chars; ","")))</f>
        <v/>
      </c>
      <c r="AW463" s="46" t="str">
        <f aca="false">IF(AS463="","",AS463+ROW()/100000)</f>
        <v/>
      </c>
      <c r="AX463" s="46" t="str">
        <f aca="false">IF(AT463="","",AT463+ROW()/100000)</f>
        <v/>
      </c>
    </row>
    <row r="464" customFormat="false" ht="15" hidden="false" customHeight="false" outlineLevel="0" collapsed="false">
      <c r="A464" s="9" t="str">
        <f aca="false">IF(B464="","",ROW()-5)</f>
        <v/>
      </c>
      <c r="B464" s="40"/>
      <c r="C464" s="8"/>
      <c r="D464" s="9" t="str">
        <f aca="false">IF(B464="","",IF(J464="","Active","Exited"))</f>
        <v/>
      </c>
      <c r="E464" s="8"/>
      <c r="F464" s="8"/>
      <c r="G464" s="8"/>
      <c r="H464" s="9" t="str">
        <f aca="false">IF(OR(B464="",I464=""),"",IF(IF(J464="",AsOf,J464)-I464&gt;=Settings!$C$13,"Permanent","Probation"))</f>
        <v/>
      </c>
      <c r="I464" s="41"/>
      <c r="J464" s="41"/>
      <c r="K464" s="8"/>
      <c r="L464" s="42" t="str">
        <f aca="false">IF(OR(B464="",I464=""),"",ROUND((IF(J464="",AsOf,J464)-I464)/365.25,1))</f>
        <v/>
      </c>
      <c r="M464" s="8"/>
      <c r="N464" s="8"/>
      <c r="O464" s="8"/>
      <c r="P464" s="8"/>
      <c r="Q464" s="41"/>
      <c r="R464" s="43" t="str">
        <f aca="false">IF(OR(B464="",Q464=""),"",INT((AsOf-Q464)/365.25))</f>
        <v/>
      </c>
      <c r="S464" s="8"/>
      <c r="T464" s="40"/>
      <c r="U464" s="40"/>
      <c r="V464" s="40"/>
      <c r="W464" s="40"/>
      <c r="X464" s="8"/>
      <c r="Y464" s="8"/>
      <c r="Z464" s="8"/>
      <c r="AA464" s="8"/>
      <c r="AB464" s="8"/>
      <c r="AC464" s="8"/>
      <c r="AD464" s="8"/>
      <c r="AE464" s="40"/>
      <c r="AF464" s="8"/>
      <c r="AG464" s="40"/>
      <c r="AH464" s="40"/>
      <c r="AI464" s="8"/>
      <c r="AJ464" s="40"/>
      <c r="AK464" s="40"/>
      <c r="AL464" s="40"/>
      <c r="AM464" s="44"/>
      <c r="AN464" s="44"/>
      <c r="AO464" s="41"/>
      <c r="AP464" s="45" t="str">
        <f aca="false">IF(B464="","",IF(AND(ISNUMBER(AM464),ISNUMBER(AN464),AM464&gt;0,AN464&gt;0),AN464/AM464-1,""))</f>
        <v/>
      </c>
      <c r="AQ464" s="9" t="str">
        <f aca="false">IF(I464="","",(YEAR(I464)-IF(MONTH(I464)&lt;4,1,0))&amp;"-"&amp;RIGHT((YEAR(I464)-IF(MONTH(I464)&lt;4,1,0))+1,2))</f>
        <v/>
      </c>
      <c r="AR464" s="9" t="str">
        <f aca="false">IF(J464="","",(YEAR(J464)-IF(MONTH(J464)&lt;4,1,0))&amp;"-"&amp;RIGHT((YEAR(J464)-IF(MONTH(J464)&lt;4,1,0))+1,2))</f>
        <v/>
      </c>
      <c r="AS464" s="43" t="str">
        <f aca="false">IF(OR(B464="",Q464="",D464&lt;&gt;"Active"),"",DATE(YEAR(AsOf)+IF(DATE(YEAR(AsOf),MONTH(Q464),DAY(Q464))&lt;AsOf,1,0),MONTH(Q464),DAY(Q464))-AsOf)</f>
        <v/>
      </c>
      <c r="AT464" s="43" t="str">
        <f aca="false">IF(OR(B464="",I464="",D464&lt;&gt;"Active"),"",IF(YEAR(DATE(YEAR(AsOf)+IF(DATE(YEAR(AsOf),MONTH(I464),DAY(I464))&lt;AsOf,1,0),MONTH(I464),DAY(I464)))-YEAR(I464)&lt;1,"",DATE(YEAR(AsOf)+IF(DATE(YEAR(AsOf),MONTH(I464),DAY(I464))&lt;AsOf,1,0),MONTH(I464),DAY(I464))-AsOf))</f>
        <v/>
      </c>
      <c r="AU464" s="43" t="str">
        <f aca="false">IF(B464="","",IF(AV464="",0,LEN(AV464)-LEN(SUBSTITUTE(AV464,";",""))))</f>
        <v/>
      </c>
      <c r="AV464" s="9" t="str">
        <f aca="false">IF(B464="","",IF(COUNTIF($B$6:$B$505,B464)&gt;1,"Duplicate Emp Code; ","")&amp;IF(C464="","Name missing; ","")&amp;IF(I464="","DOJ missing; ","")&amp;IF(AND(J464&lt;&gt;"",I464&lt;&gt;"",J464&lt;I464),"Exit before DOJ; ","")&amp;IF(Q464="","DOB missing; ","")&amp;IF(T464="","Aadhaar missing; ",IF(LEN(T464)&lt;&gt;12,"Aadhaar not 12 digits; ",IF(COUNTIF($T$6:$T$505,T464)&gt;1,"Duplicate Aadhaar; ","")))&amp;IF(U464="","PAN missing; ",IF(LEN(U464)&lt;&gt;10,"PAN not 10 chars; ",""))&amp;IF(V464="","Mobile missing; ",IF(LEN(V464)&lt;&gt;10,"Mobile not 10 digits; ",""))&amp;IF(AG464="","Bank A/c missing; ","")&amp;IF(AH464="","IFSC missing; ",IF(LEN(AH464)&lt;&gt;11,"IFSC not 11 chars; ","")))</f>
        <v/>
      </c>
      <c r="AW464" s="46" t="str">
        <f aca="false">IF(AS464="","",AS464+ROW()/100000)</f>
        <v/>
      </c>
      <c r="AX464" s="46" t="str">
        <f aca="false">IF(AT464="","",AT464+ROW()/100000)</f>
        <v/>
      </c>
    </row>
    <row r="465" customFormat="false" ht="15" hidden="false" customHeight="false" outlineLevel="0" collapsed="false">
      <c r="A465" s="9" t="str">
        <f aca="false">IF(B465="","",ROW()-5)</f>
        <v/>
      </c>
      <c r="B465" s="40"/>
      <c r="C465" s="8"/>
      <c r="D465" s="9" t="str">
        <f aca="false">IF(B465="","",IF(J465="","Active","Exited"))</f>
        <v/>
      </c>
      <c r="E465" s="8"/>
      <c r="F465" s="8"/>
      <c r="G465" s="8"/>
      <c r="H465" s="9" t="str">
        <f aca="false">IF(OR(B465="",I465=""),"",IF(IF(J465="",AsOf,J465)-I465&gt;=Settings!$C$13,"Permanent","Probation"))</f>
        <v/>
      </c>
      <c r="I465" s="41"/>
      <c r="J465" s="41"/>
      <c r="K465" s="8"/>
      <c r="L465" s="42" t="str">
        <f aca="false">IF(OR(B465="",I465=""),"",ROUND((IF(J465="",AsOf,J465)-I465)/365.25,1))</f>
        <v/>
      </c>
      <c r="M465" s="8"/>
      <c r="N465" s="8"/>
      <c r="O465" s="8"/>
      <c r="P465" s="8"/>
      <c r="Q465" s="41"/>
      <c r="R465" s="43" t="str">
        <f aca="false">IF(OR(B465="",Q465=""),"",INT((AsOf-Q465)/365.25))</f>
        <v/>
      </c>
      <c r="S465" s="8"/>
      <c r="T465" s="40"/>
      <c r="U465" s="40"/>
      <c r="V465" s="40"/>
      <c r="W465" s="40"/>
      <c r="X465" s="8"/>
      <c r="Y465" s="8"/>
      <c r="Z465" s="8"/>
      <c r="AA465" s="8"/>
      <c r="AB465" s="8"/>
      <c r="AC465" s="8"/>
      <c r="AD465" s="8"/>
      <c r="AE465" s="40"/>
      <c r="AF465" s="8"/>
      <c r="AG465" s="40"/>
      <c r="AH465" s="40"/>
      <c r="AI465" s="8"/>
      <c r="AJ465" s="40"/>
      <c r="AK465" s="40"/>
      <c r="AL465" s="40"/>
      <c r="AM465" s="44"/>
      <c r="AN465" s="44"/>
      <c r="AO465" s="41"/>
      <c r="AP465" s="45" t="str">
        <f aca="false">IF(B465="","",IF(AND(ISNUMBER(AM465),ISNUMBER(AN465),AM465&gt;0,AN465&gt;0),AN465/AM465-1,""))</f>
        <v/>
      </c>
      <c r="AQ465" s="9" t="str">
        <f aca="false">IF(I465="","",(YEAR(I465)-IF(MONTH(I465)&lt;4,1,0))&amp;"-"&amp;RIGHT((YEAR(I465)-IF(MONTH(I465)&lt;4,1,0))+1,2))</f>
        <v/>
      </c>
      <c r="AR465" s="9" t="str">
        <f aca="false">IF(J465="","",(YEAR(J465)-IF(MONTH(J465)&lt;4,1,0))&amp;"-"&amp;RIGHT((YEAR(J465)-IF(MONTH(J465)&lt;4,1,0))+1,2))</f>
        <v/>
      </c>
      <c r="AS465" s="43" t="str">
        <f aca="false">IF(OR(B465="",Q465="",D465&lt;&gt;"Active"),"",DATE(YEAR(AsOf)+IF(DATE(YEAR(AsOf),MONTH(Q465),DAY(Q465))&lt;AsOf,1,0),MONTH(Q465),DAY(Q465))-AsOf)</f>
        <v/>
      </c>
      <c r="AT465" s="43" t="str">
        <f aca="false">IF(OR(B465="",I465="",D465&lt;&gt;"Active"),"",IF(YEAR(DATE(YEAR(AsOf)+IF(DATE(YEAR(AsOf),MONTH(I465),DAY(I465))&lt;AsOf,1,0),MONTH(I465),DAY(I465)))-YEAR(I465)&lt;1,"",DATE(YEAR(AsOf)+IF(DATE(YEAR(AsOf),MONTH(I465),DAY(I465))&lt;AsOf,1,0),MONTH(I465),DAY(I465))-AsOf))</f>
        <v/>
      </c>
      <c r="AU465" s="43" t="str">
        <f aca="false">IF(B465="","",IF(AV465="",0,LEN(AV465)-LEN(SUBSTITUTE(AV465,";",""))))</f>
        <v/>
      </c>
      <c r="AV465" s="9" t="str">
        <f aca="false">IF(B465="","",IF(COUNTIF($B$6:$B$505,B465)&gt;1,"Duplicate Emp Code; ","")&amp;IF(C465="","Name missing; ","")&amp;IF(I465="","DOJ missing; ","")&amp;IF(AND(J465&lt;&gt;"",I465&lt;&gt;"",J465&lt;I465),"Exit before DOJ; ","")&amp;IF(Q465="","DOB missing; ","")&amp;IF(T465="","Aadhaar missing; ",IF(LEN(T465)&lt;&gt;12,"Aadhaar not 12 digits; ",IF(COUNTIF($T$6:$T$505,T465)&gt;1,"Duplicate Aadhaar; ","")))&amp;IF(U465="","PAN missing; ",IF(LEN(U465)&lt;&gt;10,"PAN not 10 chars; ",""))&amp;IF(V465="","Mobile missing; ",IF(LEN(V465)&lt;&gt;10,"Mobile not 10 digits; ",""))&amp;IF(AG465="","Bank A/c missing; ","")&amp;IF(AH465="","IFSC missing; ",IF(LEN(AH465)&lt;&gt;11,"IFSC not 11 chars; ","")))</f>
        <v/>
      </c>
      <c r="AW465" s="46" t="str">
        <f aca="false">IF(AS465="","",AS465+ROW()/100000)</f>
        <v/>
      </c>
      <c r="AX465" s="46" t="str">
        <f aca="false">IF(AT465="","",AT465+ROW()/100000)</f>
        <v/>
      </c>
    </row>
    <row r="466" customFormat="false" ht="15" hidden="false" customHeight="false" outlineLevel="0" collapsed="false">
      <c r="A466" s="9" t="str">
        <f aca="false">IF(B466="","",ROW()-5)</f>
        <v/>
      </c>
      <c r="B466" s="40"/>
      <c r="C466" s="8"/>
      <c r="D466" s="9" t="str">
        <f aca="false">IF(B466="","",IF(J466="","Active","Exited"))</f>
        <v/>
      </c>
      <c r="E466" s="8"/>
      <c r="F466" s="8"/>
      <c r="G466" s="8"/>
      <c r="H466" s="9" t="str">
        <f aca="false">IF(OR(B466="",I466=""),"",IF(IF(J466="",AsOf,J466)-I466&gt;=Settings!$C$13,"Permanent","Probation"))</f>
        <v/>
      </c>
      <c r="I466" s="41"/>
      <c r="J466" s="41"/>
      <c r="K466" s="8"/>
      <c r="L466" s="42" t="str">
        <f aca="false">IF(OR(B466="",I466=""),"",ROUND((IF(J466="",AsOf,J466)-I466)/365.25,1))</f>
        <v/>
      </c>
      <c r="M466" s="8"/>
      <c r="N466" s="8"/>
      <c r="O466" s="8"/>
      <c r="P466" s="8"/>
      <c r="Q466" s="41"/>
      <c r="R466" s="43" t="str">
        <f aca="false">IF(OR(B466="",Q466=""),"",INT((AsOf-Q466)/365.25))</f>
        <v/>
      </c>
      <c r="S466" s="8"/>
      <c r="T466" s="40"/>
      <c r="U466" s="40"/>
      <c r="V466" s="40"/>
      <c r="W466" s="40"/>
      <c r="X466" s="8"/>
      <c r="Y466" s="8"/>
      <c r="Z466" s="8"/>
      <c r="AA466" s="8"/>
      <c r="AB466" s="8"/>
      <c r="AC466" s="8"/>
      <c r="AD466" s="8"/>
      <c r="AE466" s="40"/>
      <c r="AF466" s="8"/>
      <c r="AG466" s="40"/>
      <c r="AH466" s="40"/>
      <c r="AI466" s="8"/>
      <c r="AJ466" s="40"/>
      <c r="AK466" s="40"/>
      <c r="AL466" s="40"/>
      <c r="AM466" s="44"/>
      <c r="AN466" s="44"/>
      <c r="AO466" s="41"/>
      <c r="AP466" s="45" t="str">
        <f aca="false">IF(B466="","",IF(AND(ISNUMBER(AM466),ISNUMBER(AN466),AM466&gt;0,AN466&gt;0),AN466/AM466-1,""))</f>
        <v/>
      </c>
      <c r="AQ466" s="9" t="str">
        <f aca="false">IF(I466="","",(YEAR(I466)-IF(MONTH(I466)&lt;4,1,0))&amp;"-"&amp;RIGHT((YEAR(I466)-IF(MONTH(I466)&lt;4,1,0))+1,2))</f>
        <v/>
      </c>
      <c r="AR466" s="9" t="str">
        <f aca="false">IF(J466="","",(YEAR(J466)-IF(MONTH(J466)&lt;4,1,0))&amp;"-"&amp;RIGHT((YEAR(J466)-IF(MONTH(J466)&lt;4,1,0))+1,2))</f>
        <v/>
      </c>
      <c r="AS466" s="43" t="str">
        <f aca="false">IF(OR(B466="",Q466="",D466&lt;&gt;"Active"),"",DATE(YEAR(AsOf)+IF(DATE(YEAR(AsOf),MONTH(Q466),DAY(Q466))&lt;AsOf,1,0),MONTH(Q466),DAY(Q466))-AsOf)</f>
        <v/>
      </c>
      <c r="AT466" s="43" t="str">
        <f aca="false">IF(OR(B466="",I466="",D466&lt;&gt;"Active"),"",IF(YEAR(DATE(YEAR(AsOf)+IF(DATE(YEAR(AsOf),MONTH(I466),DAY(I466))&lt;AsOf,1,0),MONTH(I466),DAY(I466)))-YEAR(I466)&lt;1,"",DATE(YEAR(AsOf)+IF(DATE(YEAR(AsOf),MONTH(I466),DAY(I466))&lt;AsOf,1,0),MONTH(I466),DAY(I466))-AsOf))</f>
        <v/>
      </c>
      <c r="AU466" s="43" t="str">
        <f aca="false">IF(B466="","",IF(AV466="",0,LEN(AV466)-LEN(SUBSTITUTE(AV466,";",""))))</f>
        <v/>
      </c>
      <c r="AV466" s="9" t="str">
        <f aca="false">IF(B466="","",IF(COUNTIF($B$6:$B$505,B466)&gt;1,"Duplicate Emp Code; ","")&amp;IF(C466="","Name missing; ","")&amp;IF(I466="","DOJ missing; ","")&amp;IF(AND(J466&lt;&gt;"",I466&lt;&gt;"",J466&lt;I466),"Exit before DOJ; ","")&amp;IF(Q466="","DOB missing; ","")&amp;IF(T466="","Aadhaar missing; ",IF(LEN(T466)&lt;&gt;12,"Aadhaar not 12 digits; ",IF(COUNTIF($T$6:$T$505,T466)&gt;1,"Duplicate Aadhaar; ","")))&amp;IF(U466="","PAN missing; ",IF(LEN(U466)&lt;&gt;10,"PAN not 10 chars; ",""))&amp;IF(V466="","Mobile missing; ",IF(LEN(V466)&lt;&gt;10,"Mobile not 10 digits; ",""))&amp;IF(AG466="","Bank A/c missing; ","")&amp;IF(AH466="","IFSC missing; ",IF(LEN(AH466)&lt;&gt;11,"IFSC not 11 chars; ","")))</f>
        <v/>
      </c>
      <c r="AW466" s="46" t="str">
        <f aca="false">IF(AS466="","",AS466+ROW()/100000)</f>
        <v/>
      </c>
      <c r="AX466" s="46" t="str">
        <f aca="false">IF(AT466="","",AT466+ROW()/100000)</f>
        <v/>
      </c>
    </row>
    <row r="467" customFormat="false" ht="15" hidden="false" customHeight="false" outlineLevel="0" collapsed="false">
      <c r="A467" s="9" t="str">
        <f aca="false">IF(B467="","",ROW()-5)</f>
        <v/>
      </c>
      <c r="B467" s="40"/>
      <c r="C467" s="8"/>
      <c r="D467" s="9" t="str">
        <f aca="false">IF(B467="","",IF(J467="","Active","Exited"))</f>
        <v/>
      </c>
      <c r="E467" s="8"/>
      <c r="F467" s="8"/>
      <c r="G467" s="8"/>
      <c r="H467" s="9" t="str">
        <f aca="false">IF(OR(B467="",I467=""),"",IF(IF(J467="",AsOf,J467)-I467&gt;=Settings!$C$13,"Permanent","Probation"))</f>
        <v/>
      </c>
      <c r="I467" s="41"/>
      <c r="J467" s="41"/>
      <c r="K467" s="8"/>
      <c r="L467" s="42" t="str">
        <f aca="false">IF(OR(B467="",I467=""),"",ROUND((IF(J467="",AsOf,J467)-I467)/365.25,1))</f>
        <v/>
      </c>
      <c r="M467" s="8"/>
      <c r="N467" s="8"/>
      <c r="O467" s="8"/>
      <c r="P467" s="8"/>
      <c r="Q467" s="41"/>
      <c r="R467" s="43" t="str">
        <f aca="false">IF(OR(B467="",Q467=""),"",INT((AsOf-Q467)/365.25))</f>
        <v/>
      </c>
      <c r="S467" s="8"/>
      <c r="T467" s="40"/>
      <c r="U467" s="40"/>
      <c r="V467" s="40"/>
      <c r="W467" s="40"/>
      <c r="X467" s="8"/>
      <c r="Y467" s="8"/>
      <c r="Z467" s="8"/>
      <c r="AA467" s="8"/>
      <c r="AB467" s="8"/>
      <c r="AC467" s="8"/>
      <c r="AD467" s="8"/>
      <c r="AE467" s="40"/>
      <c r="AF467" s="8"/>
      <c r="AG467" s="40"/>
      <c r="AH467" s="40"/>
      <c r="AI467" s="8"/>
      <c r="AJ467" s="40"/>
      <c r="AK467" s="40"/>
      <c r="AL467" s="40"/>
      <c r="AM467" s="44"/>
      <c r="AN467" s="44"/>
      <c r="AO467" s="41"/>
      <c r="AP467" s="45" t="str">
        <f aca="false">IF(B467="","",IF(AND(ISNUMBER(AM467),ISNUMBER(AN467),AM467&gt;0,AN467&gt;0),AN467/AM467-1,""))</f>
        <v/>
      </c>
      <c r="AQ467" s="9" t="str">
        <f aca="false">IF(I467="","",(YEAR(I467)-IF(MONTH(I467)&lt;4,1,0))&amp;"-"&amp;RIGHT((YEAR(I467)-IF(MONTH(I467)&lt;4,1,0))+1,2))</f>
        <v/>
      </c>
      <c r="AR467" s="9" t="str">
        <f aca="false">IF(J467="","",(YEAR(J467)-IF(MONTH(J467)&lt;4,1,0))&amp;"-"&amp;RIGHT((YEAR(J467)-IF(MONTH(J467)&lt;4,1,0))+1,2))</f>
        <v/>
      </c>
      <c r="AS467" s="43" t="str">
        <f aca="false">IF(OR(B467="",Q467="",D467&lt;&gt;"Active"),"",DATE(YEAR(AsOf)+IF(DATE(YEAR(AsOf),MONTH(Q467),DAY(Q467))&lt;AsOf,1,0),MONTH(Q467),DAY(Q467))-AsOf)</f>
        <v/>
      </c>
      <c r="AT467" s="43" t="str">
        <f aca="false">IF(OR(B467="",I467="",D467&lt;&gt;"Active"),"",IF(YEAR(DATE(YEAR(AsOf)+IF(DATE(YEAR(AsOf),MONTH(I467),DAY(I467))&lt;AsOf,1,0),MONTH(I467),DAY(I467)))-YEAR(I467)&lt;1,"",DATE(YEAR(AsOf)+IF(DATE(YEAR(AsOf),MONTH(I467),DAY(I467))&lt;AsOf,1,0),MONTH(I467),DAY(I467))-AsOf))</f>
        <v/>
      </c>
      <c r="AU467" s="43" t="str">
        <f aca="false">IF(B467="","",IF(AV467="",0,LEN(AV467)-LEN(SUBSTITUTE(AV467,";",""))))</f>
        <v/>
      </c>
      <c r="AV467" s="9" t="str">
        <f aca="false">IF(B467="","",IF(COUNTIF($B$6:$B$505,B467)&gt;1,"Duplicate Emp Code; ","")&amp;IF(C467="","Name missing; ","")&amp;IF(I467="","DOJ missing; ","")&amp;IF(AND(J467&lt;&gt;"",I467&lt;&gt;"",J467&lt;I467),"Exit before DOJ; ","")&amp;IF(Q467="","DOB missing; ","")&amp;IF(T467="","Aadhaar missing; ",IF(LEN(T467)&lt;&gt;12,"Aadhaar not 12 digits; ",IF(COUNTIF($T$6:$T$505,T467)&gt;1,"Duplicate Aadhaar; ","")))&amp;IF(U467="","PAN missing; ",IF(LEN(U467)&lt;&gt;10,"PAN not 10 chars; ",""))&amp;IF(V467="","Mobile missing; ",IF(LEN(V467)&lt;&gt;10,"Mobile not 10 digits; ",""))&amp;IF(AG467="","Bank A/c missing; ","")&amp;IF(AH467="","IFSC missing; ",IF(LEN(AH467)&lt;&gt;11,"IFSC not 11 chars; ","")))</f>
        <v/>
      </c>
      <c r="AW467" s="46" t="str">
        <f aca="false">IF(AS467="","",AS467+ROW()/100000)</f>
        <v/>
      </c>
      <c r="AX467" s="46" t="str">
        <f aca="false">IF(AT467="","",AT467+ROW()/100000)</f>
        <v/>
      </c>
    </row>
    <row r="468" customFormat="false" ht="15" hidden="false" customHeight="false" outlineLevel="0" collapsed="false">
      <c r="A468" s="9" t="str">
        <f aca="false">IF(B468="","",ROW()-5)</f>
        <v/>
      </c>
      <c r="B468" s="40"/>
      <c r="C468" s="8"/>
      <c r="D468" s="9" t="str">
        <f aca="false">IF(B468="","",IF(J468="","Active","Exited"))</f>
        <v/>
      </c>
      <c r="E468" s="8"/>
      <c r="F468" s="8"/>
      <c r="G468" s="8"/>
      <c r="H468" s="9" t="str">
        <f aca="false">IF(OR(B468="",I468=""),"",IF(IF(J468="",AsOf,J468)-I468&gt;=Settings!$C$13,"Permanent","Probation"))</f>
        <v/>
      </c>
      <c r="I468" s="41"/>
      <c r="J468" s="41"/>
      <c r="K468" s="8"/>
      <c r="L468" s="42" t="str">
        <f aca="false">IF(OR(B468="",I468=""),"",ROUND((IF(J468="",AsOf,J468)-I468)/365.25,1))</f>
        <v/>
      </c>
      <c r="M468" s="8"/>
      <c r="N468" s="8"/>
      <c r="O468" s="8"/>
      <c r="P468" s="8"/>
      <c r="Q468" s="41"/>
      <c r="R468" s="43" t="str">
        <f aca="false">IF(OR(B468="",Q468=""),"",INT((AsOf-Q468)/365.25))</f>
        <v/>
      </c>
      <c r="S468" s="8"/>
      <c r="T468" s="40"/>
      <c r="U468" s="40"/>
      <c r="V468" s="40"/>
      <c r="W468" s="40"/>
      <c r="X468" s="8"/>
      <c r="Y468" s="8"/>
      <c r="Z468" s="8"/>
      <c r="AA468" s="8"/>
      <c r="AB468" s="8"/>
      <c r="AC468" s="8"/>
      <c r="AD468" s="8"/>
      <c r="AE468" s="40"/>
      <c r="AF468" s="8"/>
      <c r="AG468" s="40"/>
      <c r="AH468" s="40"/>
      <c r="AI468" s="8"/>
      <c r="AJ468" s="40"/>
      <c r="AK468" s="40"/>
      <c r="AL468" s="40"/>
      <c r="AM468" s="44"/>
      <c r="AN468" s="44"/>
      <c r="AO468" s="41"/>
      <c r="AP468" s="45" t="str">
        <f aca="false">IF(B468="","",IF(AND(ISNUMBER(AM468),ISNUMBER(AN468),AM468&gt;0,AN468&gt;0),AN468/AM468-1,""))</f>
        <v/>
      </c>
      <c r="AQ468" s="9" t="str">
        <f aca="false">IF(I468="","",(YEAR(I468)-IF(MONTH(I468)&lt;4,1,0))&amp;"-"&amp;RIGHT((YEAR(I468)-IF(MONTH(I468)&lt;4,1,0))+1,2))</f>
        <v/>
      </c>
      <c r="AR468" s="9" t="str">
        <f aca="false">IF(J468="","",(YEAR(J468)-IF(MONTH(J468)&lt;4,1,0))&amp;"-"&amp;RIGHT((YEAR(J468)-IF(MONTH(J468)&lt;4,1,0))+1,2))</f>
        <v/>
      </c>
      <c r="AS468" s="43" t="str">
        <f aca="false">IF(OR(B468="",Q468="",D468&lt;&gt;"Active"),"",DATE(YEAR(AsOf)+IF(DATE(YEAR(AsOf),MONTH(Q468),DAY(Q468))&lt;AsOf,1,0),MONTH(Q468),DAY(Q468))-AsOf)</f>
        <v/>
      </c>
      <c r="AT468" s="43" t="str">
        <f aca="false">IF(OR(B468="",I468="",D468&lt;&gt;"Active"),"",IF(YEAR(DATE(YEAR(AsOf)+IF(DATE(YEAR(AsOf),MONTH(I468),DAY(I468))&lt;AsOf,1,0),MONTH(I468),DAY(I468)))-YEAR(I468)&lt;1,"",DATE(YEAR(AsOf)+IF(DATE(YEAR(AsOf),MONTH(I468),DAY(I468))&lt;AsOf,1,0),MONTH(I468),DAY(I468))-AsOf))</f>
        <v/>
      </c>
      <c r="AU468" s="43" t="str">
        <f aca="false">IF(B468="","",IF(AV468="",0,LEN(AV468)-LEN(SUBSTITUTE(AV468,";",""))))</f>
        <v/>
      </c>
      <c r="AV468" s="9" t="str">
        <f aca="false">IF(B468="","",IF(COUNTIF($B$6:$B$505,B468)&gt;1,"Duplicate Emp Code; ","")&amp;IF(C468="","Name missing; ","")&amp;IF(I468="","DOJ missing; ","")&amp;IF(AND(J468&lt;&gt;"",I468&lt;&gt;"",J468&lt;I468),"Exit before DOJ; ","")&amp;IF(Q468="","DOB missing; ","")&amp;IF(T468="","Aadhaar missing; ",IF(LEN(T468)&lt;&gt;12,"Aadhaar not 12 digits; ",IF(COUNTIF($T$6:$T$505,T468)&gt;1,"Duplicate Aadhaar; ","")))&amp;IF(U468="","PAN missing; ",IF(LEN(U468)&lt;&gt;10,"PAN not 10 chars; ",""))&amp;IF(V468="","Mobile missing; ",IF(LEN(V468)&lt;&gt;10,"Mobile not 10 digits; ",""))&amp;IF(AG468="","Bank A/c missing; ","")&amp;IF(AH468="","IFSC missing; ",IF(LEN(AH468)&lt;&gt;11,"IFSC not 11 chars; ","")))</f>
        <v/>
      </c>
      <c r="AW468" s="46" t="str">
        <f aca="false">IF(AS468="","",AS468+ROW()/100000)</f>
        <v/>
      </c>
      <c r="AX468" s="46" t="str">
        <f aca="false">IF(AT468="","",AT468+ROW()/100000)</f>
        <v/>
      </c>
    </row>
    <row r="469" customFormat="false" ht="15" hidden="false" customHeight="false" outlineLevel="0" collapsed="false">
      <c r="A469" s="9" t="str">
        <f aca="false">IF(B469="","",ROW()-5)</f>
        <v/>
      </c>
      <c r="B469" s="40"/>
      <c r="C469" s="8"/>
      <c r="D469" s="9" t="str">
        <f aca="false">IF(B469="","",IF(J469="","Active","Exited"))</f>
        <v/>
      </c>
      <c r="E469" s="8"/>
      <c r="F469" s="8"/>
      <c r="G469" s="8"/>
      <c r="H469" s="9" t="str">
        <f aca="false">IF(OR(B469="",I469=""),"",IF(IF(J469="",AsOf,J469)-I469&gt;=Settings!$C$13,"Permanent","Probation"))</f>
        <v/>
      </c>
      <c r="I469" s="41"/>
      <c r="J469" s="41"/>
      <c r="K469" s="8"/>
      <c r="L469" s="42" t="str">
        <f aca="false">IF(OR(B469="",I469=""),"",ROUND((IF(J469="",AsOf,J469)-I469)/365.25,1))</f>
        <v/>
      </c>
      <c r="M469" s="8"/>
      <c r="N469" s="8"/>
      <c r="O469" s="8"/>
      <c r="P469" s="8"/>
      <c r="Q469" s="41"/>
      <c r="R469" s="43" t="str">
        <f aca="false">IF(OR(B469="",Q469=""),"",INT((AsOf-Q469)/365.25))</f>
        <v/>
      </c>
      <c r="S469" s="8"/>
      <c r="T469" s="40"/>
      <c r="U469" s="40"/>
      <c r="V469" s="40"/>
      <c r="W469" s="40"/>
      <c r="X469" s="8"/>
      <c r="Y469" s="8"/>
      <c r="Z469" s="8"/>
      <c r="AA469" s="8"/>
      <c r="AB469" s="8"/>
      <c r="AC469" s="8"/>
      <c r="AD469" s="8"/>
      <c r="AE469" s="40"/>
      <c r="AF469" s="8"/>
      <c r="AG469" s="40"/>
      <c r="AH469" s="40"/>
      <c r="AI469" s="8"/>
      <c r="AJ469" s="40"/>
      <c r="AK469" s="40"/>
      <c r="AL469" s="40"/>
      <c r="AM469" s="44"/>
      <c r="AN469" s="44"/>
      <c r="AO469" s="41"/>
      <c r="AP469" s="45" t="str">
        <f aca="false">IF(B469="","",IF(AND(ISNUMBER(AM469),ISNUMBER(AN469),AM469&gt;0,AN469&gt;0),AN469/AM469-1,""))</f>
        <v/>
      </c>
      <c r="AQ469" s="9" t="str">
        <f aca="false">IF(I469="","",(YEAR(I469)-IF(MONTH(I469)&lt;4,1,0))&amp;"-"&amp;RIGHT((YEAR(I469)-IF(MONTH(I469)&lt;4,1,0))+1,2))</f>
        <v/>
      </c>
      <c r="AR469" s="9" t="str">
        <f aca="false">IF(J469="","",(YEAR(J469)-IF(MONTH(J469)&lt;4,1,0))&amp;"-"&amp;RIGHT((YEAR(J469)-IF(MONTH(J469)&lt;4,1,0))+1,2))</f>
        <v/>
      </c>
      <c r="AS469" s="43" t="str">
        <f aca="false">IF(OR(B469="",Q469="",D469&lt;&gt;"Active"),"",DATE(YEAR(AsOf)+IF(DATE(YEAR(AsOf),MONTH(Q469),DAY(Q469))&lt;AsOf,1,0),MONTH(Q469),DAY(Q469))-AsOf)</f>
        <v/>
      </c>
      <c r="AT469" s="43" t="str">
        <f aca="false">IF(OR(B469="",I469="",D469&lt;&gt;"Active"),"",IF(YEAR(DATE(YEAR(AsOf)+IF(DATE(YEAR(AsOf),MONTH(I469),DAY(I469))&lt;AsOf,1,0),MONTH(I469),DAY(I469)))-YEAR(I469)&lt;1,"",DATE(YEAR(AsOf)+IF(DATE(YEAR(AsOf),MONTH(I469),DAY(I469))&lt;AsOf,1,0),MONTH(I469),DAY(I469))-AsOf))</f>
        <v/>
      </c>
      <c r="AU469" s="43" t="str">
        <f aca="false">IF(B469="","",IF(AV469="",0,LEN(AV469)-LEN(SUBSTITUTE(AV469,";",""))))</f>
        <v/>
      </c>
      <c r="AV469" s="9" t="str">
        <f aca="false">IF(B469="","",IF(COUNTIF($B$6:$B$505,B469)&gt;1,"Duplicate Emp Code; ","")&amp;IF(C469="","Name missing; ","")&amp;IF(I469="","DOJ missing; ","")&amp;IF(AND(J469&lt;&gt;"",I469&lt;&gt;"",J469&lt;I469),"Exit before DOJ; ","")&amp;IF(Q469="","DOB missing; ","")&amp;IF(T469="","Aadhaar missing; ",IF(LEN(T469)&lt;&gt;12,"Aadhaar not 12 digits; ",IF(COUNTIF($T$6:$T$505,T469)&gt;1,"Duplicate Aadhaar; ","")))&amp;IF(U469="","PAN missing; ",IF(LEN(U469)&lt;&gt;10,"PAN not 10 chars; ",""))&amp;IF(V469="","Mobile missing; ",IF(LEN(V469)&lt;&gt;10,"Mobile not 10 digits; ",""))&amp;IF(AG469="","Bank A/c missing; ","")&amp;IF(AH469="","IFSC missing; ",IF(LEN(AH469)&lt;&gt;11,"IFSC not 11 chars; ","")))</f>
        <v/>
      </c>
      <c r="AW469" s="46" t="str">
        <f aca="false">IF(AS469="","",AS469+ROW()/100000)</f>
        <v/>
      </c>
      <c r="AX469" s="46" t="str">
        <f aca="false">IF(AT469="","",AT469+ROW()/100000)</f>
        <v/>
      </c>
    </row>
    <row r="470" customFormat="false" ht="15" hidden="false" customHeight="false" outlineLevel="0" collapsed="false">
      <c r="A470" s="9" t="str">
        <f aca="false">IF(B470="","",ROW()-5)</f>
        <v/>
      </c>
      <c r="B470" s="40"/>
      <c r="C470" s="8"/>
      <c r="D470" s="9" t="str">
        <f aca="false">IF(B470="","",IF(J470="","Active","Exited"))</f>
        <v/>
      </c>
      <c r="E470" s="8"/>
      <c r="F470" s="8"/>
      <c r="G470" s="8"/>
      <c r="H470" s="9" t="str">
        <f aca="false">IF(OR(B470="",I470=""),"",IF(IF(J470="",AsOf,J470)-I470&gt;=Settings!$C$13,"Permanent","Probation"))</f>
        <v/>
      </c>
      <c r="I470" s="41"/>
      <c r="J470" s="41"/>
      <c r="K470" s="8"/>
      <c r="L470" s="42" t="str">
        <f aca="false">IF(OR(B470="",I470=""),"",ROUND((IF(J470="",AsOf,J470)-I470)/365.25,1))</f>
        <v/>
      </c>
      <c r="M470" s="8"/>
      <c r="N470" s="8"/>
      <c r="O470" s="8"/>
      <c r="P470" s="8"/>
      <c r="Q470" s="41"/>
      <c r="R470" s="43" t="str">
        <f aca="false">IF(OR(B470="",Q470=""),"",INT((AsOf-Q470)/365.25))</f>
        <v/>
      </c>
      <c r="S470" s="8"/>
      <c r="T470" s="40"/>
      <c r="U470" s="40"/>
      <c r="V470" s="40"/>
      <c r="W470" s="40"/>
      <c r="X470" s="8"/>
      <c r="Y470" s="8"/>
      <c r="Z470" s="8"/>
      <c r="AA470" s="8"/>
      <c r="AB470" s="8"/>
      <c r="AC470" s="8"/>
      <c r="AD470" s="8"/>
      <c r="AE470" s="40"/>
      <c r="AF470" s="8"/>
      <c r="AG470" s="40"/>
      <c r="AH470" s="40"/>
      <c r="AI470" s="8"/>
      <c r="AJ470" s="40"/>
      <c r="AK470" s="40"/>
      <c r="AL470" s="40"/>
      <c r="AM470" s="44"/>
      <c r="AN470" s="44"/>
      <c r="AO470" s="41"/>
      <c r="AP470" s="45" t="str">
        <f aca="false">IF(B470="","",IF(AND(ISNUMBER(AM470),ISNUMBER(AN470),AM470&gt;0,AN470&gt;0),AN470/AM470-1,""))</f>
        <v/>
      </c>
      <c r="AQ470" s="9" t="str">
        <f aca="false">IF(I470="","",(YEAR(I470)-IF(MONTH(I470)&lt;4,1,0))&amp;"-"&amp;RIGHT((YEAR(I470)-IF(MONTH(I470)&lt;4,1,0))+1,2))</f>
        <v/>
      </c>
      <c r="AR470" s="9" t="str">
        <f aca="false">IF(J470="","",(YEAR(J470)-IF(MONTH(J470)&lt;4,1,0))&amp;"-"&amp;RIGHT((YEAR(J470)-IF(MONTH(J470)&lt;4,1,0))+1,2))</f>
        <v/>
      </c>
      <c r="AS470" s="43" t="str">
        <f aca="false">IF(OR(B470="",Q470="",D470&lt;&gt;"Active"),"",DATE(YEAR(AsOf)+IF(DATE(YEAR(AsOf),MONTH(Q470),DAY(Q470))&lt;AsOf,1,0),MONTH(Q470),DAY(Q470))-AsOf)</f>
        <v/>
      </c>
      <c r="AT470" s="43" t="str">
        <f aca="false">IF(OR(B470="",I470="",D470&lt;&gt;"Active"),"",IF(YEAR(DATE(YEAR(AsOf)+IF(DATE(YEAR(AsOf),MONTH(I470),DAY(I470))&lt;AsOf,1,0),MONTH(I470),DAY(I470)))-YEAR(I470)&lt;1,"",DATE(YEAR(AsOf)+IF(DATE(YEAR(AsOf),MONTH(I470),DAY(I470))&lt;AsOf,1,0),MONTH(I470),DAY(I470))-AsOf))</f>
        <v/>
      </c>
      <c r="AU470" s="43" t="str">
        <f aca="false">IF(B470="","",IF(AV470="",0,LEN(AV470)-LEN(SUBSTITUTE(AV470,";",""))))</f>
        <v/>
      </c>
      <c r="AV470" s="9" t="str">
        <f aca="false">IF(B470="","",IF(COUNTIF($B$6:$B$505,B470)&gt;1,"Duplicate Emp Code; ","")&amp;IF(C470="","Name missing; ","")&amp;IF(I470="","DOJ missing; ","")&amp;IF(AND(J470&lt;&gt;"",I470&lt;&gt;"",J470&lt;I470),"Exit before DOJ; ","")&amp;IF(Q470="","DOB missing; ","")&amp;IF(T470="","Aadhaar missing; ",IF(LEN(T470)&lt;&gt;12,"Aadhaar not 12 digits; ",IF(COUNTIF($T$6:$T$505,T470)&gt;1,"Duplicate Aadhaar; ","")))&amp;IF(U470="","PAN missing; ",IF(LEN(U470)&lt;&gt;10,"PAN not 10 chars; ",""))&amp;IF(V470="","Mobile missing; ",IF(LEN(V470)&lt;&gt;10,"Mobile not 10 digits; ",""))&amp;IF(AG470="","Bank A/c missing; ","")&amp;IF(AH470="","IFSC missing; ",IF(LEN(AH470)&lt;&gt;11,"IFSC not 11 chars; ","")))</f>
        <v/>
      </c>
      <c r="AW470" s="46" t="str">
        <f aca="false">IF(AS470="","",AS470+ROW()/100000)</f>
        <v/>
      </c>
      <c r="AX470" s="46" t="str">
        <f aca="false">IF(AT470="","",AT470+ROW()/100000)</f>
        <v/>
      </c>
    </row>
    <row r="471" customFormat="false" ht="15" hidden="false" customHeight="false" outlineLevel="0" collapsed="false">
      <c r="A471" s="9" t="str">
        <f aca="false">IF(B471="","",ROW()-5)</f>
        <v/>
      </c>
      <c r="B471" s="40"/>
      <c r="C471" s="8"/>
      <c r="D471" s="9" t="str">
        <f aca="false">IF(B471="","",IF(J471="","Active","Exited"))</f>
        <v/>
      </c>
      <c r="E471" s="8"/>
      <c r="F471" s="8"/>
      <c r="G471" s="8"/>
      <c r="H471" s="9" t="str">
        <f aca="false">IF(OR(B471="",I471=""),"",IF(IF(J471="",AsOf,J471)-I471&gt;=Settings!$C$13,"Permanent","Probation"))</f>
        <v/>
      </c>
      <c r="I471" s="41"/>
      <c r="J471" s="41"/>
      <c r="K471" s="8"/>
      <c r="L471" s="42" t="str">
        <f aca="false">IF(OR(B471="",I471=""),"",ROUND((IF(J471="",AsOf,J471)-I471)/365.25,1))</f>
        <v/>
      </c>
      <c r="M471" s="8"/>
      <c r="N471" s="8"/>
      <c r="O471" s="8"/>
      <c r="P471" s="8"/>
      <c r="Q471" s="41"/>
      <c r="R471" s="43" t="str">
        <f aca="false">IF(OR(B471="",Q471=""),"",INT((AsOf-Q471)/365.25))</f>
        <v/>
      </c>
      <c r="S471" s="8"/>
      <c r="T471" s="40"/>
      <c r="U471" s="40"/>
      <c r="V471" s="40"/>
      <c r="W471" s="40"/>
      <c r="X471" s="8"/>
      <c r="Y471" s="8"/>
      <c r="Z471" s="8"/>
      <c r="AA471" s="8"/>
      <c r="AB471" s="8"/>
      <c r="AC471" s="8"/>
      <c r="AD471" s="8"/>
      <c r="AE471" s="40"/>
      <c r="AF471" s="8"/>
      <c r="AG471" s="40"/>
      <c r="AH471" s="40"/>
      <c r="AI471" s="8"/>
      <c r="AJ471" s="40"/>
      <c r="AK471" s="40"/>
      <c r="AL471" s="40"/>
      <c r="AM471" s="44"/>
      <c r="AN471" s="44"/>
      <c r="AO471" s="41"/>
      <c r="AP471" s="45" t="str">
        <f aca="false">IF(B471="","",IF(AND(ISNUMBER(AM471),ISNUMBER(AN471),AM471&gt;0,AN471&gt;0),AN471/AM471-1,""))</f>
        <v/>
      </c>
      <c r="AQ471" s="9" t="str">
        <f aca="false">IF(I471="","",(YEAR(I471)-IF(MONTH(I471)&lt;4,1,0))&amp;"-"&amp;RIGHT((YEAR(I471)-IF(MONTH(I471)&lt;4,1,0))+1,2))</f>
        <v/>
      </c>
      <c r="AR471" s="9" t="str">
        <f aca="false">IF(J471="","",(YEAR(J471)-IF(MONTH(J471)&lt;4,1,0))&amp;"-"&amp;RIGHT((YEAR(J471)-IF(MONTH(J471)&lt;4,1,0))+1,2))</f>
        <v/>
      </c>
      <c r="AS471" s="43" t="str">
        <f aca="false">IF(OR(B471="",Q471="",D471&lt;&gt;"Active"),"",DATE(YEAR(AsOf)+IF(DATE(YEAR(AsOf),MONTH(Q471),DAY(Q471))&lt;AsOf,1,0),MONTH(Q471),DAY(Q471))-AsOf)</f>
        <v/>
      </c>
      <c r="AT471" s="43" t="str">
        <f aca="false">IF(OR(B471="",I471="",D471&lt;&gt;"Active"),"",IF(YEAR(DATE(YEAR(AsOf)+IF(DATE(YEAR(AsOf),MONTH(I471),DAY(I471))&lt;AsOf,1,0),MONTH(I471),DAY(I471)))-YEAR(I471)&lt;1,"",DATE(YEAR(AsOf)+IF(DATE(YEAR(AsOf),MONTH(I471),DAY(I471))&lt;AsOf,1,0),MONTH(I471),DAY(I471))-AsOf))</f>
        <v/>
      </c>
      <c r="AU471" s="43" t="str">
        <f aca="false">IF(B471="","",IF(AV471="",0,LEN(AV471)-LEN(SUBSTITUTE(AV471,";",""))))</f>
        <v/>
      </c>
      <c r="AV471" s="9" t="str">
        <f aca="false">IF(B471="","",IF(COUNTIF($B$6:$B$505,B471)&gt;1,"Duplicate Emp Code; ","")&amp;IF(C471="","Name missing; ","")&amp;IF(I471="","DOJ missing; ","")&amp;IF(AND(J471&lt;&gt;"",I471&lt;&gt;"",J471&lt;I471),"Exit before DOJ; ","")&amp;IF(Q471="","DOB missing; ","")&amp;IF(T471="","Aadhaar missing; ",IF(LEN(T471)&lt;&gt;12,"Aadhaar not 12 digits; ",IF(COUNTIF($T$6:$T$505,T471)&gt;1,"Duplicate Aadhaar; ","")))&amp;IF(U471="","PAN missing; ",IF(LEN(U471)&lt;&gt;10,"PAN not 10 chars; ",""))&amp;IF(V471="","Mobile missing; ",IF(LEN(V471)&lt;&gt;10,"Mobile not 10 digits; ",""))&amp;IF(AG471="","Bank A/c missing; ","")&amp;IF(AH471="","IFSC missing; ",IF(LEN(AH471)&lt;&gt;11,"IFSC not 11 chars; ","")))</f>
        <v/>
      </c>
      <c r="AW471" s="46" t="str">
        <f aca="false">IF(AS471="","",AS471+ROW()/100000)</f>
        <v/>
      </c>
      <c r="AX471" s="46" t="str">
        <f aca="false">IF(AT471="","",AT471+ROW()/100000)</f>
        <v/>
      </c>
    </row>
    <row r="472" customFormat="false" ht="15" hidden="false" customHeight="false" outlineLevel="0" collapsed="false">
      <c r="A472" s="9" t="str">
        <f aca="false">IF(B472="","",ROW()-5)</f>
        <v/>
      </c>
      <c r="B472" s="40"/>
      <c r="C472" s="8"/>
      <c r="D472" s="9" t="str">
        <f aca="false">IF(B472="","",IF(J472="","Active","Exited"))</f>
        <v/>
      </c>
      <c r="E472" s="8"/>
      <c r="F472" s="8"/>
      <c r="G472" s="8"/>
      <c r="H472" s="9" t="str">
        <f aca="false">IF(OR(B472="",I472=""),"",IF(IF(J472="",AsOf,J472)-I472&gt;=Settings!$C$13,"Permanent","Probation"))</f>
        <v/>
      </c>
      <c r="I472" s="41"/>
      <c r="J472" s="41"/>
      <c r="K472" s="8"/>
      <c r="L472" s="42" t="str">
        <f aca="false">IF(OR(B472="",I472=""),"",ROUND((IF(J472="",AsOf,J472)-I472)/365.25,1))</f>
        <v/>
      </c>
      <c r="M472" s="8"/>
      <c r="N472" s="8"/>
      <c r="O472" s="8"/>
      <c r="P472" s="8"/>
      <c r="Q472" s="41"/>
      <c r="R472" s="43" t="str">
        <f aca="false">IF(OR(B472="",Q472=""),"",INT((AsOf-Q472)/365.25))</f>
        <v/>
      </c>
      <c r="S472" s="8"/>
      <c r="T472" s="40"/>
      <c r="U472" s="40"/>
      <c r="V472" s="40"/>
      <c r="W472" s="40"/>
      <c r="X472" s="8"/>
      <c r="Y472" s="8"/>
      <c r="Z472" s="8"/>
      <c r="AA472" s="8"/>
      <c r="AB472" s="8"/>
      <c r="AC472" s="8"/>
      <c r="AD472" s="8"/>
      <c r="AE472" s="40"/>
      <c r="AF472" s="8"/>
      <c r="AG472" s="40"/>
      <c r="AH472" s="40"/>
      <c r="AI472" s="8"/>
      <c r="AJ472" s="40"/>
      <c r="AK472" s="40"/>
      <c r="AL472" s="40"/>
      <c r="AM472" s="44"/>
      <c r="AN472" s="44"/>
      <c r="AO472" s="41"/>
      <c r="AP472" s="45" t="str">
        <f aca="false">IF(B472="","",IF(AND(ISNUMBER(AM472),ISNUMBER(AN472),AM472&gt;0,AN472&gt;0),AN472/AM472-1,""))</f>
        <v/>
      </c>
      <c r="AQ472" s="9" t="str">
        <f aca="false">IF(I472="","",(YEAR(I472)-IF(MONTH(I472)&lt;4,1,0))&amp;"-"&amp;RIGHT((YEAR(I472)-IF(MONTH(I472)&lt;4,1,0))+1,2))</f>
        <v/>
      </c>
      <c r="AR472" s="9" t="str">
        <f aca="false">IF(J472="","",(YEAR(J472)-IF(MONTH(J472)&lt;4,1,0))&amp;"-"&amp;RIGHT((YEAR(J472)-IF(MONTH(J472)&lt;4,1,0))+1,2))</f>
        <v/>
      </c>
      <c r="AS472" s="43" t="str">
        <f aca="false">IF(OR(B472="",Q472="",D472&lt;&gt;"Active"),"",DATE(YEAR(AsOf)+IF(DATE(YEAR(AsOf),MONTH(Q472),DAY(Q472))&lt;AsOf,1,0),MONTH(Q472),DAY(Q472))-AsOf)</f>
        <v/>
      </c>
      <c r="AT472" s="43" t="str">
        <f aca="false">IF(OR(B472="",I472="",D472&lt;&gt;"Active"),"",IF(YEAR(DATE(YEAR(AsOf)+IF(DATE(YEAR(AsOf),MONTH(I472),DAY(I472))&lt;AsOf,1,0),MONTH(I472),DAY(I472)))-YEAR(I472)&lt;1,"",DATE(YEAR(AsOf)+IF(DATE(YEAR(AsOf),MONTH(I472),DAY(I472))&lt;AsOf,1,0),MONTH(I472),DAY(I472))-AsOf))</f>
        <v/>
      </c>
      <c r="AU472" s="43" t="str">
        <f aca="false">IF(B472="","",IF(AV472="",0,LEN(AV472)-LEN(SUBSTITUTE(AV472,";",""))))</f>
        <v/>
      </c>
      <c r="AV472" s="9" t="str">
        <f aca="false">IF(B472="","",IF(COUNTIF($B$6:$B$505,B472)&gt;1,"Duplicate Emp Code; ","")&amp;IF(C472="","Name missing; ","")&amp;IF(I472="","DOJ missing; ","")&amp;IF(AND(J472&lt;&gt;"",I472&lt;&gt;"",J472&lt;I472),"Exit before DOJ; ","")&amp;IF(Q472="","DOB missing; ","")&amp;IF(T472="","Aadhaar missing; ",IF(LEN(T472)&lt;&gt;12,"Aadhaar not 12 digits; ",IF(COUNTIF($T$6:$T$505,T472)&gt;1,"Duplicate Aadhaar; ","")))&amp;IF(U472="","PAN missing; ",IF(LEN(U472)&lt;&gt;10,"PAN not 10 chars; ",""))&amp;IF(V472="","Mobile missing; ",IF(LEN(V472)&lt;&gt;10,"Mobile not 10 digits; ",""))&amp;IF(AG472="","Bank A/c missing; ","")&amp;IF(AH472="","IFSC missing; ",IF(LEN(AH472)&lt;&gt;11,"IFSC not 11 chars; ","")))</f>
        <v/>
      </c>
      <c r="AW472" s="46" t="str">
        <f aca="false">IF(AS472="","",AS472+ROW()/100000)</f>
        <v/>
      </c>
      <c r="AX472" s="46" t="str">
        <f aca="false">IF(AT472="","",AT472+ROW()/100000)</f>
        <v/>
      </c>
    </row>
    <row r="473" customFormat="false" ht="15" hidden="false" customHeight="false" outlineLevel="0" collapsed="false">
      <c r="A473" s="9" t="str">
        <f aca="false">IF(B473="","",ROW()-5)</f>
        <v/>
      </c>
      <c r="B473" s="40"/>
      <c r="C473" s="8"/>
      <c r="D473" s="9" t="str">
        <f aca="false">IF(B473="","",IF(J473="","Active","Exited"))</f>
        <v/>
      </c>
      <c r="E473" s="8"/>
      <c r="F473" s="8"/>
      <c r="G473" s="8"/>
      <c r="H473" s="9" t="str">
        <f aca="false">IF(OR(B473="",I473=""),"",IF(IF(J473="",AsOf,J473)-I473&gt;=Settings!$C$13,"Permanent","Probation"))</f>
        <v/>
      </c>
      <c r="I473" s="41"/>
      <c r="J473" s="41"/>
      <c r="K473" s="8"/>
      <c r="L473" s="42" t="str">
        <f aca="false">IF(OR(B473="",I473=""),"",ROUND((IF(J473="",AsOf,J473)-I473)/365.25,1))</f>
        <v/>
      </c>
      <c r="M473" s="8"/>
      <c r="N473" s="8"/>
      <c r="O473" s="8"/>
      <c r="P473" s="8"/>
      <c r="Q473" s="41"/>
      <c r="R473" s="43" t="str">
        <f aca="false">IF(OR(B473="",Q473=""),"",INT((AsOf-Q473)/365.25))</f>
        <v/>
      </c>
      <c r="S473" s="8"/>
      <c r="T473" s="40"/>
      <c r="U473" s="40"/>
      <c r="V473" s="40"/>
      <c r="W473" s="40"/>
      <c r="X473" s="8"/>
      <c r="Y473" s="8"/>
      <c r="Z473" s="8"/>
      <c r="AA473" s="8"/>
      <c r="AB473" s="8"/>
      <c r="AC473" s="8"/>
      <c r="AD473" s="8"/>
      <c r="AE473" s="40"/>
      <c r="AF473" s="8"/>
      <c r="AG473" s="40"/>
      <c r="AH473" s="40"/>
      <c r="AI473" s="8"/>
      <c r="AJ473" s="40"/>
      <c r="AK473" s="40"/>
      <c r="AL473" s="40"/>
      <c r="AM473" s="44"/>
      <c r="AN473" s="44"/>
      <c r="AO473" s="41"/>
      <c r="AP473" s="45" t="str">
        <f aca="false">IF(B473="","",IF(AND(ISNUMBER(AM473),ISNUMBER(AN473),AM473&gt;0,AN473&gt;0),AN473/AM473-1,""))</f>
        <v/>
      </c>
      <c r="AQ473" s="9" t="str">
        <f aca="false">IF(I473="","",(YEAR(I473)-IF(MONTH(I473)&lt;4,1,0))&amp;"-"&amp;RIGHT((YEAR(I473)-IF(MONTH(I473)&lt;4,1,0))+1,2))</f>
        <v/>
      </c>
      <c r="AR473" s="9" t="str">
        <f aca="false">IF(J473="","",(YEAR(J473)-IF(MONTH(J473)&lt;4,1,0))&amp;"-"&amp;RIGHT((YEAR(J473)-IF(MONTH(J473)&lt;4,1,0))+1,2))</f>
        <v/>
      </c>
      <c r="AS473" s="43" t="str">
        <f aca="false">IF(OR(B473="",Q473="",D473&lt;&gt;"Active"),"",DATE(YEAR(AsOf)+IF(DATE(YEAR(AsOf),MONTH(Q473),DAY(Q473))&lt;AsOf,1,0),MONTH(Q473),DAY(Q473))-AsOf)</f>
        <v/>
      </c>
      <c r="AT473" s="43" t="str">
        <f aca="false">IF(OR(B473="",I473="",D473&lt;&gt;"Active"),"",IF(YEAR(DATE(YEAR(AsOf)+IF(DATE(YEAR(AsOf),MONTH(I473),DAY(I473))&lt;AsOf,1,0),MONTH(I473),DAY(I473)))-YEAR(I473)&lt;1,"",DATE(YEAR(AsOf)+IF(DATE(YEAR(AsOf),MONTH(I473),DAY(I473))&lt;AsOf,1,0),MONTH(I473),DAY(I473))-AsOf))</f>
        <v/>
      </c>
      <c r="AU473" s="43" t="str">
        <f aca="false">IF(B473="","",IF(AV473="",0,LEN(AV473)-LEN(SUBSTITUTE(AV473,";",""))))</f>
        <v/>
      </c>
      <c r="AV473" s="9" t="str">
        <f aca="false">IF(B473="","",IF(COUNTIF($B$6:$B$505,B473)&gt;1,"Duplicate Emp Code; ","")&amp;IF(C473="","Name missing; ","")&amp;IF(I473="","DOJ missing; ","")&amp;IF(AND(J473&lt;&gt;"",I473&lt;&gt;"",J473&lt;I473),"Exit before DOJ; ","")&amp;IF(Q473="","DOB missing; ","")&amp;IF(T473="","Aadhaar missing; ",IF(LEN(T473)&lt;&gt;12,"Aadhaar not 12 digits; ",IF(COUNTIF($T$6:$T$505,T473)&gt;1,"Duplicate Aadhaar; ","")))&amp;IF(U473="","PAN missing; ",IF(LEN(U473)&lt;&gt;10,"PAN not 10 chars; ",""))&amp;IF(V473="","Mobile missing; ",IF(LEN(V473)&lt;&gt;10,"Mobile not 10 digits; ",""))&amp;IF(AG473="","Bank A/c missing; ","")&amp;IF(AH473="","IFSC missing; ",IF(LEN(AH473)&lt;&gt;11,"IFSC not 11 chars; ","")))</f>
        <v/>
      </c>
      <c r="AW473" s="46" t="str">
        <f aca="false">IF(AS473="","",AS473+ROW()/100000)</f>
        <v/>
      </c>
      <c r="AX473" s="46" t="str">
        <f aca="false">IF(AT473="","",AT473+ROW()/100000)</f>
        <v/>
      </c>
    </row>
    <row r="474" customFormat="false" ht="15" hidden="false" customHeight="false" outlineLevel="0" collapsed="false">
      <c r="A474" s="9" t="str">
        <f aca="false">IF(B474="","",ROW()-5)</f>
        <v/>
      </c>
      <c r="B474" s="40"/>
      <c r="C474" s="8"/>
      <c r="D474" s="9" t="str">
        <f aca="false">IF(B474="","",IF(J474="","Active","Exited"))</f>
        <v/>
      </c>
      <c r="E474" s="8"/>
      <c r="F474" s="8"/>
      <c r="G474" s="8"/>
      <c r="H474" s="9" t="str">
        <f aca="false">IF(OR(B474="",I474=""),"",IF(IF(J474="",AsOf,J474)-I474&gt;=Settings!$C$13,"Permanent","Probation"))</f>
        <v/>
      </c>
      <c r="I474" s="41"/>
      <c r="J474" s="41"/>
      <c r="K474" s="8"/>
      <c r="L474" s="42" t="str">
        <f aca="false">IF(OR(B474="",I474=""),"",ROUND((IF(J474="",AsOf,J474)-I474)/365.25,1))</f>
        <v/>
      </c>
      <c r="M474" s="8"/>
      <c r="N474" s="8"/>
      <c r="O474" s="8"/>
      <c r="P474" s="8"/>
      <c r="Q474" s="41"/>
      <c r="R474" s="43" t="str">
        <f aca="false">IF(OR(B474="",Q474=""),"",INT((AsOf-Q474)/365.25))</f>
        <v/>
      </c>
      <c r="S474" s="8"/>
      <c r="T474" s="40"/>
      <c r="U474" s="40"/>
      <c r="V474" s="40"/>
      <c r="W474" s="40"/>
      <c r="X474" s="8"/>
      <c r="Y474" s="8"/>
      <c r="Z474" s="8"/>
      <c r="AA474" s="8"/>
      <c r="AB474" s="8"/>
      <c r="AC474" s="8"/>
      <c r="AD474" s="8"/>
      <c r="AE474" s="40"/>
      <c r="AF474" s="8"/>
      <c r="AG474" s="40"/>
      <c r="AH474" s="40"/>
      <c r="AI474" s="8"/>
      <c r="AJ474" s="40"/>
      <c r="AK474" s="40"/>
      <c r="AL474" s="40"/>
      <c r="AM474" s="44"/>
      <c r="AN474" s="44"/>
      <c r="AO474" s="41"/>
      <c r="AP474" s="45" t="str">
        <f aca="false">IF(B474="","",IF(AND(ISNUMBER(AM474),ISNUMBER(AN474),AM474&gt;0,AN474&gt;0),AN474/AM474-1,""))</f>
        <v/>
      </c>
      <c r="AQ474" s="9" t="str">
        <f aca="false">IF(I474="","",(YEAR(I474)-IF(MONTH(I474)&lt;4,1,0))&amp;"-"&amp;RIGHT((YEAR(I474)-IF(MONTH(I474)&lt;4,1,0))+1,2))</f>
        <v/>
      </c>
      <c r="AR474" s="9" t="str">
        <f aca="false">IF(J474="","",(YEAR(J474)-IF(MONTH(J474)&lt;4,1,0))&amp;"-"&amp;RIGHT((YEAR(J474)-IF(MONTH(J474)&lt;4,1,0))+1,2))</f>
        <v/>
      </c>
      <c r="AS474" s="43" t="str">
        <f aca="false">IF(OR(B474="",Q474="",D474&lt;&gt;"Active"),"",DATE(YEAR(AsOf)+IF(DATE(YEAR(AsOf),MONTH(Q474),DAY(Q474))&lt;AsOf,1,0),MONTH(Q474),DAY(Q474))-AsOf)</f>
        <v/>
      </c>
      <c r="AT474" s="43" t="str">
        <f aca="false">IF(OR(B474="",I474="",D474&lt;&gt;"Active"),"",IF(YEAR(DATE(YEAR(AsOf)+IF(DATE(YEAR(AsOf),MONTH(I474),DAY(I474))&lt;AsOf,1,0),MONTH(I474),DAY(I474)))-YEAR(I474)&lt;1,"",DATE(YEAR(AsOf)+IF(DATE(YEAR(AsOf),MONTH(I474),DAY(I474))&lt;AsOf,1,0),MONTH(I474),DAY(I474))-AsOf))</f>
        <v/>
      </c>
      <c r="AU474" s="43" t="str">
        <f aca="false">IF(B474="","",IF(AV474="",0,LEN(AV474)-LEN(SUBSTITUTE(AV474,";",""))))</f>
        <v/>
      </c>
      <c r="AV474" s="9" t="str">
        <f aca="false">IF(B474="","",IF(COUNTIF($B$6:$B$505,B474)&gt;1,"Duplicate Emp Code; ","")&amp;IF(C474="","Name missing; ","")&amp;IF(I474="","DOJ missing; ","")&amp;IF(AND(J474&lt;&gt;"",I474&lt;&gt;"",J474&lt;I474),"Exit before DOJ; ","")&amp;IF(Q474="","DOB missing; ","")&amp;IF(T474="","Aadhaar missing; ",IF(LEN(T474)&lt;&gt;12,"Aadhaar not 12 digits; ",IF(COUNTIF($T$6:$T$505,T474)&gt;1,"Duplicate Aadhaar; ","")))&amp;IF(U474="","PAN missing; ",IF(LEN(U474)&lt;&gt;10,"PAN not 10 chars; ",""))&amp;IF(V474="","Mobile missing; ",IF(LEN(V474)&lt;&gt;10,"Mobile not 10 digits; ",""))&amp;IF(AG474="","Bank A/c missing; ","")&amp;IF(AH474="","IFSC missing; ",IF(LEN(AH474)&lt;&gt;11,"IFSC not 11 chars; ","")))</f>
        <v/>
      </c>
      <c r="AW474" s="46" t="str">
        <f aca="false">IF(AS474="","",AS474+ROW()/100000)</f>
        <v/>
      </c>
      <c r="AX474" s="46" t="str">
        <f aca="false">IF(AT474="","",AT474+ROW()/100000)</f>
        <v/>
      </c>
    </row>
    <row r="475" customFormat="false" ht="15" hidden="false" customHeight="false" outlineLevel="0" collapsed="false">
      <c r="A475" s="9" t="str">
        <f aca="false">IF(B475="","",ROW()-5)</f>
        <v/>
      </c>
      <c r="B475" s="40"/>
      <c r="C475" s="8"/>
      <c r="D475" s="9" t="str">
        <f aca="false">IF(B475="","",IF(J475="","Active","Exited"))</f>
        <v/>
      </c>
      <c r="E475" s="8"/>
      <c r="F475" s="8"/>
      <c r="G475" s="8"/>
      <c r="H475" s="9" t="str">
        <f aca="false">IF(OR(B475="",I475=""),"",IF(IF(J475="",AsOf,J475)-I475&gt;=Settings!$C$13,"Permanent","Probation"))</f>
        <v/>
      </c>
      <c r="I475" s="41"/>
      <c r="J475" s="41"/>
      <c r="K475" s="8"/>
      <c r="L475" s="42" t="str">
        <f aca="false">IF(OR(B475="",I475=""),"",ROUND((IF(J475="",AsOf,J475)-I475)/365.25,1))</f>
        <v/>
      </c>
      <c r="M475" s="8"/>
      <c r="N475" s="8"/>
      <c r="O475" s="8"/>
      <c r="P475" s="8"/>
      <c r="Q475" s="41"/>
      <c r="R475" s="43" t="str">
        <f aca="false">IF(OR(B475="",Q475=""),"",INT((AsOf-Q475)/365.25))</f>
        <v/>
      </c>
      <c r="S475" s="8"/>
      <c r="T475" s="40"/>
      <c r="U475" s="40"/>
      <c r="V475" s="40"/>
      <c r="W475" s="40"/>
      <c r="X475" s="8"/>
      <c r="Y475" s="8"/>
      <c r="Z475" s="8"/>
      <c r="AA475" s="8"/>
      <c r="AB475" s="8"/>
      <c r="AC475" s="8"/>
      <c r="AD475" s="8"/>
      <c r="AE475" s="40"/>
      <c r="AF475" s="8"/>
      <c r="AG475" s="40"/>
      <c r="AH475" s="40"/>
      <c r="AI475" s="8"/>
      <c r="AJ475" s="40"/>
      <c r="AK475" s="40"/>
      <c r="AL475" s="40"/>
      <c r="AM475" s="44"/>
      <c r="AN475" s="44"/>
      <c r="AO475" s="41"/>
      <c r="AP475" s="45" t="str">
        <f aca="false">IF(B475="","",IF(AND(ISNUMBER(AM475),ISNUMBER(AN475),AM475&gt;0,AN475&gt;0),AN475/AM475-1,""))</f>
        <v/>
      </c>
      <c r="AQ475" s="9" t="str">
        <f aca="false">IF(I475="","",(YEAR(I475)-IF(MONTH(I475)&lt;4,1,0))&amp;"-"&amp;RIGHT((YEAR(I475)-IF(MONTH(I475)&lt;4,1,0))+1,2))</f>
        <v/>
      </c>
      <c r="AR475" s="9" t="str">
        <f aca="false">IF(J475="","",(YEAR(J475)-IF(MONTH(J475)&lt;4,1,0))&amp;"-"&amp;RIGHT((YEAR(J475)-IF(MONTH(J475)&lt;4,1,0))+1,2))</f>
        <v/>
      </c>
      <c r="AS475" s="43" t="str">
        <f aca="false">IF(OR(B475="",Q475="",D475&lt;&gt;"Active"),"",DATE(YEAR(AsOf)+IF(DATE(YEAR(AsOf),MONTH(Q475),DAY(Q475))&lt;AsOf,1,0),MONTH(Q475),DAY(Q475))-AsOf)</f>
        <v/>
      </c>
      <c r="AT475" s="43" t="str">
        <f aca="false">IF(OR(B475="",I475="",D475&lt;&gt;"Active"),"",IF(YEAR(DATE(YEAR(AsOf)+IF(DATE(YEAR(AsOf),MONTH(I475),DAY(I475))&lt;AsOf,1,0),MONTH(I475),DAY(I475)))-YEAR(I475)&lt;1,"",DATE(YEAR(AsOf)+IF(DATE(YEAR(AsOf),MONTH(I475),DAY(I475))&lt;AsOf,1,0),MONTH(I475),DAY(I475))-AsOf))</f>
        <v/>
      </c>
      <c r="AU475" s="43" t="str">
        <f aca="false">IF(B475="","",IF(AV475="",0,LEN(AV475)-LEN(SUBSTITUTE(AV475,";",""))))</f>
        <v/>
      </c>
      <c r="AV475" s="9" t="str">
        <f aca="false">IF(B475="","",IF(COUNTIF($B$6:$B$505,B475)&gt;1,"Duplicate Emp Code; ","")&amp;IF(C475="","Name missing; ","")&amp;IF(I475="","DOJ missing; ","")&amp;IF(AND(J475&lt;&gt;"",I475&lt;&gt;"",J475&lt;I475),"Exit before DOJ; ","")&amp;IF(Q475="","DOB missing; ","")&amp;IF(T475="","Aadhaar missing; ",IF(LEN(T475)&lt;&gt;12,"Aadhaar not 12 digits; ",IF(COUNTIF($T$6:$T$505,T475)&gt;1,"Duplicate Aadhaar; ","")))&amp;IF(U475="","PAN missing; ",IF(LEN(U475)&lt;&gt;10,"PAN not 10 chars; ",""))&amp;IF(V475="","Mobile missing; ",IF(LEN(V475)&lt;&gt;10,"Mobile not 10 digits; ",""))&amp;IF(AG475="","Bank A/c missing; ","")&amp;IF(AH475="","IFSC missing; ",IF(LEN(AH475)&lt;&gt;11,"IFSC not 11 chars; ","")))</f>
        <v/>
      </c>
      <c r="AW475" s="46" t="str">
        <f aca="false">IF(AS475="","",AS475+ROW()/100000)</f>
        <v/>
      </c>
      <c r="AX475" s="46" t="str">
        <f aca="false">IF(AT475="","",AT475+ROW()/100000)</f>
        <v/>
      </c>
    </row>
    <row r="476" customFormat="false" ht="15" hidden="false" customHeight="false" outlineLevel="0" collapsed="false">
      <c r="A476" s="9" t="str">
        <f aca="false">IF(B476="","",ROW()-5)</f>
        <v/>
      </c>
      <c r="B476" s="40"/>
      <c r="C476" s="8"/>
      <c r="D476" s="9" t="str">
        <f aca="false">IF(B476="","",IF(J476="","Active","Exited"))</f>
        <v/>
      </c>
      <c r="E476" s="8"/>
      <c r="F476" s="8"/>
      <c r="G476" s="8"/>
      <c r="H476" s="9" t="str">
        <f aca="false">IF(OR(B476="",I476=""),"",IF(IF(J476="",AsOf,J476)-I476&gt;=Settings!$C$13,"Permanent","Probation"))</f>
        <v/>
      </c>
      <c r="I476" s="41"/>
      <c r="J476" s="41"/>
      <c r="K476" s="8"/>
      <c r="L476" s="42" t="str">
        <f aca="false">IF(OR(B476="",I476=""),"",ROUND((IF(J476="",AsOf,J476)-I476)/365.25,1))</f>
        <v/>
      </c>
      <c r="M476" s="8"/>
      <c r="N476" s="8"/>
      <c r="O476" s="8"/>
      <c r="P476" s="8"/>
      <c r="Q476" s="41"/>
      <c r="R476" s="43" t="str">
        <f aca="false">IF(OR(B476="",Q476=""),"",INT((AsOf-Q476)/365.25))</f>
        <v/>
      </c>
      <c r="S476" s="8"/>
      <c r="T476" s="40"/>
      <c r="U476" s="40"/>
      <c r="V476" s="40"/>
      <c r="W476" s="40"/>
      <c r="X476" s="8"/>
      <c r="Y476" s="8"/>
      <c r="Z476" s="8"/>
      <c r="AA476" s="8"/>
      <c r="AB476" s="8"/>
      <c r="AC476" s="8"/>
      <c r="AD476" s="8"/>
      <c r="AE476" s="40"/>
      <c r="AF476" s="8"/>
      <c r="AG476" s="40"/>
      <c r="AH476" s="40"/>
      <c r="AI476" s="8"/>
      <c r="AJ476" s="40"/>
      <c r="AK476" s="40"/>
      <c r="AL476" s="40"/>
      <c r="AM476" s="44"/>
      <c r="AN476" s="44"/>
      <c r="AO476" s="41"/>
      <c r="AP476" s="45" t="str">
        <f aca="false">IF(B476="","",IF(AND(ISNUMBER(AM476),ISNUMBER(AN476),AM476&gt;0,AN476&gt;0),AN476/AM476-1,""))</f>
        <v/>
      </c>
      <c r="AQ476" s="9" t="str">
        <f aca="false">IF(I476="","",(YEAR(I476)-IF(MONTH(I476)&lt;4,1,0))&amp;"-"&amp;RIGHT((YEAR(I476)-IF(MONTH(I476)&lt;4,1,0))+1,2))</f>
        <v/>
      </c>
      <c r="AR476" s="9" t="str">
        <f aca="false">IF(J476="","",(YEAR(J476)-IF(MONTH(J476)&lt;4,1,0))&amp;"-"&amp;RIGHT((YEAR(J476)-IF(MONTH(J476)&lt;4,1,0))+1,2))</f>
        <v/>
      </c>
      <c r="AS476" s="43" t="str">
        <f aca="false">IF(OR(B476="",Q476="",D476&lt;&gt;"Active"),"",DATE(YEAR(AsOf)+IF(DATE(YEAR(AsOf),MONTH(Q476),DAY(Q476))&lt;AsOf,1,0),MONTH(Q476),DAY(Q476))-AsOf)</f>
        <v/>
      </c>
      <c r="AT476" s="43" t="str">
        <f aca="false">IF(OR(B476="",I476="",D476&lt;&gt;"Active"),"",IF(YEAR(DATE(YEAR(AsOf)+IF(DATE(YEAR(AsOf),MONTH(I476),DAY(I476))&lt;AsOf,1,0),MONTH(I476),DAY(I476)))-YEAR(I476)&lt;1,"",DATE(YEAR(AsOf)+IF(DATE(YEAR(AsOf),MONTH(I476),DAY(I476))&lt;AsOf,1,0),MONTH(I476),DAY(I476))-AsOf))</f>
        <v/>
      </c>
      <c r="AU476" s="43" t="str">
        <f aca="false">IF(B476="","",IF(AV476="",0,LEN(AV476)-LEN(SUBSTITUTE(AV476,";",""))))</f>
        <v/>
      </c>
      <c r="AV476" s="9" t="str">
        <f aca="false">IF(B476="","",IF(COUNTIF($B$6:$B$505,B476)&gt;1,"Duplicate Emp Code; ","")&amp;IF(C476="","Name missing; ","")&amp;IF(I476="","DOJ missing; ","")&amp;IF(AND(J476&lt;&gt;"",I476&lt;&gt;"",J476&lt;I476),"Exit before DOJ; ","")&amp;IF(Q476="","DOB missing; ","")&amp;IF(T476="","Aadhaar missing; ",IF(LEN(T476)&lt;&gt;12,"Aadhaar not 12 digits; ",IF(COUNTIF($T$6:$T$505,T476)&gt;1,"Duplicate Aadhaar; ","")))&amp;IF(U476="","PAN missing; ",IF(LEN(U476)&lt;&gt;10,"PAN not 10 chars; ",""))&amp;IF(V476="","Mobile missing; ",IF(LEN(V476)&lt;&gt;10,"Mobile not 10 digits; ",""))&amp;IF(AG476="","Bank A/c missing; ","")&amp;IF(AH476="","IFSC missing; ",IF(LEN(AH476)&lt;&gt;11,"IFSC not 11 chars; ","")))</f>
        <v/>
      </c>
      <c r="AW476" s="46" t="str">
        <f aca="false">IF(AS476="","",AS476+ROW()/100000)</f>
        <v/>
      </c>
      <c r="AX476" s="46" t="str">
        <f aca="false">IF(AT476="","",AT476+ROW()/100000)</f>
        <v/>
      </c>
    </row>
    <row r="477" customFormat="false" ht="15" hidden="false" customHeight="false" outlineLevel="0" collapsed="false">
      <c r="A477" s="9" t="str">
        <f aca="false">IF(B477="","",ROW()-5)</f>
        <v/>
      </c>
      <c r="B477" s="40"/>
      <c r="C477" s="8"/>
      <c r="D477" s="9" t="str">
        <f aca="false">IF(B477="","",IF(J477="","Active","Exited"))</f>
        <v/>
      </c>
      <c r="E477" s="8"/>
      <c r="F477" s="8"/>
      <c r="G477" s="8"/>
      <c r="H477" s="9" t="str">
        <f aca="false">IF(OR(B477="",I477=""),"",IF(IF(J477="",AsOf,J477)-I477&gt;=Settings!$C$13,"Permanent","Probation"))</f>
        <v/>
      </c>
      <c r="I477" s="41"/>
      <c r="J477" s="41"/>
      <c r="K477" s="8"/>
      <c r="L477" s="42" t="str">
        <f aca="false">IF(OR(B477="",I477=""),"",ROUND((IF(J477="",AsOf,J477)-I477)/365.25,1))</f>
        <v/>
      </c>
      <c r="M477" s="8"/>
      <c r="N477" s="8"/>
      <c r="O477" s="8"/>
      <c r="P477" s="8"/>
      <c r="Q477" s="41"/>
      <c r="R477" s="43" t="str">
        <f aca="false">IF(OR(B477="",Q477=""),"",INT((AsOf-Q477)/365.25))</f>
        <v/>
      </c>
      <c r="S477" s="8"/>
      <c r="T477" s="40"/>
      <c r="U477" s="40"/>
      <c r="V477" s="40"/>
      <c r="W477" s="40"/>
      <c r="X477" s="8"/>
      <c r="Y477" s="8"/>
      <c r="Z477" s="8"/>
      <c r="AA477" s="8"/>
      <c r="AB477" s="8"/>
      <c r="AC477" s="8"/>
      <c r="AD477" s="8"/>
      <c r="AE477" s="40"/>
      <c r="AF477" s="8"/>
      <c r="AG477" s="40"/>
      <c r="AH477" s="40"/>
      <c r="AI477" s="8"/>
      <c r="AJ477" s="40"/>
      <c r="AK477" s="40"/>
      <c r="AL477" s="40"/>
      <c r="AM477" s="44"/>
      <c r="AN477" s="44"/>
      <c r="AO477" s="41"/>
      <c r="AP477" s="45" t="str">
        <f aca="false">IF(B477="","",IF(AND(ISNUMBER(AM477),ISNUMBER(AN477),AM477&gt;0,AN477&gt;0),AN477/AM477-1,""))</f>
        <v/>
      </c>
      <c r="AQ477" s="9" t="str">
        <f aca="false">IF(I477="","",(YEAR(I477)-IF(MONTH(I477)&lt;4,1,0))&amp;"-"&amp;RIGHT((YEAR(I477)-IF(MONTH(I477)&lt;4,1,0))+1,2))</f>
        <v/>
      </c>
      <c r="AR477" s="9" t="str">
        <f aca="false">IF(J477="","",(YEAR(J477)-IF(MONTH(J477)&lt;4,1,0))&amp;"-"&amp;RIGHT((YEAR(J477)-IF(MONTH(J477)&lt;4,1,0))+1,2))</f>
        <v/>
      </c>
      <c r="AS477" s="43" t="str">
        <f aca="false">IF(OR(B477="",Q477="",D477&lt;&gt;"Active"),"",DATE(YEAR(AsOf)+IF(DATE(YEAR(AsOf),MONTH(Q477),DAY(Q477))&lt;AsOf,1,0),MONTH(Q477),DAY(Q477))-AsOf)</f>
        <v/>
      </c>
      <c r="AT477" s="43" t="str">
        <f aca="false">IF(OR(B477="",I477="",D477&lt;&gt;"Active"),"",IF(YEAR(DATE(YEAR(AsOf)+IF(DATE(YEAR(AsOf),MONTH(I477),DAY(I477))&lt;AsOf,1,0),MONTH(I477),DAY(I477)))-YEAR(I477)&lt;1,"",DATE(YEAR(AsOf)+IF(DATE(YEAR(AsOf),MONTH(I477),DAY(I477))&lt;AsOf,1,0),MONTH(I477),DAY(I477))-AsOf))</f>
        <v/>
      </c>
      <c r="AU477" s="43" t="str">
        <f aca="false">IF(B477="","",IF(AV477="",0,LEN(AV477)-LEN(SUBSTITUTE(AV477,";",""))))</f>
        <v/>
      </c>
      <c r="AV477" s="9" t="str">
        <f aca="false">IF(B477="","",IF(COUNTIF($B$6:$B$505,B477)&gt;1,"Duplicate Emp Code; ","")&amp;IF(C477="","Name missing; ","")&amp;IF(I477="","DOJ missing; ","")&amp;IF(AND(J477&lt;&gt;"",I477&lt;&gt;"",J477&lt;I477),"Exit before DOJ; ","")&amp;IF(Q477="","DOB missing; ","")&amp;IF(T477="","Aadhaar missing; ",IF(LEN(T477)&lt;&gt;12,"Aadhaar not 12 digits; ",IF(COUNTIF($T$6:$T$505,T477)&gt;1,"Duplicate Aadhaar; ","")))&amp;IF(U477="","PAN missing; ",IF(LEN(U477)&lt;&gt;10,"PAN not 10 chars; ",""))&amp;IF(V477="","Mobile missing; ",IF(LEN(V477)&lt;&gt;10,"Mobile not 10 digits; ",""))&amp;IF(AG477="","Bank A/c missing; ","")&amp;IF(AH477="","IFSC missing; ",IF(LEN(AH477)&lt;&gt;11,"IFSC not 11 chars; ","")))</f>
        <v/>
      </c>
      <c r="AW477" s="46" t="str">
        <f aca="false">IF(AS477="","",AS477+ROW()/100000)</f>
        <v/>
      </c>
      <c r="AX477" s="46" t="str">
        <f aca="false">IF(AT477="","",AT477+ROW()/100000)</f>
        <v/>
      </c>
    </row>
    <row r="478" customFormat="false" ht="15" hidden="false" customHeight="false" outlineLevel="0" collapsed="false">
      <c r="A478" s="9" t="str">
        <f aca="false">IF(B478="","",ROW()-5)</f>
        <v/>
      </c>
      <c r="B478" s="40"/>
      <c r="C478" s="8"/>
      <c r="D478" s="9" t="str">
        <f aca="false">IF(B478="","",IF(J478="","Active","Exited"))</f>
        <v/>
      </c>
      <c r="E478" s="8"/>
      <c r="F478" s="8"/>
      <c r="G478" s="8"/>
      <c r="H478" s="9" t="str">
        <f aca="false">IF(OR(B478="",I478=""),"",IF(IF(J478="",AsOf,J478)-I478&gt;=Settings!$C$13,"Permanent","Probation"))</f>
        <v/>
      </c>
      <c r="I478" s="41"/>
      <c r="J478" s="41"/>
      <c r="K478" s="8"/>
      <c r="L478" s="42" t="str">
        <f aca="false">IF(OR(B478="",I478=""),"",ROUND((IF(J478="",AsOf,J478)-I478)/365.25,1))</f>
        <v/>
      </c>
      <c r="M478" s="8"/>
      <c r="N478" s="8"/>
      <c r="O478" s="8"/>
      <c r="P478" s="8"/>
      <c r="Q478" s="41"/>
      <c r="R478" s="43" t="str">
        <f aca="false">IF(OR(B478="",Q478=""),"",INT((AsOf-Q478)/365.25))</f>
        <v/>
      </c>
      <c r="S478" s="8"/>
      <c r="T478" s="40"/>
      <c r="U478" s="40"/>
      <c r="V478" s="40"/>
      <c r="W478" s="40"/>
      <c r="X478" s="8"/>
      <c r="Y478" s="8"/>
      <c r="Z478" s="8"/>
      <c r="AA478" s="8"/>
      <c r="AB478" s="8"/>
      <c r="AC478" s="8"/>
      <c r="AD478" s="8"/>
      <c r="AE478" s="40"/>
      <c r="AF478" s="8"/>
      <c r="AG478" s="40"/>
      <c r="AH478" s="40"/>
      <c r="AI478" s="8"/>
      <c r="AJ478" s="40"/>
      <c r="AK478" s="40"/>
      <c r="AL478" s="40"/>
      <c r="AM478" s="44"/>
      <c r="AN478" s="44"/>
      <c r="AO478" s="41"/>
      <c r="AP478" s="45" t="str">
        <f aca="false">IF(B478="","",IF(AND(ISNUMBER(AM478),ISNUMBER(AN478),AM478&gt;0,AN478&gt;0),AN478/AM478-1,""))</f>
        <v/>
      </c>
      <c r="AQ478" s="9" t="str">
        <f aca="false">IF(I478="","",(YEAR(I478)-IF(MONTH(I478)&lt;4,1,0))&amp;"-"&amp;RIGHT((YEAR(I478)-IF(MONTH(I478)&lt;4,1,0))+1,2))</f>
        <v/>
      </c>
      <c r="AR478" s="9" t="str">
        <f aca="false">IF(J478="","",(YEAR(J478)-IF(MONTH(J478)&lt;4,1,0))&amp;"-"&amp;RIGHT((YEAR(J478)-IF(MONTH(J478)&lt;4,1,0))+1,2))</f>
        <v/>
      </c>
      <c r="AS478" s="43" t="str">
        <f aca="false">IF(OR(B478="",Q478="",D478&lt;&gt;"Active"),"",DATE(YEAR(AsOf)+IF(DATE(YEAR(AsOf),MONTH(Q478),DAY(Q478))&lt;AsOf,1,0),MONTH(Q478),DAY(Q478))-AsOf)</f>
        <v/>
      </c>
      <c r="AT478" s="43" t="str">
        <f aca="false">IF(OR(B478="",I478="",D478&lt;&gt;"Active"),"",IF(YEAR(DATE(YEAR(AsOf)+IF(DATE(YEAR(AsOf),MONTH(I478),DAY(I478))&lt;AsOf,1,0),MONTH(I478),DAY(I478)))-YEAR(I478)&lt;1,"",DATE(YEAR(AsOf)+IF(DATE(YEAR(AsOf),MONTH(I478),DAY(I478))&lt;AsOf,1,0),MONTH(I478),DAY(I478))-AsOf))</f>
        <v/>
      </c>
      <c r="AU478" s="43" t="str">
        <f aca="false">IF(B478="","",IF(AV478="",0,LEN(AV478)-LEN(SUBSTITUTE(AV478,";",""))))</f>
        <v/>
      </c>
      <c r="AV478" s="9" t="str">
        <f aca="false">IF(B478="","",IF(COUNTIF($B$6:$B$505,B478)&gt;1,"Duplicate Emp Code; ","")&amp;IF(C478="","Name missing; ","")&amp;IF(I478="","DOJ missing; ","")&amp;IF(AND(J478&lt;&gt;"",I478&lt;&gt;"",J478&lt;I478),"Exit before DOJ; ","")&amp;IF(Q478="","DOB missing; ","")&amp;IF(T478="","Aadhaar missing; ",IF(LEN(T478)&lt;&gt;12,"Aadhaar not 12 digits; ",IF(COUNTIF($T$6:$T$505,T478)&gt;1,"Duplicate Aadhaar; ","")))&amp;IF(U478="","PAN missing; ",IF(LEN(U478)&lt;&gt;10,"PAN not 10 chars; ",""))&amp;IF(V478="","Mobile missing; ",IF(LEN(V478)&lt;&gt;10,"Mobile not 10 digits; ",""))&amp;IF(AG478="","Bank A/c missing; ","")&amp;IF(AH478="","IFSC missing; ",IF(LEN(AH478)&lt;&gt;11,"IFSC not 11 chars; ","")))</f>
        <v/>
      </c>
      <c r="AW478" s="46" t="str">
        <f aca="false">IF(AS478="","",AS478+ROW()/100000)</f>
        <v/>
      </c>
      <c r="AX478" s="46" t="str">
        <f aca="false">IF(AT478="","",AT478+ROW()/100000)</f>
        <v/>
      </c>
    </row>
    <row r="479" customFormat="false" ht="15" hidden="false" customHeight="false" outlineLevel="0" collapsed="false">
      <c r="A479" s="9" t="str">
        <f aca="false">IF(B479="","",ROW()-5)</f>
        <v/>
      </c>
      <c r="B479" s="40"/>
      <c r="C479" s="8"/>
      <c r="D479" s="9" t="str">
        <f aca="false">IF(B479="","",IF(J479="","Active","Exited"))</f>
        <v/>
      </c>
      <c r="E479" s="8"/>
      <c r="F479" s="8"/>
      <c r="G479" s="8"/>
      <c r="H479" s="9" t="str">
        <f aca="false">IF(OR(B479="",I479=""),"",IF(IF(J479="",AsOf,J479)-I479&gt;=Settings!$C$13,"Permanent","Probation"))</f>
        <v/>
      </c>
      <c r="I479" s="41"/>
      <c r="J479" s="41"/>
      <c r="K479" s="8"/>
      <c r="L479" s="42" t="str">
        <f aca="false">IF(OR(B479="",I479=""),"",ROUND((IF(J479="",AsOf,J479)-I479)/365.25,1))</f>
        <v/>
      </c>
      <c r="M479" s="8"/>
      <c r="N479" s="8"/>
      <c r="O479" s="8"/>
      <c r="P479" s="8"/>
      <c r="Q479" s="41"/>
      <c r="R479" s="43" t="str">
        <f aca="false">IF(OR(B479="",Q479=""),"",INT((AsOf-Q479)/365.25))</f>
        <v/>
      </c>
      <c r="S479" s="8"/>
      <c r="T479" s="40"/>
      <c r="U479" s="40"/>
      <c r="V479" s="40"/>
      <c r="W479" s="40"/>
      <c r="X479" s="8"/>
      <c r="Y479" s="8"/>
      <c r="Z479" s="8"/>
      <c r="AA479" s="8"/>
      <c r="AB479" s="8"/>
      <c r="AC479" s="8"/>
      <c r="AD479" s="8"/>
      <c r="AE479" s="40"/>
      <c r="AF479" s="8"/>
      <c r="AG479" s="40"/>
      <c r="AH479" s="40"/>
      <c r="AI479" s="8"/>
      <c r="AJ479" s="40"/>
      <c r="AK479" s="40"/>
      <c r="AL479" s="40"/>
      <c r="AM479" s="44"/>
      <c r="AN479" s="44"/>
      <c r="AO479" s="41"/>
      <c r="AP479" s="45" t="str">
        <f aca="false">IF(B479="","",IF(AND(ISNUMBER(AM479),ISNUMBER(AN479),AM479&gt;0,AN479&gt;0),AN479/AM479-1,""))</f>
        <v/>
      </c>
      <c r="AQ479" s="9" t="str">
        <f aca="false">IF(I479="","",(YEAR(I479)-IF(MONTH(I479)&lt;4,1,0))&amp;"-"&amp;RIGHT((YEAR(I479)-IF(MONTH(I479)&lt;4,1,0))+1,2))</f>
        <v/>
      </c>
      <c r="AR479" s="9" t="str">
        <f aca="false">IF(J479="","",(YEAR(J479)-IF(MONTH(J479)&lt;4,1,0))&amp;"-"&amp;RIGHT((YEAR(J479)-IF(MONTH(J479)&lt;4,1,0))+1,2))</f>
        <v/>
      </c>
      <c r="AS479" s="43" t="str">
        <f aca="false">IF(OR(B479="",Q479="",D479&lt;&gt;"Active"),"",DATE(YEAR(AsOf)+IF(DATE(YEAR(AsOf),MONTH(Q479),DAY(Q479))&lt;AsOf,1,0),MONTH(Q479),DAY(Q479))-AsOf)</f>
        <v/>
      </c>
      <c r="AT479" s="43" t="str">
        <f aca="false">IF(OR(B479="",I479="",D479&lt;&gt;"Active"),"",IF(YEAR(DATE(YEAR(AsOf)+IF(DATE(YEAR(AsOf),MONTH(I479),DAY(I479))&lt;AsOf,1,0),MONTH(I479),DAY(I479)))-YEAR(I479)&lt;1,"",DATE(YEAR(AsOf)+IF(DATE(YEAR(AsOf),MONTH(I479),DAY(I479))&lt;AsOf,1,0),MONTH(I479),DAY(I479))-AsOf))</f>
        <v/>
      </c>
      <c r="AU479" s="43" t="str">
        <f aca="false">IF(B479="","",IF(AV479="",0,LEN(AV479)-LEN(SUBSTITUTE(AV479,";",""))))</f>
        <v/>
      </c>
      <c r="AV479" s="9" t="str">
        <f aca="false">IF(B479="","",IF(COUNTIF($B$6:$B$505,B479)&gt;1,"Duplicate Emp Code; ","")&amp;IF(C479="","Name missing; ","")&amp;IF(I479="","DOJ missing; ","")&amp;IF(AND(J479&lt;&gt;"",I479&lt;&gt;"",J479&lt;I479),"Exit before DOJ; ","")&amp;IF(Q479="","DOB missing; ","")&amp;IF(T479="","Aadhaar missing; ",IF(LEN(T479)&lt;&gt;12,"Aadhaar not 12 digits; ",IF(COUNTIF($T$6:$T$505,T479)&gt;1,"Duplicate Aadhaar; ","")))&amp;IF(U479="","PAN missing; ",IF(LEN(U479)&lt;&gt;10,"PAN not 10 chars; ",""))&amp;IF(V479="","Mobile missing; ",IF(LEN(V479)&lt;&gt;10,"Mobile not 10 digits; ",""))&amp;IF(AG479="","Bank A/c missing; ","")&amp;IF(AH479="","IFSC missing; ",IF(LEN(AH479)&lt;&gt;11,"IFSC not 11 chars; ","")))</f>
        <v/>
      </c>
      <c r="AW479" s="46" t="str">
        <f aca="false">IF(AS479="","",AS479+ROW()/100000)</f>
        <v/>
      </c>
      <c r="AX479" s="46" t="str">
        <f aca="false">IF(AT479="","",AT479+ROW()/100000)</f>
        <v/>
      </c>
    </row>
    <row r="480" customFormat="false" ht="15" hidden="false" customHeight="false" outlineLevel="0" collapsed="false">
      <c r="A480" s="9" t="str">
        <f aca="false">IF(B480="","",ROW()-5)</f>
        <v/>
      </c>
      <c r="B480" s="40"/>
      <c r="C480" s="8"/>
      <c r="D480" s="9" t="str">
        <f aca="false">IF(B480="","",IF(J480="","Active","Exited"))</f>
        <v/>
      </c>
      <c r="E480" s="8"/>
      <c r="F480" s="8"/>
      <c r="G480" s="8"/>
      <c r="H480" s="9" t="str">
        <f aca="false">IF(OR(B480="",I480=""),"",IF(IF(J480="",AsOf,J480)-I480&gt;=Settings!$C$13,"Permanent","Probation"))</f>
        <v/>
      </c>
      <c r="I480" s="41"/>
      <c r="J480" s="41"/>
      <c r="K480" s="8"/>
      <c r="L480" s="42" t="str">
        <f aca="false">IF(OR(B480="",I480=""),"",ROUND((IF(J480="",AsOf,J480)-I480)/365.25,1))</f>
        <v/>
      </c>
      <c r="M480" s="8"/>
      <c r="N480" s="8"/>
      <c r="O480" s="8"/>
      <c r="P480" s="8"/>
      <c r="Q480" s="41"/>
      <c r="R480" s="43" t="str">
        <f aca="false">IF(OR(B480="",Q480=""),"",INT((AsOf-Q480)/365.25))</f>
        <v/>
      </c>
      <c r="S480" s="8"/>
      <c r="T480" s="40"/>
      <c r="U480" s="40"/>
      <c r="V480" s="40"/>
      <c r="W480" s="40"/>
      <c r="X480" s="8"/>
      <c r="Y480" s="8"/>
      <c r="Z480" s="8"/>
      <c r="AA480" s="8"/>
      <c r="AB480" s="8"/>
      <c r="AC480" s="8"/>
      <c r="AD480" s="8"/>
      <c r="AE480" s="40"/>
      <c r="AF480" s="8"/>
      <c r="AG480" s="40"/>
      <c r="AH480" s="40"/>
      <c r="AI480" s="8"/>
      <c r="AJ480" s="40"/>
      <c r="AK480" s="40"/>
      <c r="AL480" s="40"/>
      <c r="AM480" s="44"/>
      <c r="AN480" s="44"/>
      <c r="AO480" s="41"/>
      <c r="AP480" s="45" t="str">
        <f aca="false">IF(B480="","",IF(AND(ISNUMBER(AM480),ISNUMBER(AN480),AM480&gt;0,AN480&gt;0),AN480/AM480-1,""))</f>
        <v/>
      </c>
      <c r="AQ480" s="9" t="str">
        <f aca="false">IF(I480="","",(YEAR(I480)-IF(MONTH(I480)&lt;4,1,0))&amp;"-"&amp;RIGHT((YEAR(I480)-IF(MONTH(I480)&lt;4,1,0))+1,2))</f>
        <v/>
      </c>
      <c r="AR480" s="9" t="str">
        <f aca="false">IF(J480="","",(YEAR(J480)-IF(MONTH(J480)&lt;4,1,0))&amp;"-"&amp;RIGHT((YEAR(J480)-IF(MONTH(J480)&lt;4,1,0))+1,2))</f>
        <v/>
      </c>
      <c r="AS480" s="43" t="str">
        <f aca="false">IF(OR(B480="",Q480="",D480&lt;&gt;"Active"),"",DATE(YEAR(AsOf)+IF(DATE(YEAR(AsOf),MONTH(Q480),DAY(Q480))&lt;AsOf,1,0),MONTH(Q480),DAY(Q480))-AsOf)</f>
        <v/>
      </c>
      <c r="AT480" s="43" t="str">
        <f aca="false">IF(OR(B480="",I480="",D480&lt;&gt;"Active"),"",IF(YEAR(DATE(YEAR(AsOf)+IF(DATE(YEAR(AsOf),MONTH(I480),DAY(I480))&lt;AsOf,1,0),MONTH(I480),DAY(I480)))-YEAR(I480)&lt;1,"",DATE(YEAR(AsOf)+IF(DATE(YEAR(AsOf),MONTH(I480),DAY(I480))&lt;AsOf,1,0),MONTH(I480),DAY(I480))-AsOf))</f>
        <v/>
      </c>
      <c r="AU480" s="43" t="str">
        <f aca="false">IF(B480="","",IF(AV480="",0,LEN(AV480)-LEN(SUBSTITUTE(AV480,";",""))))</f>
        <v/>
      </c>
      <c r="AV480" s="9" t="str">
        <f aca="false">IF(B480="","",IF(COUNTIF($B$6:$B$505,B480)&gt;1,"Duplicate Emp Code; ","")&amp;IF(C480="","Name missing; ","")&amp;IF(I480="","DOJ missing; ","")&amp;IF(AND(J480&lt;&gt;"",I480&lt;&gt;"",J480&lt;I480),"Exit before DOJ; ","")&amp;IF(Q480="","DOB missing; ","")&amp;IF(T480="","Aadhaar missing; ",IF(LEN(T480)&lt;&gt;12,"Aadhaar not 12 digits; ",IF(COUNTIF($T$6:$T$505,T480)&gt;1,"Duplicate Aadhaar; ","")))&amp;IF(U480="","PAN missing; ",IF(LEN(U480)&lt;&gt;10,"PAN not 10 chars; ",""))&amp;IF(V480="","Mobile missing; ",IF(LEN(V480)&lt;&gt;10,"Mobile not 10 digits; ",""))&amp;IF(AG480="","Bank A/c missing; ","")&amp;IF(AH480="","IFSC missing; ",IF(LEN(AH480)&lt;&gt;11,"IFSC not 11 chars; ","")))</f>
        <v/>
      </c>
      <c r="AW480" s="46" t="str">
        <f aca="false">IF(AS480="","",AS480+ROW()/100000)</f>
        <v/>
      </c>
      <c r="AX480" s="46" t="str">
        <f aca="false">IF(AT480="","",AT480+ROW()/100000)</f>
        <v/>
      </c>
    </row>
    <row r="481" customFormat="false" ht="15" hidden="false" customHeight="false" outlineLevel="0" collapsed="false">
      <c r="A481" s="9" t="str">
        <f aca="false">IF(B481="","",ROW()-5)</f>
        <v/>
      </c>
      <c r="B481" s="40"/>
      <c r="C481" s="8"/>
      <c r="D481" s="9" t="str">
        <f aca="false">IF(B481="","",IF(J481="","Active","Exited"))</f>
        <v/>
      </c>
      <c r="E481" s="8"/>
      <c r="F481" s="8"/>
      <c r="G481" s="8"/>
      <c r="H481" s="9" t="str">
        <f aca="false">IF(OR(B481="",I481=""),"",IF(IF(J481="",AsOf,J481)-I481&gt;=Settings!$C$13,"Permanent","Probation"))</f>
        <v/>
      </c>
      <c r="I481" s="41"/>
      <c r="J481" s="41"/>
      <c r="K481" s="8"/>
      <c r="L481" s="42" t="str">
        <f aca="false">IF(OR(B481="",I481=""),"",ROUND((IF(J481="",AsOf,J481)-I481)/365.25,1))</f>
        <v/>
      </c>
      <c r="M481" s="8"/>
      <c r="N481" s="8"/>
      <c r="O481" s="8"/>
      <c r="P481" s="8"/>
      <c r="Q481" s="41"/>
      <c r="R481" s="43" t="str">
        <f aca="false">IF(OR(B481="",Q481=""),"",INT((AsOf-Q481)/365.25))</f>
        <v/>
      </c>
      <c r="S481" s="8"/>
      <c r="T481" s="40"/>
      <c r="U481" s="40"/>
      <c r="V481" s="40"/>
      <c r="W481" s="40"/>
      <c r="X481" s="8"/>
      <c r="Y481" s="8"/>
      <c r="Z481" s="8"/>
      <c r="AA481" s="8"/>
      <c r="AB481" s="8"/>
      <c r="AC481" s="8"/>
      <c r="AD481" s="8"/>
      <c r="AE481" s="40"/>
      <c r="AF481" s="8"/>
      <c r="AG481" s="40"/>
      <c r="AH481" s="40"/>
      <c r="AI481" s="8"/>
      <c r="AJ481" s="40"/>
      <c r="AK481" s="40"/>
      <c r="AL481" s="40"/>
      <c r="AM481" s="44"/>
      <c r="AN481" s="44"/>
      <c r="AO481" s="41"/>
      <c r="AP481" s="45" t="str">
        <f aca="false">IF(B481="","",IF(AND(ISNUMBER(AM481),ISNUMBER(AN481),AM481&gt;0,AN481&gt;0),AN481/AM481-1,""))</f>
        <v/>
      </c>
      <c r="AQ481" s="9" t="str">
        <f aca="false">IF(I481="","",(YEAR(I481)-IF(MONTH(I481)&lt;4,1,0))&amp;"-"&amp;RIGHT((YEAR(I481)-IF(MONTH(I481)&lt;4,1,0))+1,2))</f>
        <v/>
      </c>
      <c r="AR481" s="9" t="str">
        <f aca="false">IF(J481="","",(YEAR(J481)-IF(MONTH(J481)&lt;4,1,0))&amp;"-"&amp;RIGHT((YEAR(J481)-IF(MONTH(J481)&lt;4,1,0))+1,2))</f>
        <v/>
      </c>
      <c r="AS481" s="43" t="str">
        <f aca="false">IF(OR(B481="",Q481="",D481&lt;&gt;"Active"),"",DATE(YEAR(AsOf)+IF(DATE(YEAR(AsOf),MONTH(Q481),DAY(Q481))&lt;AsOf,1,0),MONTH(Q481),DAY(Q481))-AsOf)</f>
        <v/>
      </c>
      <c r="AT481" s="43" t="str">
        <f aca="false">IF(OR(B481="",I481="",D481&lt;&gt;"Active"),"",IF(YEAR(DATE(YEAR(AsOf)+IF(DATE(YEAR(AsOf),MONTH(I481),DAY(I481))&lt;AsOf,1,0),MONTH(I481),DAY(I481)))-YEAR(I481)&lt;1,"",DATE(YEAR(AsOf)+IF(DATE(YEAR(AsOf),MONTH(I481),DAY(I481))&lt;AsOf,1,0),MONTH(I481),DAY(I481))-AsOf))</f>
        <v/>
      </c>
      <c r="AU481" s="43" t="str">
        <f aca="false">IF(B481="","",IF(AV481="",0,LEN(AV481)-LEN(SUBSTITUTE(AV481,";",""))))</f>
        <v/>
      </c>
      <c r="AV481" s="9" t="str">
        <f aca="false">IF(B481="","",IF(COUNTIF($B$6:$B$505,B481)&gt;1,"Duplicate Emp Code; ","")&amp;IF(C481="","Name missing; ","")&amp;IF(I481="","DOJ missing; ","")&amp;IF(AND(J481&lt;&gt;"",I481&lt;&gt;"",J481&lt;I481),"Exit before DOJ; ","")&amp;IF(Q481="","DOB missing; ","")&amp;IF(T481="","Aadhaar missing; ",IF(LEN(T481)&lt;&gt;12,"Aadhaar not 12 digits; ",IF(COUNTIF($T$6:$T$505,T481)&gt;1,"Duplicate Aadhaar; ","")))&amp;IF(U481="","PAN missing; ",IF(LEN(U481)&lt;&gt;10,"PAN not 10 chars; ",""))&amp;IF(V481="","Mobile missing; ",IF(LEN(V481)&lt;&gt;10,"Mobile not 10 digits; ",""))&amp;IF(AG481="","Bank A/c missing; ","")&amp;IF(AH481="","IFSC missing; ",IF(LEN(AH481)&lt;&gt;11,"IFSC not 11 chars; ","")))</f>
        <v/>
      </c>
      <c r="AW481" s="46" t="str">
        <f aca="false">IF(AS481="","",AS481+ROW()/100000)</f>
        <v/>
      </c>
      <c r="AX481" s="46" t="str">
        <f aca="false">IF(AT481="","",AT481+ROW()/100000)</f>
        <v/>
      </c>
    </row>
    <row r="482" customFormat="false" ht="15" hidden="false" customHeight="false" outlineLevel="0" collapsed="false">
      <c r="A482" s="9" t="str">
        <f aca="false">IF(B482="","",ROW()-5)</f>
        <v/>
      </c>
      <c r="B482" s="40"/>
      <c r="C482" s="8"/>
      <c r="D482" s="9" t="str">
        <f aca="false">IF(B482="","",IF(J482="","Active","Exited"))</f>
        <v/>
      </c>
      <c r="E482" s="8"/>
      <c r="F482" s="8"/>
      <c r="G482" s="8"/>
      <c r="H482" s="9" t="str">
        <f aca="false">IF(OR(B482="",I482=""),"",IF(IF(J482="",AsOf,J482)-I482&gt;=Settings!$C$13,"Permanent","Probation"))</f>
        <v/>
      </c>
      <c r="I482" s="41"/>
      <c r="J482" s="41"/>
      <c r="K482" s="8"/>
      <c r="L482" s="42" t="str">
        <f aca="false">IF(OR(B482="",I482=""),"",ROUND((IF(J482="",AsOf,J482)-I482)/365.25,1))</f>
        <v/>
      </c>
      <c r="M482" s="8"/>
      <c r="N482" s="8"/>
      <c r="O482" s="8"/>
      <c r="P482" s="8"/>
      <c r="Q482" s="41"/>
      <c r="R482" s="43" t="str">
        <f aca="false">IF(OR(B482="",Q482=""),"",INT((AsOf-Q482)/365.25))</f>
        <v/>
      </c>
      <c r="S482" s="8"/>
      <c r="T482" s="40"/>
      <c r="U482" s="40"/>
      <c r="V482" s="40"/>
      <c r="W482" s="40"/>
      <c r="X482" s="8"/>
      <c r="Y482" s="8"/>
      <c r="Z482" s="8"/>
      <c r="AA482" s="8"/>
      <c r="AB482" s="8"/>
      <c r="AC482" s="8"/>
      <c r="AD482" s="8"/>
      <c r="AE482" s="40"/>
      <c r="AF482" s="8"/>
      <c r="AG482" s="40"/>
      <c r="AH482" s="40"/>
      <c r="AI482" s="8"/>
      <c r="AJ482" s="40"/>
      <c r="AK482" s="40"/>
      <c r="AL482" s="40"/>
      <c r="AM482" s="44"/>
      <c r="AN482" s="44"/>
      <c r="AO482" s="41"/>
      <c r="AP482" s="45" t="str">
        <f aca="false">IF(B482="","",IF(AND(ISNUMBER(AM482),ISNUMBER(AN482),AM482&gt;0,AN482&gt;0),AN482/AM482-1,""))</f>
        <v/>
      </c>
      <c r="AQ482" s="9" t="str">
        <f aca="false">IF(I482="","",(YEAR(I482)-IF(MONTH(I482)&lt;4,1,0))&amp;"-"&amp;RIGHT((YEAR(I482)-IF(MONTH(I482)&lt;4,1,0))+1,2))</f>
        <v/>
      </c>
      <c r="AR482" s="9" t="str">
        <f aca="false">IF(J482="","",(YEAR(J482)-IF(MONTH(J482)&lt;4,1,0))&amp;"-"&amp;RIGHT((YEAR(J482)-IF(MONTH(J482)&lt;4,1,0))+1,2))</f>
        <v/>
      </c>
      <c r="AS482" s="43" t="str">
        <f aca="false">IF(OR(B482="",Q482="",D482&lt;&gt;"Active"),"",DATE(YEAR(AsOf)+IF(DATE(YEAR(AsOf),MONTH(Q482),DAY(Q482))&lt;AsOf,1,0),MONTH(Q482),DAY(Q482))-AsOf)</f>
        <v/>
      </c>
      <c r="AT482" s="43" t="str">
        <f aca="false">IF(OR(B482="",I482="",D482&lt;&gt;"Active"),"",IF(YEAR(DATE(YEAR(AsOf)+IF(DATE(YEAR(AsOf),MONTH(I482),DAY(I482))&lt;AsOf,1,0),MONTH(I482),DAY(I482)))-YEAR(I482)&lt;1,"",DATE(YEAR(AsOf)+IF(DATE(YEAR(AsOf),MONTH(I482),DAY(I482))&lt;AsOf,1,0),MONTH(I482),DAY(I482))-AsOf))</f>
        <v/>
      </c>
      <c r="AU482" s="43" t="str">
        <f aca="false">IF(B482="","",IF(AV482="",0,LEN(AV482)-LEN(SUBSTITUTE(AV482,";",""))))</f>
        <v/>
      </c>
      <c r="AV482" s="9" t="str">
        <f aca="false">IF(B482="","",IF(COUNTIF($B$6:$B$505,B482)&gt;1,"Duplicate Emp Code; ","")&amp;IF(C482="","Name missing; ","")&amp;IF(I482="","DOJ missing; ","")&amp;IF(AND(J482&lt;&gt;"",I482&lt;&gt;"",J482&lt;I482),"Exit before DOJ; ","")&amp;IF(Q482="","DOB missing; ","")&amp;IF(T482="","Aadhaar missing; ",IF(LEN(T482)&lt;&gt;12,"Aadhaar not 12 digits; ",IF(COUNTIF($T$6:$T$505,T482)&gt;1,"Duplicate Aadhaar; ","")))&amp;IF(U482="","PAN missing; ",IF(LEN(U482)&lt;&gt;10,"PAN not 10 chars; ",""))&amp;IF(V482="","Mobile missing; ",IF(LEN(V482)&lt;&gt;10,"Mobile not 10 digits; ",""))&amp;IF(AG482="","Bank A/c missing; ","")&amp;IF(AH482="","IFSC missing; ",IF(LEN(AH482)&lt;&gt;11,"IFSC not 11 chars; ","")))</f>
        <v/>
      </c>
      <c r="AW482" s="46" t="str">
        <f aca="false">IF(AS482="","",AS482+ROW()/100000)</f>
        <v/>
      </c>
      <c r="AX482" s="46" t="str">
        <f aca="false">IF(AT482="","",AT482+ROW()/100000)</f>
        <v/>
      </c>
    </row>
    <row r="483" customFormat="false" ht="15" hidden="false" customHeight="false" outlineLevel="0" collapsed="false">
      <c r="A483" s="9" t="str">
        <f aca="false">IF(B483="","",ROW()-5)</f>
        <v/>
      </c>
      <c r="B483" s="40"/>
      <c r="C483" s="8"/>
      <c r="D483" s="9" t="str">
        <f aca="false">IF(B483="","",IF(J483="","Active","Exited"))</f>
        <v/>
      </c>
      <c r="E483" s="8"/>
      <c r="F483" s="8"/>
      <c r="G483" s="8"/>
      <c r="H483" s="9" t="str">
        <f aca="false">IF(OR(B483="",I483=""),"",IF(IF(J483="",AsOf,J483)-I483&gt;=Settings!$C$13,"Permanent","Probation"))</f>
        <v/>
      </c>
      <c r="I483" s="41"/>
      <c r="J483" s="41"/>
      <c r="K483" s="8"/>
      <c r="L483" s="42" t="str">
        <f aca="false">IF(OR(B483="",I483=""),"",ROUND((IF(J483="",AsOf,J483)-I483)/365.25,1))</f>
        <v/>
      </c>
      <c r="M483" s="8"/>
      <c r="N483" s="8"/>
      <c r="O483" s="8"/>
      <c r="P483" s="8"/>
      <c r="Q483" s="41"/>
      <c r="R483" s="43" t="str">
        <f aca="false">IF(OR(B483="",Q483=""),"",INT((AsOf-Q483)/365.25))</f>
        <v/>
      </c>
      <c r="S483" s="8"/>
      <c r="T483" s="40"/>
      <c r="U483" s="40"/>
      <c r="V483" s="40"/>
      <c r="W483" s="40"/>
      <c r="X483" s="8"/>
      <c r="Y483" s="8"/>
      <c r="Z483" s="8"/>
      <c r="AA483" s="8"/>
      <c r="AB483" s="8"/>
      <c r="AC483" s="8"/>
      <c r="AD483" s="8"/>
      <c r="AE483" s="40"/>
      <c r="AF483" s="8"/>
      <c r="AG483" s="40"/>
      <c r="AH483" s="40"/>
      <c r="AI483" s="8"/>
      <c r="AJ483" s="40"/>
      <c r="AK483" s="40"/>
      <c r="AL483" s="40"/>
      <c r="AM483" s="44"/>
      <c r="AN483" s="44"/>
      <c r="AO483" s="41"/>
      <c r="AP483" s="45" t="str">
        <f aca="false">IF(B483="","",IF(AND(ISNUMBER(AM483),ISNUMBER(AN483),AM483&gt;0,AN483&gt;0),AN483/AM483-1,""))</f>
        <v/>
      </c>
      <c r="AQ483" s="9" t="str">
        <f aca="false">IF(I483="","",(YEAR(I483)-IF(MONTH(I483)&lt;4,1,0))&amp;"-"&amp;RIGHT((YEAR(I483)-IF(MONTH(I483)&lt;4,1,0))+1,2))</f>
        <v/>
      </c>
      <c r="AR483" s="9" t="str">
        <f aca="false">IF(J483="","",(YEAR(J483)-IF(MONTH(J483)&lt;4,1,0))&amp;"-"&amp;RIGHT((YEAR(J483)-IF(MONTH(J483)&lt;4,1,0))+1,2))</f>
        <v/>
      </c>
      <c r="AS483" s="43" t="str">
        <f aca="false">IF(OR(B483="",Q483="",D483&lt;&gt;"Active"),"",DATE(YEAR(AsOf)+IF(DATE(YEAR(AsOf),MONTH(Q483),DAY(Q483))&lt;AsOf,1,0),MONTH(Q483),DAY(Q483))-AsOf)</f>
        <v/>
      </c>
      <c r="AT483" s="43" t="str">
        <f aca="false">IF(OR(B483="",I483="",D483&lt;&gt;"Active"),"",IF(YEAR(DATE(YEAR(AsOf)+IF(DATE(YEAR(AsOf),MONTH(I483),DAY(I483))&lt;AsOf,1,0),MONTH(I483),DAY(I483)))-YEAR(I483)&lt;1,"",DATE(YEAR(AsOf)+IF(DATE(YEAR(AsOf),MONTH(I483),DAY(I483))&lt;AsOf,1,0),MONTH(I483),DAY(I483))-AsOf))</f>
        <v/>
      </c>
      <c r="AU483" s="43" t="str">
        <f aca="false">IF(B483="","",IF(AV483="",0,LEN(AV483)-LEN(SUBSTITUTE(AV483,";",""))))</f>
        <v/>
      </c>
      <c r="AV483" s="9" t="str">
        <f aca="false">IF(B483="","",IF(COUNTIF($B$6:$B$505,B483)&gt;1,"Duplicate Emp Code; ","")&amp;IF(C483="","Name missing; ","")&amp;IF(I483="","DOJ missing; ","")&amp;IF(AND(J483&lt;&gt;"",I483&lt;&gt;"",J483&lt;I483),"Exit before DOJ; ","")&amp;IF(Q483="","DOB missing; ","")&amp;IF(T483="","Aadhaar missing; ",IF(LEN(T483)&lt;&gt;12,"Aadhaar not 12 digits; ",IF(COUNTIF($T$6:$T$505,T483)&gt;1,"Duplicate Aadhaar; ","")))&amp;IF(U483="","PAN missing; ",IF(LEN(U483)&lt;&gt;10,"PAN not 10 chars; ",""))&amp;IF(V483="","Mobile missing; ",IF(LEN(V483)&lt;&gt;10,"Mobile not 10 digits; ",""))&amp;IF(AG483="","Bank A/c missing; ","")&amp;IF(AH483="","IFSC missing; ",IF(LEN(AH483)&lt;&gt;11,"IFSC not 11 chars; ","")))</f>
        <v/>
      </c>
      <c r="AW483" s="46" t="str">
        <f aca="false">IF(AS483="","",AS483+ROW()/100000)</f>
        <v/>
      </c>
      <c r="AX483" s="46" t="str">
        <f aca="false">IF(AT483="","",AT483+ROW()/100000)</f>
        <v/>
      </c>
    </row>
    <row r="484" customFormat="false" ht="15" hidden="false" customHeight="false" outlineLevel="0" collapsed="false">
      <c r="A484" s="9" t="str">
        <f aca="false">IF(B484="","",ROW()-5)</f>
        <v/>
      </c>
      <c r="B484" s="40"/>
      <c r="C484" s="8"/>
      <c r="D484" s="9" t="str">
        <f aca="false">IF(B484="","",IF(J484="","Active","Exited"))</f>
        <v/>
      </c>
      <c r="E484" s="8"/>
      <c r="F484" s="8"/>
      <c r="G484" s="8"/>
      <c r="H484" s="9" t="str">
        <f aca="false">IF(OR(B484="",I484=""),"",IF(IF(J484="",AsOf,J484)-I484&gt;=Settings!$C$13,"Permanent","Probation"))</f>
        <v/>
      </c>
      <c r="I484" s="41"/>
      <c r="J484" s="41"/>
      <c r="K484" s="8"/>
      <c r="L484" s="42" t="str">
        <f aca="false">IF(OR(B484="",I484=""),"",ROUND((IF(J484="",AsOf,J484)-I484)/365.25,1))</f>
        <v/>
      </c>
      <c r="M484" s="8"/>
      <c r="N484" s="8"/>
      <c r="O484" s="8"/>
      <c r="P484" s="8"/>
      <c r="Q484" s="41"/>
      <c r="R484" s="43" t="str">
        <f aca="false">IF(OR(B484="",Q484=""),"",INT((AsOf-Q484)/365.25))</f>
        <v/>
      </c>
      <c r="S484" s="8"/>
      <c r="T484" s="40"/>
      <c r="U484" s="40"/>
      <c r="V484" s="40"/>
      <c r="W484" s="40"/>
      <c r="X484" s="8"/>
      <c r="Y484" s="8"/>
      <c r="Z484" s="8"/>
      <c r="AA484" s="8"/>
      <c r="AB484" s="8"/>
      <c r="AC484" s="8"/>
      <c r="AD484" s="8"/>
      <c r="AE484" s="40"/>
      <c r="AF484" s="8"/>
      <c r="AG484" s="40"/>
      <c r="AH484" s="40"/>
      <c r="AI484" s="8"/>
      <c r="AJ484" s="40"/>
      <c r="AK484" s="40"/>
      <c r="AL484" s="40"/>
      <c r="AM484" s="44"/>
      <c r="AN484" s="44"/>
      <c r="AO484" s="41"/>
      <c r="AP484" s="45" t="str">
        <f aca="false">IF(B484="","",IF(AND(ISNUMBER(AM484),ISNUMBER(AN484),AM484&gt;0,AN484&gt;0),AN484/AM484-1,""))</f>
        <v/>
      </c>
      <c r="AQ484" s="9" t="str">
        <f aca="false">IF(I484="","",(YEAR(I484)-IF(MONTH(I484)&lt;4,1,0))&amp;"-"&amp;RIGHT((YEAR(I484)-IF(MONTH(I484)&lt;4,1,0))+1,2))</f>
        <v/>
      </c>
      <c r="AR484" s="9" t="str">
        <f aca="false">IF(J484="","",(YEAR(J484)-IF(MONTH(J484)&lt;4,1,0))&amp;"-"&amp;RIGHT((YEAR(J484)-IF(MONTH(J484)&lt;4,1,0))+1,2))</f>
        <v/>
      </c>
      <c r="AS484" s="43" t="str">
        <f aca="false">IF(OR(B484="",Q484="",D484&lt;&gt;"Active"),"",DATE(YEAR(AsOf)+IF(DATE(YEAR(AsOf),MONTH(Q484),DAY(Q484))&lt;AsOf,1,0),MONTH(Q484),DAY(Q484))-AsOf)</f>
        <v/>
      </c>
      <c r="AT484" s="43" t="str">
        <f aca="false">IF(OR(B484="",I484="",D484&lt;&gt;"Active"),"",IF(YEAR(DATE(YEAR(AsOf)+IF(DATE(YEAR(AsOf),MONTH(I484),DAY(I484))&lt;AsOf,1,0),MONTH(I484),DAY(I484)))-YEAR(I484)&lt;1,"",DATE(YEAR(AsOf)+IF(DATE(YEAR(AsOf),MONTH(I484),DAY(I484))&lt;AsOf,1,0),MONTH(I484),DAY(I484))-AsOf))</f>
        <v/>
      </c>
      <c r="AU484" s="43" t="str">
        <f aca="false">IF(B484="","",IF(AV484="",0,LEN(AV484)-LEN(SUBSTITUTE(AV484,";",""))))</f>
        <v/>
      </c>
      <c r="AV484" s="9" t="str">
        <f aca="false">IF(B484="","",IF(COUNTIF($B$6:$B$505,B484)&gt;1,"Duplicate Emp Code; ","")&amp;IF(C484="","Name missing; ","")&amp;IF(I484="","DOJ missing; ","")&amp;IF(AND(J484&lt;&gt;"",I484&lt;&gt;"",J484&lt;I484),"Exit before DOJ; ","")&amp;IF(Q484="","DOB missing; ","")&amp;IF(T484="","Aadhaar missing; ",IF(LEN(T484)&lt;&gt;12,"Aadhaar not 12 digits; ",IF(COUNTIF($T$6:$T$505,T484)&gt;1,"Duplicate Aadhaar; ","")))&amp;IF(U484="","PAN missing; ",IF(LEN(U484)&lt;&gt;10,"PAN not 10 chars; ",""))&amp;IF(V484="","Mobile missing; ",IF(LEN(V484)&lt;&gt;10,"Mobile not 10 digits; ",""))&amp;IF(AG484="","Bank A/c missing; ","")&amp;IF(AH484="","IFSC missing; ",IF(LEN(AH484)&lt;&gt;11,"IFSC not 11 chars; ","")))</f>
        <v/>
      </c>
      <c r="AW484" s="46" t="str">
        <f aca="false">IF(AS484="","",AS484+ROW()/100000)</f>
        <v/>
      </c>
      <c r="AX484" s="46" t="str">
        <f aca="false">IF(AT484="","",AT484+ROW()/100000)</f>
        <v/>
      </c>
    </row>
    <row r="485" customFormat="false" ht="15" hidden="false" customHeight="false" outlineLevel="0" collapsed="false">
      <c r="A485" s="9" t="str">
        <f aca="false">IF(B485="","",ROW()-5)</f>
        <v/>
      </c>
      <c r="B485" s="40"/>
      <c r="C485" s="8"/>
      <c r="D485" s="9" t="str">
        <f aca="false">IF(B485="","",IF(J485="","Active","Exited"))</f>
        <v/>
      </c>
      <c r="E485" s="8"/>
      <c r="F485" s="8"/>
      <c r="G485" s="8"/>
      <c r="H485" s="9" t="str">
        <f aca="false">IF(OR(B485="",I485=""),"",IF(IF(J485="",AsOf,J485)-I485&gt;=Settings!$C$13,"Permanent","Probation"))</f>
        <v/>
      </c>
      <c r="I485" s="41"/>
      <c r="J485" s="41"/>
      <c r="K485" s="8"/>
      <c r="L485" s="42" t="str">
        <f aca="false">IF(OR(B485="",I485=""),"",ROUND((IF(J485="",AsOf,J485)-I485)/365.25,1))</f>
        <v/>
      </c>
      <c r="M485" s="8"/>
      <c r="N485" s="8"/>
      <c r="O485" s="8"/>
      <c r="P485" s="8"/>
      <c r="Q485" s="41"/>
      <c r="R485" s="43" t="str">
        <f aca="false">IF(OR(B485="",Q485=""),"",INT((AsOf-Q485)/365.25))</f>
        <v/>
      </c>
      <c r="S485" s="8"/>
      <c r="T485" s="40"/>
      <c r="U485" s="40"/>
      <c r="V485" s="40"/>
      <c r="W485" s="40"/>
      <c r="X485" s="8"/>
      <c r="Y485" s="8"/>
      <c r="Z485" s="8"/>
      <c r="AA485" s="8"/>
      <c r="AB485" s="8"/>
      <c r="AC485" s="8"/>
      <c r="AD485" s="8"/>
      <c r="AE485" s="40"/>
      <c r="AF485" s="8"/>
      <c r="AG485" s="40"/>
      <c r="AH485" s="40"/>
      <c r="AI485" s="8"/>
      <c r="AJ485" s="40"/>
      <c r="AK485" s="40"/>
      <c r="AL485" s="40"/>
      <c r="AM485" s="44"/>
      <c r="AN485" s="44"/>
      <c r="AO485" s="41"/>
      <c r="AP485" s="45" t="str">
        <f aca="false">IF(B485="","",IF(AND(ISNUMBER(AM485),ISNUMBER(AN485),AM485&gt;0,AN485&gt;0),AN485/AM485-1,""))</f>
        <v/>
      </c>
      <c r="AQ485" s="9" t="str">
        <f aca="false">IF(I485="","",(YEAR(I485)-IF(MONTH(I485)&lt;4,1,0))&amp;"-"&amp;RIGHT((YEAR(I485)-IF(MONTH(I485)&lt;4,1,0))+1,2))</f>
        <v/>
      </c>
      <c r="AR485" s="9" t="str">
        <f aca="false">IF(J485="","",(YEAR(J485)-IF(MONTH(J485)&lt;4,1,0))&amp;"-"&amp;RIGHT((YEAR(J485)-IF(MONTH(J485)&lt;4,1,0))+1,2))</f>
        <v/>
      </c>
      <c r="AS485" s="43" t="str">
        <f aca="false">IF(OR(B485="",Q485="",D485&lt;&gt;"Active"),"",DATE(YEAR(AsOf)+IF(DATE(YEAR(AsOf),MONTH(Q485),DAY(Q485))&lt;AsOf,1,0),MONTH(Q485),DAY(Q485))-AsOf)</f>
        <v/>
      </c>
      <c r="AT485" s="43" t="str">
        <f aca="false">IF(OR(B485="",I485="",D485&lt;&gt;"Active"),"",IF(YEAR(DATE(YEAR(AsOf)+IF(DATE(YEAR(AsOf),MONTH(I485),DAY(I485))&lt;AsOf,1,0),MONTH(I485),DAY(I485)))-YEAR(I485)&lt;1,"",DATE(YEAR(AsOf)+IF(DATE(YEAR(AsOf),MONTH(I485),DAY(I485))&lt;AsOf,1,0),MONTH(I485),DAY(I485))-AsOf))</f>
        <v/>
      </c>
      <c r="AU485" s="43" t="str">
        <f aca="false">IF(B485="","",IF(AV485="",0,LEN(AV485)-LEN(SUBSTITUTE(AV485,";",""))))</f>
        <v/>
      </c>
      <c r="AV485" s="9" t="str">
        <f aca="false">IF(B485="","",IF(COUNTIF($B$6:$B$505,B485)&gt;1,"Duplicate Emp Code; ","")&amp;IF(C485="","Name missing; ","")&amp;IF(I485="","DOJ missing; ","")&amp;IF(AND(J485&lt;&gt;"",I485&lt;&gt;"",J485&lt;I485),"Exit before DOJ; ","")&amp;IF(Q485="","DOB missing; ","")&amp;IF(T485="","Aadhaar missing; ",IF(LEN(T485)&lt;&gt;12,"Aadhaar not 12 digits; ",IF(COUNTIF($T$6:$T$505,T485)&gt;1,"Duplicate Aadhaar; ","")))&amp;IF(U485="","PAN missing; ",IF(LEN(U485)&lt;&gt;10,"PAN not 10 chars; ",""))&amp;IF(V485="","Mobile missing; ",IF(LEN(V485)&lt;&gt;10,"Mobile not 10 digits; ",""))&amp;IF(AG485="","Bank A/c missing; ","")&amp;IF(AH485="","IFSC missing; ",IF(LEN(AH485)&lt;&gt;11,"IFSC not 11 chars; ","")))</f>
        <v/>
      </c>
      <c r="AW485" s="46" t="str">
        <f aca="false">IF(AS485="","",AS485+ROW()/100000)</f>
        <v/>
      </c>
      <c r="AX485" s="46" t="str">
        <f aca="false">IF(AT485="","",AT485+ROW()/100000)</f>
        <v/>
      </c>
    </row>
    <row r="486" customFormat="false" ht="15" hidden="false" customHeight="false" outlineLevel="0" collapsed="false">
      <c r="A486" s="9" t="str">
        <f aca="false">IF(B486="","",ROW()-5)</f>
        <v/>
      </c>
      <c r="B486" s="40"/>
      <c r="C486" s="8"/>
      <c r="D486" s="9" t="str">
        <f aca="false">IF(B486="","",IF(J486="","Active","Exited"))</f>
        <v/>
      </c>
      <c r="E486" s="8"/>
      <c r="F486" s="8"/>
      <c r="G486" s="8"/>
      <c r="H486" s="9" t="str">
        <f aca="false">IF(OR(B486="",I486=""),"",IF(IF(J486="",AsOf,J486)-I486&gt;=Settings!$C$13,"Permanent","Probation"))</f>
        <v/>
      </c>
      <c r="I486" s="41"/>
      <c r="J486" s="41"/>
      <c r="K486" s="8"/>
      <c r="L486" s="42" t="str">
        <f aca="false">IF(OR(B486="",I486=""),"",ROUND((IF(J486="",AsOf,J486)-I486)/365.25,1))</f>
        <v/>
      </c>
      <c r="M486" s="8"/>
      <c r="N486" s="8"/>
      <c r="O486" s="8"/>
      <c r="P486" s="8"/>
      <c r="Q486" s="41"/>
      <c r="R486" s="43" t="str">
        <f aca="false">IF(OR(B486="",Q486=""),"",INT((AsOf-Q486)/365.25))</f>
        <v/>
      </c>
      <c r="S486" s="8"/>
      <c r="T486" s="40"/>
      <c r="U486" s="40"/>
      <c r="V486" s="40"/>
      <c r="W486" s="40"/>
      <c r="X486" s="8"/>
      <c r="Y486" s="8"/>
      <c r="Z486" s="8"/>
      <c r="AA486" s="8"/>
      <c r="AB486" s="8"/>
      <c r="AC486" s="8"/>
      <c r="AD486" s="8"/>
      <c r="AE486" s="40"/>
      <c r="AF486" s="8"/>
      <c r="AG486" s="40"/>
      <c r="AH486" s="40"/>
      <c r="AI486" s="8"/>
      <c r="AJ486" s="40"/>
      <c r="AK486" s="40"/>
      <c r="AL486" s="40"/>
      <c r="AM486" s="44"/>
      <c r="AN486" s="44"/>
      <c r="AO486" s="41"/>
      <c r="AP486" s="45" t="str">
        <f aca="false">IF(B486="","",IF(AND(ISNUMBER(AM486),ISNUMBER(AN486),AM486&gt;0,AN486&gt;0),AN486/AM486-1,""))</f>
        <v/>
      </c>
      <c r="AQ486" s="9" t="str">
        <f aca="false">IF(I486="","",(YEAR(I486)-IF(MONTH(I486)&lt;4,1,0))&amp;"-"&amp;RIGHT((YEAR(I486)-IF(MONTH(I486)&lt;4,1,0))+1,2))</f>
        <v/>
      </c>
      <c r="AR486" s="9" t="str">
        <f aca="false">IF(J486="","",(YEAR(J486)-IF(MONTH(J486)&lt;4,1,0))&amp;"-"&amp;RIGHT((YEAR(J486)-IF(MONTH(J486)&lt;4,1,0))+1,2))</f>
        <v/>
      </c>
      <c r="AS486" s="43" t="str">
        <f aca="false">IF(OR(B486="",Q486="",D486&lt;&gt;"Active"),"",DATE(YEAR(AsOf)+IF(DATE(YEAR(AsOf),MONTH(Q486),DAY(Q486))&lt;AsOf,1,0),MONTH(Q486),DAY(Q486))-AsOf)</f>
        <v/>
      </c>
      <c r="AT486" s="43" t="str">
        <f aca="false">IF(OR(B486="",I486="",D486&lt;&gt;"Active"),"",IF(YEAR(DATE(YEAR(AsOf)+IF(DATE(YEAR(AsOf),MONTH(I486),DAY(I486))&lt;AsOf,1,0),MONTH(I486),DAY(I486)))-YEAR(I486)&lt;1,"",DATE(YEAR(AsOf)+IF(DATE(YEAR(AsOf),MONTH(I486),DAY(I486))&lt;AsOf,1,0),MONTH(I486),DAY(I486))-AsOf))</f>
        <v/>
      </c>
      <c r="AU486" s="43" t="str">
        <f aca="false">IF(B486="","",IF(AV486="",0,LEN(AV486)-LEN(SUBSTITUTE(AV486,";",""))))</f>
        <v/>
      </c>
      <c r="AV486" s="9" t="str">
        <f aca="false">IF(B486="","",IF(COUNTIF($B$6:$B$505,B486)&gt;1,"Duplicate Emp Code; ","")&amp;IF(C486="","Name missing; ","")&amp;IF(I486="","DOJ missing; ","")&amp;IF(AND(J486&lt;&gt;"",I486&lt;&gt;"",J486&lt;I486),"Exit before DOJ; ","")&amp;IF(Q486="","DOB missing; ","")&amp;IF(T486="","Aadhaar missing; ",IF(LEN(T486)&lt;&gt;12,"Aadhaar not 12 digits; ",IF(COUNTIF($T$6:$T$505,T486)&gt;1,"Duplicate Aadhaar; ","")))&amp;IF(U486="","PAN missing; ",IF(LEN(U486)&lt;&gt;10,"PAN not 10 chars; ",""))&amp;IF(V486="","Mobile missing; ",IF(LEN(V486)&lt;&gt;10,"Mobile not 10 digits; ",""))&amp;IF(AG486="","Bank A/c missing; ","")&amp;IF(AH486="","IFSC missing; ",IF(LEN(AH486)&lt;&gt;11,"IFSC not 11 chars; ","")))</f>
        <v/>
      </c>
      <c r="AW486" s="46" t="str">
        <f aca="false">IF(AS486="","",AS486+ROW()/100000)</f>
        <v/>
      </c>
      <c r="AX486" s="46" t="str">
        <f aca="false">IF(AT486="","",AT486+ROW()/100000)</f>
        <v/>
      </c>
    </row>
    <row r="487" customFormat="false" ht="15" hidden="false" customHeight="false" outlineLevel="0" collapsed="false">
      <c r="A487" s="9" t="str">
        <f aca="false">IF(B487="","",ROW()-5)</f>
        <v/>
      </c>
      <c r="B487" s="40"/>
      <c r="C487" s="8"/>
      <c r="D487" s="9" t="str">
        <f aca="false">IF(B487="","",IF(J487="","Active","Exited"))</f>
        <v/>
      </c>
      <c r="E487" s="8"/>
      <c r="F487" s="8"/>
      <c r="G487" s="8"/>
      <c r="H487" s="9" t="str">
        <f aca="false">IF(OR(B487="",I487=""),"",IF(IF(J487="",AsOf,J487)-I487&gt;=Settings!$C$13,"Permanent","Probation"))</f>
        <v/>
      </c>
      <c r="I487" s="41"/>
      <c r="J487" s="41"/>
      <c r="K487" s="8"/>
      <c r="L487" s="42" t="str">
        <f aca="false">IF(OR(B487="",I487=""),"",ROUND((IF(J487="",AsOf,J487)-I487)/365.25,1))</f>
        <v/>
      </c>
      <c r="M487" s="8"/>
      <c r="N487" s="8"/>
      <c r="O487" s="8"/>
      <c r="P487" s="8"/>
      <c r="Q487" s="41"/>
      <c r="R487" s="43" t="str">
        <f aca="false">IF(OR(B487="",Q487=""),"",INT((AsOf-Q487)/365.25))</f>
        <v/>
      </c>
      <c r="S487" s="8"/>
      <c r="T487" s="40"/>
      <c r="U487" s="40"/>
      <c r="V487" s="40"/>
      <c r="W487" s="40"/>
      <c r="X487" s="8"/>
      <c r="Y487" s="8"/>
      <c r="Z487" s="8"/>
      <c r="AA487" s="8"/>
      <c r="AB487" s="8"/>
      <c r="AC487" s="8"/>
      <c r="AD487" s="8"/>
      <c r="AE487" s="40"/>
      <c r="AF487" s="8"/>
      <c r="AG487" s="40"/>
      <c r="AH487" s="40"/>
      <c r="AI487" s="8"/>
      <c r="AJ487" s="40"/>
      <c r="AK487" s="40"/>
      <c r="AL487" s="40"/>
      <c r="AM487" s="44"/>
      <c r="AN487" s="44"/>
      <c r="AO487" s="41"/>
      <c r="AP487" s="45" t="str">
        <f aca="false">IF(B487="","",IF(AND(ISNUMBER(AM487),ISNUMBER(AN487),AM487&gt;0,AN487&gt;0),AN487/AM487-1,""))</f>
        <v/>
      </c>
      <c r="AQ487" s="9" t="str">
        <f aca="false">IF(I487="","",(YEAR(I487)-IF(MONTH(I487)&lt;4,1,0))&amp;"-"&amp;RIGHT((YEAR(I487)-IF(MONTH(I487)&lt;4,1,0))+1,2))</f>
        <v/>
      </c>
      <c r="AR487" s="9" t="str">
        <f aca="false">IF(J487="","",(YEAR(J487)-IF(MONTH(J487)&lt;4,1,0))&amp;"-"&amp;RIGHT((YEAR(J487)-IF(MONTH(J487)&lt;4,1,0))+1,2))</f>
        <v/>
      </c>
      <c r="AS487" s="43" t="str">
        <f aca="false">IF(OR(B487="",Q487="",D487&lt;&gt;"Active"),"",DATE(YEAR(AsOf)+IF(DATE(YEAR(AsOf),MONTH(Q487),DAY(Q487))&lt;AsOf,1,0),MONTH(Q487),DAY(Q487))-AsOf)</f>
        <v/>
      </c>
      <c r="AT487" s="43" t="str">
        <f aca="false">IF(OR(B487="",I487="",D487&lt;&gt;"Active"),"",IF(YEAR(DATE(YEAR(AsOf)+IF(DATE(YEAR(AsOf),MONTH(I487),DAY(I487))&lt;AsOf,1,0),MONTH(I487),DAY(I487)))-YEAR(I487)&lt;1,"",DATE(YEAR(AsOf)+IF(DATE(YEAR(AsOf),MONTH(I487),DAY(I487))&lt;AsOf,1,0),MONTH(I487),DAY(I487))-AsOf))</f>
        <v/>
      </c>
      <c r="AU487" s="43" t="str">
        <f aca="false">IF(B487="","",IF(AV487="",0,LEN(AV487)-LEN(SUBSTITUTE(AV487,";",""))))</f>
        <v/>
      </c>
      <c r="AV487" s="9" t="str">
        <f aca="false">IF(B487="","",IF(COUNTIF($B$6:$B$505,B487)&gt;1,"Duplicate Emp Code; ","")&amp;IF(C487="","Name missing; ","")&amp;IF(I487="","DOJ missing; ","")&amp;IF(AND(J487&lt;&gt;"",I487&lt;&gt;"",J487&lt;I487),"Exit before DOJ; ","")&amp;IF(Q487="","DOB missing; ","")&amp;IF(T487="","Aadhaar missing; ",IF(LEN(T487)&lt;&gt;12,"Aadhaar not 12 digits; ",IF(COUNTIF($T$6:$T$505,T487)&gt;1,"Duplicate Aadhaar; ","")))&amp;IF(U487="","PAN missing; ",IF(LEN(U487)&lt;&gt;10,"PAN not 10 chars; ",""))&amp;IF(V487="","Mobile missing; ",IF(LEN(V487)&lt;&gt;10,"Mobile not 10 digits; ",""))&amp;IF(AG487="","Bank A/c missing; ","")&amp;IF(AH487="","IFSC missing; ",IF(LEN(AH487)&lt;&gt;11,"IFSC not 11 chars; ","")))</f>
        <v/>
      </c>
      <c r="AW487" s="46" t="str">
        <f aca="false">IF(AS487="","",AS487+ROW()/100000)</f>
        <v/>
      </c>
      <c r="AX487" s="46" t="str">
        <f aca="false">IF(AT487="","",AT487+ROW()/100000)</f>
        <v/>
      </c>
    </row>
    <row r="488" customFormat="false" ht="15" hidden="false" customHeight="false" outlineLevel="0" collapsed="false">
      <c r="A488" s="9" t="str">
        <f aca="false">IF(B488="","",ROW()-5)</f>
        <v/>
      </c>
      <c r="B488" s="40"/>
      <c r="C488" s="8"/>
      <c r="D488" s="9" t="str">
        <f aca="false">IF(B488="","",IF(J488="","Active","Exited"))</f>
        <v/>
      </c>
      <c r="E488" s="8"/>
      <c r="F488" s="8"/>
      <c r="G488" s="8"/>
      <c r="H488" s="9" t="str">
        <f aca="false">IF(OR(B488="",I488=""),"",IF(IF(J488="",AsOf,J488)-I488&gt;=Settings!$C$13,"Permanent","Probation"))</f>
        <v/>
      </c>
      <c r="I488" s="41"/>
      <c r="J488" s="41"/>
      <c r="K488" s="8"/>
      <c r="L488" s="42" t="str">
        <f aca="false">IF(OR(B488="",I488=""),"",ROUND((IF(J488="",AsOf,J488)-I488)/365.25,1))</f>
        <v/>
      </c>
      <c r="M488" s="8"/>
      <c r="N488" s="8"/>
      <c r="O488" s="8"/>
      <c r="P488" s="8"/>
      <c r="Q488" s="41"/>
      <c r="R488" s="43" t="str">
        <f aca="false">IF(OR(B488="",Q488=""),"",INT((AsOf-Q488)/365.25))</f>
        <v/>
      </c>
      <c r="S488" s="8"/>
      <c r="T488" s="40"/>
      <c r="U488" s="40"/>
      <c r="V488" s="40"/>
      <c r="W488" s="40"/>
      <c r="X488" s="8"/>
      <c r="Y488" s="8"/>
      <c r="Z488" s="8"/>
      <c r="AA488" s="8"/>
      <c r="AB488" s="8"/>
      <c r="AC488" s="8"/>
      <c r="AD488" s="8"/>
      <c r="AE488" s="40"/>
      <c r="AF488" s="8"/>
      <c r="AG488" s="40"/>
      <c r="AH488" s="40"/>
      <c r="AI488" s="8"/>
      <c r="AJ488" s="40"/>
      <c r="AK488" s="40"/>
      <c r="AL488" s="40"/>
      <c r="AM488" s="44"/>
      <c r="AN488" s="44"/>
      <c r="AO488" s="41"/>
      <c r="AP488" s="45" t="str">
        <f aca="false">IF(B488="","",IF(AND(ISNUMBER(AM488),ISNUMBER(AN488),AM488&gt;0,AN488&gt;0),AN488/AM488-1,""))</f>
        <v/>
      </c>
      <c r="AQ488" s="9" t="str">
        <f aca="false">IF(I488="","",(YEAR(I488)-IF(MONTH(I488)&lt;4,1,0))&amp;"-"&amp;RIGHT((YEAR(I488)-IF(MONTH(I488)&lt;4,1,0))+1,2))</f>
        <v/>
      </c>
      <c r="AR488" s="9" t="str">
        <f aca="false">IF(J488="","",(YEAR(J488)-IF(MONTH(J488)&lt;4,1,0))&amp;"-"&amp;RIGHT((YEAR(J488)-IF(MONTH(J488)&lt;4,1,0))+1,2))</f>
        <v/>
      </c>
      <c r="AS488" s="43" t="str">
        <f aca="false">IF(OR(B488="",Q488="",D488&lt;&gt;"Active"),"",DATE(YEAR(AsOf)+IF(DATE(YEAR(AsOf),MONTH(Q488),DAY(Q488))&lt;AsOf,1,0),MONTH(Q488),DAY(Q488))-AsOf)</f>
        <v/>
      </c>
      <c r="AT488" s="43" t="str">
        <f aca="false">IF(OR(B488="",I488="",D488&lt;&gt;"Active"),"",IF(YEAR(DATE(YEAR(AsOf)+IF(DATE(YEAR(AsOf),MONTH(I488),DAY(I488))&lt;AsOf,1,0),MONTH(I488),DAY(I488)))-YEAR(I488)&lt;1,"",DATE(YEAR(AsOf)+IF(DATE(YEAR(AsOf),MONTH(I488),DAY(I488))&lt;AsOf,1,0),MONTH(I488),DAY(I488))-AsOf))</f>
        <v/>
      </c>
      <c r="AU488" s="43" t="str">
        <f aca="false">IF(B488="","",IF(AV488="",0,LEN(AV488)-LEN(SUBSTITUTE(AV488,";",""))))</f>
        <v/>
      </c>
      <c r="AV488" s="9" t="str">
        <f aca="false">IF(B488="","",IF(COUNTIF($B$6:$B$505,B488)&gt;1,"Duplicate Emp Code; ","")&amp;IF(C488="","Name missing; ","")&amp;IF(I488="","DOJ missing; ","")&amp;IF(AND(J488&lt;&gt;"",I488&lt;&gt;"",J488&lt;I488),"Exit before DOJ; ","")&amp;IF(Q488="","DOB missing; ","")&amp;IF(T488="","Aadhaar missing; ",IF(LEN(T488)&lt;&gt;12,"Aadhaar not 12 digits; ",IF(COUNTIF($T$6:$T$505,T488)&gt;1,"Duplicate Aadhaar; ","")))&amp;IF(U488="","PAN missing; ",IF(LEN(U488)&lt;&gt;10,"PAN not 10 chars; ",""))&amp;IF(V488="","Mobile missing; ",IF(LEN(V488)&lt;&gt;10,"Mobile not 10 digits; ",""))&amp;IF(AG488="","Bank A/c missing; ","")&amp;IF(AH488="","IFSC missing; ",IF(LEN(AH488)&lt;&gt;11,"IFSC not 11 chars; ","")))</f>
        <v/>
      </c>
      <c r="AW488" s="46" t="str">
        <f aca="false">IF(AS488="","",AS488+ROW()/100000)</f>
        <v/>
      </c>
      <c r="AX488" s="46" t="str">
        <f aca="false">IF(AT488="","",AT488+ROW()/100000)</f>
        <v/>
      </c>
    </row>
    <row r="489" customFormat="false" ht="15" hidden="false" customHeight="false" outlineLevel="0" collapsed="false">
      <c r="A489" s="9" t="str">
        <f aca="false">IF(B489="","",ROW()-5)</f>
        <v/>
      </c>
      <c r="B489" s="40"/>
      <c r="C489" s="8"/>
      <c r="D489" s="9" t="str">
        <f aca="false">IF(B489="","",IF(J489="","Active","Exited"))</f>
        <v/>
      </c>
      <c r="E489" s="8"/>
      <c r="F489" s="8"/>
      <c r="G489" s="8"/>
      <c r="H489" s="9" t="str">
        <f aca="false">IF(OR(B489="",I489=""),"",IF(IF(J489="",AsOf,J489)-I489&gt;=Settings!$C$13,"Permanent","Probation"))</f>
        <v/>
      </c>
      <c r="I489" s="41"/>
      <c r="J489" s="41"/>
      <c r="K489" s="8"/>
      <c r="L489" s="42" t="str">
        <f aca="false">IF(OR(B489="",I489=""),"",ROUND((IF(J489="",AsOf,J489)-I489)/365.25,1))</f>
        <v/>
      </c>
      <c r="M489" s="8"/>
      <c r="N489" s="8"/>
      <c r="O489" s="8"/>
      <c r="P489" s="8"/>
      <c r="Q489" s="41"/>
      <c r="R489" s="43" t="str">
        <f aca="false">IF(OR(B489="",Q489=""),"",INT((AsOf-Q489)/365.25))</f>
        <v/>
      </c>
      <c r="S489" s="8"/>
      <c r="T489" s="40"/>
      <c r="U489" s="40"/>
      <c r="V489" s="40"/>
      <c r="W489" s="40"/>
      <c r="X489" s="8"/>
      <c r="Y489" s="8"/>
      <c r="Z489" s="8"/>
      <c r="AA489" s="8"/>
      <c r="AB489" s="8"/>
      <c r="AC489" s="8"/>
      <c r="AD489" s="8"/>
      <c r="AE489" s="40"/>
      <c r="AF489" s="8"/>
      <c r="AG489" s="40"/>
      <c r="AH489" s="40"/>
      <c r="AI489" s="8"/>
      <c r="AJ489" s="40"/>
      <c r="AK489" s="40"/>
      <c r="AL489" s="40"/>
      <c r="AM489" s="44"/>
      <c r="AN489" s="44"/>
      <c r="AO489" s="41"/>
      <c r="AP489" s="45" t="str">
        <f aca="false">IF(B489="","",IF(AND(ISNUMBER(AM489),ISNUMBER(AN489),AM489&gt;0,AN489&gt;0),AN489/AM489-1,""))</f>
        <v/>
      </c>
      <c r="AQ489" s="9" t="str">
        <f aca="false">IF(I489="","",(YEAR(I489)-IF(MONTH(I489)&lt;4,1,0))&amp;"-"&amp;RIGHT((YEAR(I489)-IF(MONTH(I489)&lt;4,1,0))+1,2))</f>
        <v/>
      </c>
      <c r="AR489" s="9" t="str">
        <f aca="false">IF(J489="","",(YEAR(J489)-IF(MONTH(J489)&lt;4,1,0))&amp;"-"&amp;RIGHT((YEAR(J489)-IF(MONTH(J489)&lt;4,1,0))+1,2))</f>
        <v/>
      </c>
      <c r="AS489" s="43" t="str">
        <f aca="false">IF(OR(B489="",Q489="",D489&lt;&gt;"Active"),"",DATE(YEAR(AsOf)+IF(DATE(YEAR(AsOf),MONTH(Q489),DAY(Q489))&lt;AsOf,1,0),MONTH(Q489),DAY(Q489))-AsOf)</f>
        <v/>
      </c>
      <c r="AT489" s="43" t="str">
        <f aca="false">IF(OR(B489="",I489="",D489&lt;&gt;"Active"),"",IF(YEAR(DATE(YEAR(AsOf)+IF(DATE(YEAR(AsOf),MONTH(I489),DAY(I489))&lt;AsOf,1,0),MONTH(I489),DAY(I489)))-YEAR(I489)&lt;1,"",DATE(YEAR(AsOf)+IF(DATE(YEAR(AsOf),MONTH(I489),DAY(I489))&lt;AsOf,1,0),MONTH(I489),DAY(I489))-AsOf))</f>
        <v/>
      </c>
      <c r="AU489" s="43" t="str">
        <f aca="false">IF(B489="","",IF(AV489="",0,LEN(AV489)-LEN(SUBSTITUTE(AV489,";",""))))</f>
        <v/>
      </c>
      <c r="AV489" s="9" t="str">
        <f aca="false">IF(B489="","",IF(COUNTIF($B$6:$B$505,B489)&gt;1,"Duplicate Emp Code; ","")&amp;IF(C489="","Name missing; ","")&amp;IF(I489="","DOJ missing; ","")&amp;IF(AND(J489&lt;&gt;"",I489&lt;&gt;"",J489&lt;I489),"Exit before DOJ; ","")&amp;IF(Q489="","DOB missing; ","")&amp;IF(T489="","Aadhaar missing; ",IF(LEN(T489)&lt;&gt;12,"Aadhaar not 12 digits; ",IF(COUNTIF($T$6:$T$505,T489)&gt;1,"Duplicate Aadhaar; ","")))&amp;IF(U489="","PAN missing; ",IF(LEN(U489)&lt;&gt;10,"PAN not 10 chars; ",""))&amp;IF(V489="","Mobile missing; ",IF(LEN(V489)&lt;&gt;10,"Mobile not 10 digits; ",""))&amp;IF(AG489="","Bank A/c missing; ","")&amp;IF(AH489="","IFSC missing; ",IF(LEN(AH489)&lt;&gt;11,"IFSC not 11 chars; ","")))</f>
        <v/>
      </c>
      <c r="AW489" s="46" t="str">
        <f aca="false">IF(AS489="","",AS489+ROW()/100000)</f>
        <v/>
      </c>
      <c r="AX489" s="46" t="str">
        <f aca="false">IF(AT489="","",AT489+ROW()/100000)</f>
        <v/>
      </c>
    </row>
    <row r="490" customFormat="false" ht="15" hidden="false" customHeight="false" outlineLevel="0" collapsed="false">
      <c r="A490" s="9" t="str">
        <f aca="false">IF(B490="","",ROW()-5)</f>
        <v/>
      </c>
      <c r="B490" s="40"/>
      <c r="C490" s="8"/>
      <c r="D490" s="9" t="str">
        <f aca="false">IF(B490="","",IF(J490="","Active","Exited"))</f>
        <v/>
      </c>
      <c r="E490" s="8"/>
      <c r="F490" s="8"/>
      <c r="G490" s="8"/>
      <c r="H490" s="9" t="str">
        <f aca="false">IF(OR(B490="",I490=""),"",IF(IF(J490="",AsOf,J490)-I490&gt;=Settings!$C$13,"Permanent","Probation"))</f>
        <v/>
      </c>
      <c r="I490" s="41"/>
      <c r="J490" s="41"/>
      <c r="K490" s="8"/>
      <c r="L490" s="42" t="str">
        <f aca="false">IF(OR(B490="",I490=""),"",ROUND((IF(J490="",AsOf,J490)-I490)/365.25,1))</f>
        <v/>
      </c>
      <c r="M490" s="8"/>
      <c r="N490" s="8"/>
      <c r="O490" s="8"/>
      <c r="P490" s="8"/>
      <c r="Q490" s="41"/>
      <c r="R490" s="43" t="str">
        <f aca="false">IF(OR(B490="",Q490=""),"",INT((AsOf-Q490)/365.25))</f>
        <v/>
      </c>
      <c r="S490" s="8"/>
      <c r="T490" s="40"/>
      <c r="U490" s="40"/>
      <c r="V490" s="40"/>
      <c r="W490" s="40"/>
      <c r="X490" s="8"/>
      <c r="Y490" s="8"/>
      <c r="Z490" s="8"/>
      <c r="AA490" s="8"/>
      <c r="AB490" s="8"/>
      <c r="AC490" s="8"/>
      <c r="AD490" s="8"/>
      <c r="AE490" s="40"/>
      <c r="AF490" s="8"/>
      <c r="AG490" s="40"/>
      <c r="AH490" s="40"/>
      <c r="AI490" s="8"/>
      <c r="AJ490" s="40"/>
      <c r="AK490" s="40"/>
      <c r="AL490" s="40"/>
      <c r="AM490" s="44"/>
      <c r="AN490" s="44"/>
      <c r="AO490" s="41"/>
      <c r="AP490" s="45" t="str">
        <f aca="false">IF(B490="","",IF(AND(ISNUMBER(AM490),ISNUMBER(AN490),AM490&gt;0,AN490&gt;0),AN490/AM490-1,""))</f>
        <v/>
      </c>
      <c r="AQ490" s="9" t="str">
        <f aca="false">IF(I490="","",(YEAR(I490)-IF(MONTH(I490)&lt;4,1,0))&amp;"-"&amp;RIGHT((YEAR(I490)-IF(MONTH(I490)&lt;4,1,0))+1,2))</f>
        <v/>
      </c>
      <c r="AR490" s="9" t="str">
        <f aca="false">IF(J490="","",(YEAR(J490)-IF(MONTH(J490)&lt;4,1,0))&amp;"-"&amp;RIGHT((YEAR(J490)-IF(MONTH(J490)&lt;4,1,0))+1,2))</f>
        <v/>
      </c>
      <c r="AS490" s="43" t="str">
        <f aca="false">IF(OR(B490="",Q490="",D490&lt;&gt;"Active"),"",DATE(YEAR(AsOf)+IF(DATE(YEAR(AsOf),MONTH(Q490),DAY(Q490))&lt;AsOf,1,0),MONTH(Q490),DAY(Q490))-AsOf)</f>
        <v/>
      </c>
      <c r="AT490" s="43" t="str">
        <f aca="false">IF(OR(B490="",I490="",D490&lt;&gt;"Active"),"",IF(YEAR(DATE(YEAR(AsOf)+IF(DATE(YEAR(AsOf),MONTH(I490),DAY(I490))&lt;AsOf,1,0),MONTH(I490),DAY(I490)))-YEAR(I490)&lt;1,"",DATE(YEAR(AsOf)+IF(DATE(YEAR(AsOf),MONTH(I490),DAY(I490))&lt;AsOf,1,0),MONTH(I490),DAY(I490))-AsOf))</f>
        <v/>
      </c>
      <c r="AU490" s="43" t="str">
        <f aca="false">IF(B490="","",IF(AV490="",0,LEN(AV490)-LEN(SUBSTITUTE(AV490,";",""))))</f>
        <v/>
      </c>
      <c r="AV490" s="9" t="str">
        <f aca="false">IF(B490="","",IF(COUNTIF($B$6:$B$505,B490)&gt;1,"Duplicate Emp Code; ","")&amp;IF(C490="","Name missing; ","")&amp;IF(I490="","DOJ missing; ","")&amp;IF(AND(J490&lt;&gt;"",I490&lt;&gt;"",J490&lt;I490),"Exit before DOJ; ","")&amp;IF(Q490="","DOB missing; ","")&amp;IF(T490="","Aadhaar missing; ",IF(LEN(T490)&lt;&gt;12,"Aadhaar not 12 digits; ",IF(COUNTIF($T$6:$T$505,T490)&gt;1,"Duplicate Aadhaar; ","")))&amp;IF(U490="","PAN missing; ",IF(LEN(U490)&lt;&gt;10,"PAN not 10 chars; ",""))&amp;IF(V490="","Mobile missing; ",IF(LEN(V490)&lt;&gt;10,"Mobile not 10 digits; ",""))&amp;IF(AG490="","Bank A/c missing; ","")&amp;IF(AH490="","IFSC missing; ",IF(LEN(AH490)&lt;&gt;11,"IFSC not 11 chars; ","")))</f>
        <v/>
      </c>
      <c r="AW490" s="46" t="str">
        <f aca="false">IF(AS490="","",AS490+ROW()/100000)</f>
        <v/>
      </c>
      <c r="AX490" s="46" t="str">
        <f aca="false">IF(AT490="","",AT490+ROW()/100000)</f>
        <v/>
      </c>
    </row>
    <row r="491" customFormat="false" ht="15" hidden="false" customHeight="false" outlineLevel="0" collapsed="false">
      <c r="A491" s="9" t="str">
        <f aca="false">IF(B491="","",ROW()-5)</f>
        <v/>
      </c>
      <c r="B491" s="40"/>
      <c r="C491" s="8"/>
      <c r="D491" s="9" t="str">
        <f aca="false">IF(B491="","",IF(J491="","Active","Exited"))</f>
        <v/>
      </c>
      <c r="E491" s="8"/>
      <c r="F491" s="8"/>
      <c r="G491" s="8"/>
      <c r="H491" s="9" t="str">
        <f aca="false">IF(OR(B491="",I491=""),"",IF(IF(J491="",AsOf,J491)-I491&gt;=Settings!$C$13,"Permanent","Probation"))</f>
        <v/>
      </c>
      <c r="I491" s="41"/>
      <c r="J491" s="41"/>
      <c r="K491" s="8"/>
      <c r="L491" s="42" t="str">
        <f aca="false">IF(OR(B491="",I491=""),"",ROUND((IF(J491="",AsOf,J491)-I491)/365.25,1))</f>
        <v/>
      </c>
      <c r="M491" s="8"/>
      <c r="N491" s="8"/>
      <c r="O491" s="8"/>
      <c r="P491" s="8"/>
      <c r="Q491" s="41"/>
      <c r="R491" s="43" t="str">
        <f aca="false">IF(OR(B491="",Q491=""),"",INT((AsOf-Q491)/365.25))</f>
        <v/>
      </c>
      <c r="S491" s="8"/>
      <c r="T491" s="40"/>
      <c r="U491" s="40"/>
      <c r="V491" s="40"/>
      <c r="W491" s="40"/>
      <c r="X491" s="8"/>
      <c r="Y491" s="8"/>
      <c r="Z491" s="8"/>
      <c r="AA491" s="8"/>
      <c r="AB491" s="8"/>
      <c r="AC491" s="8"/>
      <c r="AD491" s="8"/>
      <c r="AE491" s="40"/>
      <c r="AF491" s="8"/>
      <c r="AG491" s="40"/>
      <c r="AH491" s="40"/>
      <c r="AI491" s="8"/>
      <c r="AJ491" s="40"/>
      <c r="AK491" s="40"/>
      <c r="AL491" s="40"/>
      <c r="AM491" s="44"/>
      <c r="AN491" s="44"/>
      <c r="AO491" s="41"/>
      <c r="AP491" s="45" t="str">
        <f aca="false">IF(B491="","",IF(AND(ISNUMBER(AM491),ISNUMBER(AN491),AM491&gt;0,AN491&gt;0),AN491/AM491-1,""))</f>
        <v/>
      </c>
      <c r="AQ491" s="9" t="str">
        <f aca="false">IF(I491="","",(YEAR(I491)-IF(MONTH(I491)&lt;4,1,0))&amp;"-"&amp;RIGHT((YEAR(I491)-IF(MONTH(I491)&lt;4,1,0))+1,2))</f>
        <v/>
      </c>
      <c r="AR491" s="9" t="str">
        <f aca="false">IF(J491="","",(YEAR(J491)-IF(MONTH(J491)&lt;4,1,0))&amp;"-"&amp;RIGHT((YEAR(J491)-IF(MONTH(J491)&lt;4,1,0))+1,2))</f>
        <v/>
      </c>
      <c r="AS491" s="43" t="str">
        <f aca="false">IF(OR(B491="",Q491="",D491&lt;&gt;"Active"),"",DATE(YEAR(AsOf)+IF(DATE(YEAR(AsOf),MONTH(Q491),DAY(Q491))&lt;AsOf,1,0),MONTH(Q491),DAY(Q491))-AsOf)</f>
        <v/>
      </c>
      <c r="AT491" s="43" t="str">
        <f aca="false">IF(OR(B491="",I491="",D491&lt;&gt;"Active"),"",IF(YEAR(DATE(YEAR(AsOf)+IF(DATE(YEAR(AsOf),MONTH(I491),DAY(I491))&lt;AsOf,1,0),MONTH(I491),DAY(I491)))-YEAR(I491)&lt;1,"",DATE(YEAR(AsOf)+IF(DATE(YEAR(AsOf),MONTH(I491),DAY(I491))&lt;AsOf,1,0),MONTH(I491),DAY(I491))-AsOf))</f>
        <v/>
      </c>
      <c r="AU491" s="43" t="str">
        <f aca="false">IF(B491="","",IF(AV491="",0,LEN(AV491)-LEN(SUBSTITUTE(AV491,";",""))))</f>
        <v/>
      </c>
      <c r="AV491" s="9" t="str">
        <f aca="false">IF(B491="","",IF(COUNTIF($B$6:$B$505,B491)&gt;1,"Duplicate Emp Code; ","")&amp;IF(C491="","Name missing; ","")&amp;IF(I491="","DOJ missing; ","")&amp;IF(AND(J491&lt;&gt;"",I491&lt;&gt;"",J491&lt;I491),"Exit before DOJ; ","")&amp;IF(Q491="","DOB missing; ","")&amp;IF(T491="","Aadhaar missing; ",IF(LEN(T491)&lt;&gt;12,"Aadhaar not 12 digits; ",IF(COUNTIF($T$6:$T$505,T491)&gt;1,"Duplicate Aadhaar; ","")))&amp;IF(U491="","PAN missing; ",IF(LEN(U491)&lt;&gt;10,"PAN not 10 chars; ",""))&amp;IF(V491="","Mobile missing; ",IF(LEN(V491)&lt;&gt;10,"Mobile not 10 digits; ",""))&amp;IF(AG491="","Bank A/c missing; ","")&amp;IF(AH491="","IFSC missing; ",IF(LEN(AH491)&lt;&gt;11,"IFSC not 11 chars; ","")))</f>
        <v/>
      </c>
      <c r="AW491" s="46" t="str">
        <f aca="false">IF(AS491="","",AS491+ROW()/100000)</f>
        <v/>
      </c>
      <c r="AX491" s="46" t="str">
        <f aca="false">IF(AT491="","",AT491+ROW()/100000)</f>
        <v/>
      </c>
    </row>
    <row r="492" customFormat="false" ht="15" hidden="false" customHeight="false" outlineLevel="0" collapsed="false">
      <c r="A492" s="9" t="str">
        <f aca="false">IF(B492="","",ROW()-5)</f>
        <v/>
      </c>
      <c r="B492" s="40"/>
      <c r="C492" s="8"/>
      <c r="D492" s="9" t="str">
        <f aca="false">IF(B492="","",IF(J492="","Active","Exited"))</f>
        <v/>
      </c>
      <c r="E492" s="8"/>
      <c r="F492" s="8"/>
      <c r="G492" s="8"/>
      <c r="H492" s="9" t="str">
        <f aca="false">IF(OR(B492="",I492=""),"",IF(IF(J492="",AsOf,J492)-I492&gt;=Settings!$C$13,"Permanent","Probation"))</f>
        <v/>
      </c>
      <c r="I492" s="41"/>
      <c r="J492" s="41"/>
      <c r="K492" s="8"/>
      <c r="L492" s="42" t="str">
        <f aca="false">IF(OR(B492="",I492=""),"",ROUND((IF(J492="",AsOf,J492)-I492)/365.25,1))</f>
        <v/>
      </c>
      <c r="M492" s="8"/>
      <c r="N492" s="8"/>
      <c r="O492" s="8"/>
      <c r="P492" s="8"/>
      <c r="Q492" s="41"/>
      <c r="R492" s="43" t="str">
        <f aca="false">IF(OR(B492="",Q492=""),"",INT((AsOf-Q492)/365.25))</f>
        <v/>
      </c>
      <c r="S492" s="8"/>
      <c r="T492" s="40"/>
      <c r="U492" s="40"/>
      <c r="V492" s="40"/>
      <c r="W492" s="40"/>
      <c r="X492" s="8"/>
      <c r="Y492" s="8"/>
      <c r="Z492" s="8"/>
      <c r="AA492" s="8"/>
      <c r="AB492" s="8"/>
      <c r="AC492" s="8"/>
      <c r="AD492" s="8"/>
      <c r="AE492" s="40"/>
      <c r="AF492" s="8"/>
      <c r="AG492" s="40"/>
      <c r="AH492" s="40"/>
      <c r="AI492" s="8"/>
      <c r="AJ492" s="40"/>
      <c r="AK492" s="40"/>
      <c r="AL492" s="40"/>
      <c r="AM492" s="44"/>
      <c r="AN492" s="44"/>
      <c r="AO492" s="41"/>
      <c r="AP492" s="45" t="str">
        <f aca="false">IF(B492="","",IF(AND(ISNUMBER(AM492),ISNUMBER(AN492),AM492&gt;0,AN492&gt;0),AN492/AM492-1,""))</f>
        <v/>
      </c>
      <c r="AQ492" s="9" t="str">
        <f aca="false">IF(I492="","",(YEAR(I492)-IF(MONTH(I492)&lt;4,1,0))&amp;"-"&amp;RIGHT((YEAR(I492)-IF(MONTH(I492)&lt;4,1,0))+1,2))</f>
        <v/>
      </c>
      <c r="AR492" s="9" t="str">
        <f aca="false">IF(J492="","",(YEAR(J492)-IF(MONTH(J492)&lt;4,1,0))&amp;"-"&amp;RIGHT((YEAR(J492)-IF(MONTH(J492)&lt;4,1,0))+1,2))</f>
        <v/>
      </c>
      <c r="AS492" s="43" t="str">
        <f aca="false">IF(OR(B492="",Q492="",D492&lt;&gt;"Active"),"",DATE(YEAR(AsOf)+IF(DATE(YEAR(AsOf),MONTH(Q492),DAY(Q492))&lt;AsOf,1,0),MONTH(Q492),DAY(Q492))-AsOf)</f>
        <v/>
      </c>
      <c r="AT492" s="43" t="str">
        <f aca="false">IF(OR(B492="",I492="",D492&lt;&gt;"Active"),"",IF(YEAR(DATE(YEAR(AsOf)+IF(DATE(YEAR(AsOf),MONTH(I492),DAY(I492))&lt;AsOf,1,0),MONTH(I492),DAY(I492)))-YEAR(I492)&lt;1,"",DATE(YEAR(AsOf)+IF(DATE(YEAR(AsOf),MONTH(I492),DAY(I492))&lt;AsOf,1,0),MONTH(I492),DAY(I492))-AsOf))</f>
        <v/>
      </c>
      <c r="AU492" s="43" t="str">
        <f aca="false">IF(B492="","",IF(AV492="",0,LEN(AV492)-LEN(SUBSTITUTE(AV492,";",""))))</f>
        <v/>
      </c>
      <c r="AV492" s="9" t="str">
        <f aca="false">IF(B492="","",IF(COUNTIF($B$6:$B$505,B492)&gt;1,"Duplicate Emp Code; ","")&amp;IF(C492="","Name missing; ","")&amp;IF(I492="","DOJ missing; ","")&amp;IF(AND(J492&lt;&gt;"",I492&lt;&gt;"",J492&lt;I492),"Exit before DOJ; ","")&amp;IF(Q492="","DOB missing; ","")&amp;IF(T492="","Aadhaar missing; ",IF(LEN(T492)&lt;&gt;12,"Aadhaar not 12 digits; ",IF(COUNTIF($T$6:$T$505,T492)&gt;1,"Duplicate Aadhaar; ","")))&amp;IF(U492="","PAN missing; ",IF(LEN(U492)&lt;&gt;10,"PAN not 10 chars; ",""))&amp;IF(V492="","Mobile missing; ",IF(LEN(V492)&lt;&gt;10,"Mobile not 10 digits; ",""))&amp;IF(AG492="","Bank A/c missing; ","")&amp;IF(AH492="","IFSC missing; ",IF(LEN(AH492)&lt;&gt;11,"IFSC not 11 chars; ","")))</f>
        <v/>
      </c>
      <c r="AW492" s="46" t="str">
        <f aca="false">IF(AS492="","",AS492+ROW()/100000)</f>
        <v/>
      </c>
      <c r="AX492" s="46" t="str">
        <f aca="false">IF(AT492="","",AT492+ROW()/100000)</f>
        <v/>
      </c>
    </row>
    <row r="493" customFormat="false" ht="15" hidden="false" customHeight="false" outlineLevel="0" collapsed="false">
      <c r="A493" s="9" t="str">
        <f aca="false">IF(B493="","",ROW()-5)</f>
        <v/>
      </c>
      <c r="B493" s="40"/>
      <c r="C493" s="8"/>
      <c r="D493" s="9" t="str">
        <f aca="false">IF(B493="","",IF(J493="","Active","Exited"))</f>
        <v/>
      </c>
      <c r="E493" s="8"/>
      <c r="F493" s="8"/>
      <c r="G493" s="8"/>
      <c r="H493" s="9" t="str">
        <f aca="false">IF(OR(B493="",I493=""),"",IF(IF(J493="",AsOf,J493)-I493&gt;=Settings!$C$13,"Permanent","Probation"))</f>
        <v/>
      </c>
      <c r="I493" s="41"/>
      <c r="J493" s="41"/>
      <c r="K493" s="8"/>
      <c r="L493" s="42" t="str">
        <f aca="false">IF(OR(B493="",I493=""),"",ROUND((IF(J493="",AsOf,J493)-I493)/365.25,1))</f>
        <v/>
      </c>
      <c r="M493" s="8"/>
      <c r="N493" s="8"/>
      <c r="O493" s="8"/>
      <c r="P493" s="8"/>
      <c r="Q493" s="41"/>
      <c r="R493" s="43" t="str">
        <f aca="false">IF(OR(B493="",Q493=""),"",INT((AsOf-Q493)/365.25))</f>
        <v/>
      </c>
      <c r="S493" s="8"/>
      <c r="T493" s="40"/>
      <c r="U493" s="40"/>
      <c r="V493" s="40"/>
      <c r="W493" s="40"/>
      <c r="X493" s="8"/>
      <c r="Y493" s="8"/>
      <c r="Z493" s="8"/>
      <c r="AA493" s="8"/>
      <c r="AB493" s="8"/>
      <c r="AC493" s="8"/>
      <c r="AD493" s="8"/>
      <c r="AE493" s="40"/>
      <c r="AF493" s="8"/>
      <c r="AG493" s="40"/>
      <c r="AH493" s="40"/>
      <c r="AI493" s="8"/>
      <c r="AJ493" s="40"/>
      <c r="AK493" s="40"/>
      <c r="AL493" s="40"/>
      <c r="AM493" s="44"/>
      <c r="AN493" s="44"/>
      <c r="AO493" s="41"/>
      <c r="AP493" s="45" t="str">
        <f aca="false">IF(B493="","",IF(AND(ISNUMBER(AM493),ISNUMBER(AN493),AM493&gt;0,AN493&gt;0),AN493/AM493-1,""))</f>
        <v/>
      </c>
      <c r="AQ493" s="9" t="str">
        <f aca="false">IF(I493="","",(YEAR(I493)-IF(MONTH(I493)&lt;4,1,0))&amp;"-"&amp;RIGHT((YEAR(I493)-IF(MONTH(I493)&lt;4,1,0))+1,2))</f>
        <v/>
      </c>
      <c r="AR493" s="9" t="str">
        <f aca="false">IF(J493="","",(YEAR(J493)-IF(MONTH(J493)&lt;4,1,0))&amp;"-"&amp;RIGHT((YEAR(J493)-IF(MONTH(J493)&lt;4,1,0))+1,2))</f>
        <v/>
      </c>
      <c r="AS493" s="43" t="str">
        <f aca="false">IF(OR(B493="",Q493="",D493&lt;&gt;"Active"),"",DATE(YEAR(AsOf)+IF(DATE(YEAR(AsOf),MONTH(Q493),DAY(Q493))&lt;AsOf,1,0),MONTH(Q493),DAY(Q493))-AsOf)</f>
        <v/>
      </c>
      <c r="AT493" s="43" t="str">
        <f aca="false">IF(OR(B493="",I493="",D493&lt;&gt;"Active"),"",IF(YEAR(DATE(YEAR(AsOf)+IF(DATE(YEAR(AsOf),MONTH(I493),DAY(I493))&lt;AsOf,1,0),MONTH(I493),DAY(I493)))-YEAR(I493)&lt;1,"",DATE(YEAR(AsOf)+IF(DATE(YEAR(AsOf),MONTH(I493),DAY(I493))&lt;AsOf,1,0),MONTH(I493),DAY(I493))-AsOf))</f>
        <v/>
      </c>
      <c r="AU493" s="43" t="str">
        <f aca="false">IF(B493="","",IF(AV493="",0,LEN(AV493)-LEN(SUBSTITUTE(AV493,";",""))))</f>
        <v/>
      </c>
      <c r="AV493" s="9" t="str">
        <f aca="false">IF(B493="","",IF(COUNTIF($B$6:$B$505,B493)&gt;1,"Duplicate Emp Code; ","")&amp;IF(C493="","Name missing; ","")&amp;IF(I493="","DOJ missing; ","")&amp;IF(AND(J493&lt;&gt;"",I493&lt;&gt;"",J493&lt;I493),"Exit before DOJ; ","")&amp;IF(Q493="","DOB missing; ","")&amp;IF(T493="","Aadhaar missing; ",IF(LEN(T493)&lt;&gt;12,"Aadhaar not 12 digits; ",IF(COUNTIF($T$6:$T$505,T493)&gt;1,"Duplicate Aadhaar; ","")))&amp;IF(U493="","PAN missing; ",IF(LEN(U493)&lt;&gt;10,"PAN not 10 chars; ",""))&amp;IF(V493="","Mobile missing; ",IF(LEN(V493)&lt;&gt;10,"Mobile not 10 digits; ",""))&amp;IF(AG493="","Bank A/c missing; ","")&amp;IF(AH493="","IFSC missing; ",IF(LEN(AH493)&lt;&gt;11,"IFSC not 11 chars; ","")))</f>
        <v/>
      </c>
      <c r="AW493" s="46" t="str">
        <f aca="false">IF(AS493="","",AS493+ROW()/100000)</f>
        <v/>
      </c>
      <c r="AX493" s="46" t="str">
        <f aca="false">IF(AT493="","",AT493+ROW()/100000)</f>
        <v/>
      </c>
    </row>
    <row r="494" customFormat="false" ht="15" hidden="false" customHeight="false" outlineLevel="0" collapsed="false">
      <c r="A494" s="9" t="str">
        <f aca="false">IF(B494="","",ROW()-5)</f>
        <v/>
      </c>
      <c r="B494" s="40"/>
      <c r="C494" s="8"/>
      <c r="D494" s="9" t="str">
        <f aca="false">IF(B494="","",IF(J494="","Active","Exited"))</f>
        <v/>
      </c>
      <c r="E494" s="8"/>
      <c r="F494" s="8"/>
      <c r="G494" s="8"/>
      <c r="H494" s="9" t="str">
        <f aca="false">IF(OR(B494="",I494=""),"",IF(IF(J494="",AsOf,J494)-I494&gt;=Settings!$C$13,"Permanent","Probation"))</f>
        <v/>
      </c>
      <c r="I494" s="41"/>
      <c r="J494" s="41"/>
      <c r="K494" s="8"/>
      <c r="L494" s="42" t="str">
        <f aca="false">IF(OR(B494="",I494=""),"",ROUND((IF(J494="",AsOf,J494)-I494)/365.25,1))</f>
        <v/>
      </c>
      <c r="M494" s="8"/>
      <c r="N494" s="8"/>
      <c r="O494" s="8"/>
      <c r="P494" s="8"/>
      <c r="Q494" s="41"/>
      <c r="R494" s="43" t="str">
        <f aca="false">IF(OR(B494="",Q494=""),"",INT((AsOf-Q494)/365.25))</f>
        <v/>
      </c>
      <c r="S494" s="8"/>
      <c r="T494" s="40"/>
      <c r="U494" s="40"/>
      <c r="V494" s="40"/>
      <c r="W494" s="40"/>
      <c r="X494" s="8"/>
      <c r="Y494" s="8"/>
      <c r="Z494" s="8"/>
      <c r="AA494" s="8"/>
      <c r="AB494" s="8"/>
      <c r="AC494" s="8"/>
      <c r="AD494" s="8"/>
      <c r="AE494" s="40"/>
      <c r="AF494" s="8"/>
      <c r="AG494" s="40"/>
      <c r="AH494" s="40"/>
      <c r="AI494" s="8"/>
      <c r="AJ494" s="40"/>
      <c r="AK494" s="40"/>
      <c r="AL494" s="40"/>
      <c r="AM494" s="44"/>
      <c r="AN494" s="44"/>
      <c r="AO494" s="41"/>
      <c r="AP494" s="45" t="str">
        <f aca="false">IF(B494="","",IF(AND(ISNUMBER(AM494),ISNUMBER(AN494),AM494&gt;0,AN494&gt;0),AN494/AM494-1,""))</f>
        <v/>
      </c>
      <c r="AQ494" s="9" t="str">
        <f aca="false">IF(I494="","",(YEAR(I494)-IF(MONTH(I494)&lt;4,1,0))&amp;"-"&amp;RIGHT((YEAR(I494)-IF(MONTH(I494)&lt;4,1,0))+1,2))</f>
        <v/>
      </c>
      <c r="AR494" s="9" t="str">
        <f aca="false">IF(J494="","",(YEAR(J494)-IF(MONTH(J494)&lt;4,1,0))&amp;"-"&amp;RIGHT((YEAR(J494)-IF(MONTH(J494)&lt;4,1,0))+1,2))</f>
        <v/>
      </c>
      <c r="AS494" s="43" t="str">
        <f aca="false">IF(OR(B494="",Q494="",D494&lt;&gt;"Active"),"",DATE(YEAR(AsOf)+IF(DATE(YEAR(AsOf),MONTH(Q494),DAY(Q494))&lt;AsOf,1,0),MONTH(Q494),DAY(Q494))-AsOf)</f>
        <v/>
      </c>
      <c r="AT494" s="43" t="str">
        <f aca="false">IF(OR(B494="",I494="",D494&lt;&gt;"Active"),"",IF(YEAR(DATE(YEAR(AsOf)+IF(DATE(YEAR(AsOf),MONTH(I494),DAY(I494))&lt;AsOf,1,0),MONTH(I494),DAY(I494)))-YEAR(I494)&lt;1,"",DATE(YEAR(AsOf)+IF(DATE(YEAR(AsOf),MONTH(I494),DAY(I494))&lt;AsOf,1,0),MONTH(I494),DAY(I494))-AsOf))</f>
        <v/>
      </c>
      <c r="AU494" s="43" t="str">
        <f aca="false">IF(B494="","",IF(AV494="",0,LEN(AV494)-LEN(SUBSTITUTE(AV494,";",""))))</f>
        <v/>
      </c>
      <c r="AV494" s="9" t="str">
        <f aca="false">IF(B494="","",IF(COUNTIF($B$6:$B$505,B494)&gt;1,"Duplicate Emp Code; ","")&amp;IF(C494="","Name missing; ","")&amp;IF(I494="","DOJ missing; ","")&amp;IF(AND(J494&lt;&gt;"",I494&lt;&gt;"",J494&lt;I494),"Exit before DOJ; ","")&amp;IF(Q494="","DOB missing; ","")&amp;IF(T494="","Aadhaar missing; ",IF(LEN(T494)&lt;&gt;12,"Aadhaar not 12 digits; ",IF(COUNTIF($T$6:$T$505,T494)&gt;1,"Duplicate Aadhaar; ","")))&amp;IF(U494="","PAN missing; ",IF(LEN(U494)&lt;&gt;10,"PAN not 10 chars; ",""))&amp;IF(V494="","Mobile missing; ",IF(LEN(V494)&lt;&gt;10,"Mobile not 10 digits; ",""))&amp;IF(AG494="","Bank A/c missing; ","")&amp;IF(AH494="","IFSC missing; ",IF(LEN(AH494)&lt;&gt;11,"IFSC not 11 chars; ","")))</f>
        <v/>
      </c>
      <c r="AW494" s="46" t="str">
        <f aca="false">IF(AS494="","",AS494+ROW()/100000)</f>
        <v/>
      </c>
      <c r="AX494" s="46" t="str">
        <f aca="false">IF(AT494="","",AT494+ROW()/100000)</f>
        <v/>
      </c>
    </row>
    <row r="495" customFormat="false" ht="15" hidden="false" customHeight="false" outlineLevel="0" collapsed="false">
      <c r="A495" s="9" t="str">
        <f aca="false">IF(B495="","",ROW()-5)</f>
        <v/>
      </c>
      <c r="B495" s="40"/>
      <c r="C495" s="8"/>
      <c r="D495" s="9" t="str">
        <f aca="false">IF(B495="","",IF(J495="","Active","Exited"))</f>
        <v/>
      </c>
      <c r="E495" s="8"/>
      <c r="F495" s="8"/>
      <c r="G495" s="8"/>
      <c r="H495" s="9" t="str">
        <f aca="false">IF(OR(B495="",I495=""),"",IF(IF(J495="",AsOf,J495)-I495&gt;=Settings!$C$13,"Permanent","Probation"))</f>
        <v/>
      </c>
      <c r="I495" s="41"/>
      <c r="J495" s="41"/>
      <c r="K495" s="8"/>
      <c r="L495" s="42" t="str">
        <f aca="false">IF(OR(B495="",I495=""),"",ROUND((IF(J495="",AsOf,J495)-I495)/365.25,1))</f>
        <v/>
      </c>
      <c r="M495" s="8"/>
      <c r="N495" s="8"/>
      <c r="O495" s="8"/>
      <c r="P495" s="8"/>
      <c r="Q495" s="41"/>
      <c r="R495" s="43" t="str">
        <f aca="false">IF(OR(B495="",Q495=""),"",INT((AsOf-Q495)/365.25))</f>
        <v/>
      </c>
      <c r="S495" s="8"/>
      <c r="T495" s="40"/>
      <c r="U495" s="40"/>
      <c r="V495" s="40"/>
      <c r="W495" s="40"/>
      <c r="X495" s="8"/>
      <c r="Y495" s="8"/>
      <c r="Z495" s="8"/>
      <c r="AA495" s="8"/>
      <c r="AB495" s="8"/>
      <c r="AC495" s="8"/>
      <c r="AD495" s="8"/>
      <c r="AE495" s="40"/>
      <c r="AF495" s="8"/>
      <c r="AG495" s="40"/>
      <c r="AH495" s="40"/>
      <c r="AI495" s="8"/>
      <c r="AJ495" s="40"/>
      <c r="AK495" s="40"/>
      <c r="AL495" s="40"/>
      <c r="AM495" s="44"/>
      <c r="AN495" s="44"/>
      <c r="AO495" s="41"/>
      <c r="AP495" s="45" t="str">
        <f aca="false">IF(B495="","",IF(AND(ISNUMBER(AM495),ISNUMBER(AN495),AM495&gt;0,AN495&gt;0),AN495/AM495-1,""))</f>
        <v/>
      </c>
      <c r="AQ495" s="9" t="str">
        <f aca="false">IF(I495="","",(YEAR(I495)-IF(MONTH(I495)&lt;4,1,0))&amp;"-"&amp;RIGHT((YEAR(I495)-IF(MONTH(I495)&lt;4,1,0))+1,2))</f>
        <v/>
      </c>
      <c r="AR495" s="9" t="str">
        <f aca="false">IF(J495="","",(YEAR(J495)-IF(MONTH(J495)&lt;4,1,0))&amp;"-"&amp;RIGHT((YEAR(J495)-IF(MONTH(J495)&lt;4,1,0))+1,2))</f>
        <v/>
      </c>
      <c r="AS495" s="43" t="str">
        <f aca="false">IF(OR(B495="",Q495="",D495&lt;&gt;"Active"),"",DATE(YEAR(AsOf)+IF(DATE(YEAR(AsOf),MONTH(Q495),DAY(Q495))&lt;AsOf,1,0),MONTH(Q495),DAY(Q495))-AsOf)</f>
        <v/>
      </c>
      <c r="AT495" s="43" t="str">
        <f aca="false">IF(OR(B495="",I495="",D495&lt;&gt;"Active"),"",IF(YEAR(DATE(YEAR(AsOf)+IF(DATE(YEAR(AsOf),MONTH(I495),DAY(I495))&lt;AsOf,1,0),MONTH(I495),DAY(I495)))-YEAR(I495)&lt;1,"",DATE(YEAR(AsOf)+IF(DATE(YEAR(AsOf),MONTH(I495),DAY(I495))&lt;AsOf,1,0),MONTH(I495),DAY(I495))-AsOf))</f>
        <v/>
      </c>
      <c r="AU495" s="43" t="str">
        <f aca="false">IF(B495="","",IF(AV495="",0,LEN(AV495)-LEN(SUBSTITUTE(AV495,";",""))))</f>
        <v/>
      </c>
      <c r="AV495" s="9" t="str">
        <f aca="false">IF(B495="","",IF(COUNTIF($B$6:$B$505,B495)&gt;1,"Duplicate Emp Code; ","")&amp;IF(C495="","Name missing; ","")&amp;IF(I495="","DOJ missing; ","")&amp;IF(AND(J495&lt;&gt;"",I495&lt;&gt;"",J495&lt;I495),"Exit before DOJ; ","")&amp;IF(Q495="","DOB missing; ","")&amp;IF(T495="","Aadhaar missing; ",IF(LEN(T495)&lt;&gt;12,"Aadhaar not 12 digits; ",IF(COUNTIF($T$6:$T$505,T495)&gt;1,"Duplicate Aadhaar; ","")))&amp;IF(U495="","PAN missing; ",IF(LEN(U495)&lt;&gt;10,"PAN not 10 chars; ",""))&amp;IF(V495="","Mobile missing; ",IF(LEN(V495)&lt;&gt;10,"Mobile not 10 digits; ",""))&amp;IF(AG495="","Bank A/c missing; ","")&amp;IF(AH495="","IFSC missing; ",IF(LEN(AH495)&lt;&gt;11,"IFSC not 11 chars; ","")))</f>
        <v/>
      </c>
      <c r="AW495" s="46" t="str">
        <f aca="false">IF(AS495="","",AS495+ROW()/100000)</f>
        <v/>
      </c>
      <c r="AX495" s="46" t="str">
        <f aca="false">IF(AT495="","",AT495+ROW()/100000)</f>
        <v/>
      </c>
    </row>
    <row r="496" customFormat="false" ht="15" hidden="false" customHeight="false" outlineLevel="0" collapsed="false">
      <c r="A496" s="9" t="str">
        <f aca="false">IF(B496="","",ROW()-5)</f>
        <v/>
      </c>
      <c r="B496" s="40"/>
      <c r="C496" s="8"/>
      <c r="D496" s="9" t="str">
        <f aca="false">IF(B496="","",IF(J496="","Active","Exited"))</f>
        <v/>
      </c>
      <c r="E496" s="8"/>
      <c r="F496" s="8"/>
      <c r="G496" s="8"/>
      <c r="H496" s="9" t="str">
        <f aca="false">IF(OR(B496="",I496=""),"",IF(IF(J496="",AsOf,J496)-I496&gt;=Settings!$C$13,"Permanent","Probation"))</f>
        <v/>
      </c>
      <c r="I496" s="41"/>
      <c r="J496" s="41"/>
      <c r="K496" s="8"/>
      <c r="L496" s="42" t="str">
        <f aca="false">IF(OR(B496="",I496=""),"",ROUND((IF(J496="",AsOf,J496)-I496)/365.25,1))</f>
        <v/>
      </c>
      <c r="M496" s="8"/>
      <c r="N496" s="8"/>
      <c r="O496" s="8"/>
      <c r="P496" s="8"/>
      <c r="Q496" s="41"/>
      <c r="R496" s="43" t="str">
        <f aca="false">IF(OR(B496="",Q496=""),"",INT((AsOf-Q496)/365.25))</f>
        <v/>
      </c>
      <c r="S496" s="8"/>
      <c r="T496" s="40"/>
      <c r="U496" s="40"/>
      <c r="V496" s="40"/>
      <c r="W496" s="40"/>
      <c r="X496" s="8"/>
      <c r="Y496" s="8"/>
      <c r="Z496" s="8"/>
      <c r="AA496" s="8"/>
      <c r="AB496" s="8"/>
      <c r="AC496" s="8"/>
      <c r="AD496" s="8"/>
      <c r="AE496" s="40"/>
      <c r="AF496" s="8"/>
      <c r="AG496" s="40"/>
      <c r="AH496" s="40"/>
      <c r="AI496" s="8"/>
      <c r="AJ496" s="40"/>
      <c r="AK496" s="40"/>
      <c r="AL496" s="40"/>
      <c r="AM496" s="44"/>
      <c r="AN496" s="44"/>
      <c r="AO496" s="41"/>
      <c r="AP496" s="45" t="str">
        <f aca="false">IF(B496="","",IF(AND(ISNUMBER(AM496),ISNUMBER(AN496),AM496&gt;0,AN496&gt;0),AN496/AM496-1,""))</f>
        <v/>
      </c>
      <c r="AQ496" s="9" t="str">
        <f aca="false">IF(I496="","",(YEAR(I496)-IF(MONTH(I496)&lt;4,1,0))&amp;"-"&amp;RIGHT((YEAR(I496)-IF(MONTH(I496)&lt;4,1,0))+1,2))</f>
        <v/>
      </c>
      <c r="AR496" s="9" t="str">
        <f aca="false">IF(J496="","",(YEAR(J496)-IF(MONTH(J496)&lt;4,1,0))&amp;"-"&amp;RIGHT((YEAR(J496)-IF(MONTH(J496)&lt;4,1,0))+1,2))</f>
        <v/>
      </c>
      <c r="AS496" s="43" t="str">
        <f aca="false">IF(OR(B496="",Q496="",D496&lt;&gt;"Active"),"",DATE(YEAR(AsOf)+IF(DATE(YEAR(AsOf),MONTH(Q496),DAY(Q496))&lt;AsOf,1,0),MONTH(Q496),DAY(Q496))-AsOf)</f>
        <v/>
      </c>
      <c r="AT496" s="43" t="str">
        <f aca="false">IF(OR(B496="",I496="",D496&lt;&gt;"Active"),"",IF(YEAR(DATE(YEAR(AsOf)+IF(DATE(YEAR(AsOf),MONTH(I496),DAY(I496))&lt;AsOf,1,0),MONTH(I496),DAY(I496)))-YEAR(I496)&lt;1,"",DATE(YEAR(AsOf)+IF(DATE(YEAR(AsOf),MONTH(I496),DAY(I496))&lt;AsOf,1,0),MONTH(I496),DAY(I496))-AsOf))</f>
        <v/>
      </c>
      <c r="AU496" s="43" t="str">
        <f aca="false">IF(B496="","",IF(AV496="",0,LEN(AV496)-LEN(SUBSTITUTE(AV496,";",""))))</f>
        <v/>
      </c>
      <c r="AV496" s="9" t="str">
        <f aca="false">IF(B496="","",IF(COUNTIF($B$6:$B$505,B496)&gt;1,"Duplicate Emp Code; ","")&amp;IF(C496="","Name missing; ","")&amp;IF(I496="","DOJ missing; ","")&amp;IF(AND(J496&lt;&gt;"",I496&lt;&gt;"",J496&lt;I496),"Exit before DOJ; ","")&amp;IF(Q496="","DOB missing; ","")&amp;IF(T496="","Aadhaar missing; ",IF(LEN(T496)&lt;&gt;12,"Aadhaar not 12 digits; ",IF(COUNTIF($T$6:$T$505,T496)&gt;1,"Duplicate Aadhaar; ","")))&amp;IF(U496="","PAN missing; ",IF(LEN(U496)&lt;&gt;10,"PAN not 10 chars; ",""))&amp;IF(V496="","Mobile missing; ",IF(LEN(V496)&lt;&gt;10,"Mobile not 10 digits; ",""))&amp;IF(AG496="","Bank A/c missing; ","")&amp;IF(AH496="","IFSC missing; ",IF(LEN(AH496)&lt;&gt;11,"IFSC not 11 chars; ","")))</f>
        <v/>
      </c>
      <c r="AW496" s="46" t="str">
        <f aca="false">IF(AS496="","",AS496+ROW()/100000)</f>
        <v/>
      </c>
      <c r="AX496" s="46" t="str">
        <f aca="false">IF(AT496="","",AT496+ROW()/100000)</f>
        <v/>
      </c>
    </row>
    <row r="497" customFormat="false" ht="15" hidden="false" customHeight="false" outlineLevel="0" collapsed="false">
      <c r="A497" s="9" t="str">
        <f aca="false">IF(B497="","",ROW()-5)</f>
        <v/>
      </c>
      <c r="B497" s="40"/>
      <c r="C497" s="8"/>
      <c r="D497" s="9" t="str">
        <f aca="false">IF(B497="","",IF(J497="","Active","Exited"))</f>
        <v/>
      </c>
      <c r="E497" s="8"/>
      <c r="F497" s="8"/>
      <c r="G497" s="8"/>
      <c r="H497" s="9" t="str">
        <f aca="false">IF(OR(B497="",I497=""),"",IF(IF(J497="",AsOf,J497)-I497&gt;=Settings!$C$13,"Permanent","Probation"))</f>
        <v/>
      </c>
      <c r="I497" s="41"/>
      <c r="J497" s="41"/>
      <c r="K497" s="8"/>
      <c r="L497" s="42" t="str">
        <f aca="false">IF(OR(B497="",I497=""),"",ROUND((IF(J497="",AsOf,J497)-I497)/365.25,1))</f>
        <v/>
      </c>
      <c r="M497" s="8"/>
      <c r="N497" s="8"/>
      <c r="O497" s="8"/>
      <c r="P497" s="8"/>
      <c r="Q497" s="41"/>
      <c r="R497" s="43" t="str">
        <f aca="false">IF(OR(B497="",Q497=""),"",INT((AsOf-Q497)/365.25))</f>
        <v/>
      </c>
      <c r="S497" s="8"/>
      <c r="T497" s="40"/>
      <c r="U497" s="40"/>
      <c r="V497" s="40"/>
      <c r="W497" s="40"/>
      <c r="X497" s="8"/>
      <c r="Y497" s="8"/>
      <c r="Z497" s="8"/>
      <c r="AA497" s="8"/>
      <c r="AB497" s="8"/>
      <c r="AC497" s="8"/>
      <c r="AD497" s="8"/>
      <c r="AE497" s="40"/>
      <c r="AF497" s="8"/>
      <c r="AG497" s="40"/>
      <c r="AH497" s="40"/>
      <c r="AI497" s="8"/>
      <c r="AJ497" s="40"/>
      <c r="AK497" s="40"/>
      <c r="AL497" s="40"/>
      <c r="AM497" s="44"/>
      <c r="AN497" s="44"/>
      <c r="AO497" s="41"/>
      <c r="AP497" s="45" t="str">
        <f aca="false">IF(B497="","",IF(AND(ISNUMBER(AM497),ISNUMBER(AN497),AM497&gt;0,AN497&gt;0),AN497/AM497-1,""))</f>
        <v/>
      </c>
      <c r="AQ497" s="9" t="str">
        <f aca="false">IF(I497="","",(YEAR(I497)-IF(MONTH(I497)&lt;4,1,0))&amp;"-"&amp;RIGHT((YEAR(I497)-IF(MONTH(I497)&lt;4,1,0))+1,2))</f>
        <v/>
      </c>
      <c r="AR497" s="9" t="str">
        <f aca="false">IF(J497="","",(YEAR(J497)-IF(MONTH(J497)&lt;4,1,0))&amp;"-"&amp;RIGHT((YEAR(J497)-IF(MONTH(J497)&lt;4,1,0))+1,2))</f>
        <v/>
      </c>
      <c r="AS497" s="43" t="str">
        <f aca="false">IF(OR(B497="",Q497="",D497&lt;&gt;"Active"),"",DATE(YEAR(AsOf)+IF(DATE(YEAR(AsOf),MONTH(Q497),DAY(Q497))&lt;AsOf,1,0),MONTH(Q497),DAY(Q497))-AsOf)</f>
        <v/>
      </c>
      <c r="AT497" s="43" t="str">
        <f aca="false">IF(OR(B497="",I497="",D497&lt;&gt;"Active"),"",IF(YEAR(DATE(YEAR(AsOf)+IF(DATE(YEAR(AsOf),MONTH(I497),DAY(I497))&lt;AsOf,1,0),MONTH(I497),DAY(I497)))-YEAR(I497)&lt;1,"",DATE(YEAR(AsOf)+IF(DATE(YEAR(AsOf),MONTH(I497),DAY(I497))&lt;AsOf,1,0),MONTH(I497),DAY(I497))-AsOf))</f>
        <v/>
      </c>
      <c r="AU497" s="43" t="str">
        <f aca="false">IF(B497="","",IF(AV497="",0,LEN(AV497)-LEN(SUBSTITUTE(AV497,";",""))))</f>
        <v/>
      </c>
      <c r="AV497" s="9" t="str">
        <f aca="false">IF(B497="","",IF(COUNTIF($B$6:$B$505,B497)&gt;1,"Duplicate Emp Code; ","")&amp;IF(C497="","Name missing; ","")&amp;IF(I497="","DOJ missing; ","")&amp;IF(AND(J497&lt;&gt;"",I497&lt;&gt;"",J497&lt;I497),"Exit before DOJ; ","")&amp;IF(Q497="","DOB missing; ","")&amp;IF(T497="","Aadhaar missing; ",IF(LEN(T497)&lt;&gt;12,"Aadhaar not 12 digits; ",IF(COUNTIF($T$6:$T$505,T497)&gt;1,"Duplicate Aadhaar; ","")))&amp;IF(U497="","PAN missing; ",IF(LEN(U497)&lt;&gt;10,"PAN not 10 chars; ",""))&amp;IF(V497="","Mobile missing; ",IF(LEN(V497)&lt;&gt;10,"Mobile not 10 digits; ",""))&amp;IF(AG497="","Bank A/c missing; ","")&amp;IF(AH497="","IFSC missing; ",IF(LEN(AH497)&lt;&gt;11,"IFSC not 11 chars; ","")))</f>
        <v/>
      </c>
      <c r="AW497" s="46" t="str">
        <f aca="false">IF(AS497="","",AS497+ROW()/100000)</f>
        <v/>
      </c>
      <c r="AX497" s="46" t="str">
        <f aca="false">IF(AT497="","",AT497+ROW()/100000)</f>
        <v/>
      </c>
    </row>
    <row r="498" customFormat="false" ht="15" hidden="false" customHeight="false" outlineLevel="0" collapsed="false">
      <c r="A498" s="9" t="str">
        <f aca="false">IF(B498="","",ROW()-5)</f>
        <v/>
      </c>
      <c r="B498" s="40"/>
      <c r="C498" s="8"/>
      <c r="D498" s="9" t="str">
        <f aca="false">IF(B498="","",IF(J498="","Active","Exited"))</f>
        <v/>
      </c>
      <c r="E498" s="8"/>
      <c r="F498" s="8"/>
      <c r="G498" s="8"/>
      <c r="H498" s="9" t="str">
        <f aca="false">IF(OR(B498="",I498=""),"",IF(IF(J498="",AsOf,J498)-I498&gt;=Settings!$C$13,"Permanent","Probation"))</f>
        <v/>
      </c>
      <c r="I498" s="41"/>
      <c r="J498" s="41"/>
      <c r="K498" s="8"/>
      <c r="L498" s="42" t="str">
        <f aca="false">IF(OR(B498="",I498=""),"",ROUND((IF(J498="",AsOf,J498)-I498)/365.25,1))</f>
        <v/>
      </c>
      <c r="M498" s="8"/>
      <c r="N498" s="8"/>
      <c r="O498" s="8"/>
      <c r="P498" s="8"/>
      <c r="Q498" s="41"/>
      <c r="R498" s="43" t="str">
        <f aca="false">IF(OR(B498="",Q498=""),"",INT((AsOf-Q498)/365.25))</f>
        <v/>
      </c>
      <c r="S498" s="8"/>
      <c r="T498" s="40"/>
      <c r="U498" s="40"/>
      <c r="V498" s="40"/>
      <c r="W498" s="40"/>
      <c r="X498" s="8"/>
      <c r="Y498" s="8"/>
      <c r="Z498" s="8"/>
      <c r="AA498" s="8"/>
      <c r="AB498" s="8"/>
      <c r="AC498" s="8"/>
      <c r="AD498" s="8"/>
      <c r="AE498" s="40"/>
      <c r="AF498" s="8"/>
      <c r="AG498" s="40"/>
      <c r="AH498" s="40"/>
      <c r="AI498" s="8"/>
      <c r="AJ498" s="40"/>
      <c r="AK498" s="40"/>
      <c r="AL498" s="40"/>
      <c r="AM498" s="44"/>
      <c r="AN498" s="44"/>
      <c r="AO498" s="41"/>
      <c r="AP498" s="45" t="str">
        <f aca="false">IF(B498="","",IF(AND(ISNUMBER(AM498),ISNUMBER(AN498),AM498&gt;0,AN498&gt;0),AN498/AM498-1,""))</f>
        <v/>
      </c>
      <c r="AQ498" s="9" t="str">
        <f aca="false">IF(I498="","",(YEAR(I498)-IF(MONTH(I498)&lt;4,1,0))&amp;"-"&amp;RIGHT((YEAR(I498)-IF(MONTH(I498)&lt;4,1,0))+1,2))</f>
        <v/>
      </c>
      <c r="AR498" s="9" t="str">
        <f aca="false">IF(J498="","",(YEAR(J498)-IF(MONTH(J498)&lt;4,1,0))&amp;"-"&amp;RIGHT((YEAR(J498)-IF(MONTH(J498)&lt;4,1,0))+1,2))</f>
        <v/>
      </c>
      <c r="AS498" s="43" t="str">
        <f aca="false">IF(OR(B498="",Q498="",D498&lt;&gt;"Active"),"",DATE(YEAR(AsOf)+IF(DATE(YEAR(AsOf),MONTH(Q498),DAY(Q498))&lt;AsOf,1,0),MONTH(Q498),DAY(Q498))-AsOf)</f>
        <v/>
      </c>
      <c r="AT498" s="43" t="str">
        <f aca="false">IF(OR(B498="",I498="",D498&lt;&gt;"Active"),"",IF(YEAR(DATE(YEAR(AsOf)+IF(DATE(YEAR(AsOf),MONTH(I498),DAY(I498))&lt;AsOf,1,0),MONTH(I498),DAY(I498)))-YEAR(I498)&lt;1,"",DATE(YEAR(AsOf)+IF(DATE(YEAR(AsOf),MONTH(I498),DAY(I498))&lt;AsOf,1,0),MONTH(I498),DAY(I498))-AsOf))</f>
        <v/>
      </c>
      <c r="AU498" s="43" t="str">
        <f aca="false">IF(B498="","",IF(AV498="",0,LEN(AV498)-LEN(SUBSTITUTE(AV498,";",""))))</f>
        <v/>
      </c>
      <c r="AV498" s="9" t="str">
        <f aca="false">IF(B498="","",IF(COUNTIF($B$6:$B$505,B498)&gt;1,"Duplicate Emp Code; ","")&amp;IF(C498="","Name missing; ","")&amp;IF(I498="","DOJ missing; ","")&amp;IF(AND(J498&lt;&gt;"",I498&lt;&gt;"",J498&lt;I498),"Exit before DOJ; ","")&amp;IF(Q498="","DOB missing; ","")&amp;IF(T498="","Aadhaar missing; ",IF(LEN(T498)&lt;&gt;12,"Aadhaar not 12 digits; ",IF(COUNTIF($T$6:$T$505,T498)&gt;1,"Duplicate Aadhaar; ","")))&amp;IF(U498="","PAN missing; ",IF(LEN(U498)&lt;&gt;10,"PAN not 10 chars; ",""))&amp;IF(V498="","Mobile missing; ",IF(LEN(V498)&lt;&gt;10,"Mobile not 10 digits; ",""))&amp;IF(AG498="","Bank A/c missing; ","")&amp;IF(AH498="","IFSC missing; ",IF(LEN(AH498)&lt;&gt;11,"IFSC not 11 chars; ","")))</f>
        <v/>
      </c>
      <c r="AW498" s="46" t="str">
        <f aca="false">IF(AS498="","",AS498+ROW()/100000)</f>
        <v/>
      </c>
      <c r="AX498" s="46" t="str">
        <f aca="false">IF(AT498="","",AT498+ROW()/100000)</f>
        <v/>
      </c>
    </row>
    <row r="499" customFormat="false" ht="15" hidden="false" customHeight="false" outlineLevel="0" collapsed="false">
      <c r="A499" s="9" t="str">
        <f aca="false">IF(B499="","",ROW()-5)</f>
        <v/>
      </c>
      <c r="B499" s="40"/>
      <c r="C499" s="8"/>
      <c r="D499" s="9" t="str">
        <f aca="false">IF(B499="","",IF(J499="","Active","Exited"))</f>
        <v/>
      </c>
      <c r="E499" s="8"/>
      <c r="F499" s="8"/>
      <c r="G499" s="8"/>
      <c r="H499" s="9" t="str">
        <f aca="false">IF(OR(B499="",I499=""),"",IF(IF(J499="",AsOf,J499)-I499&gt;=Settings!$C$13,"Permanent","Probation"))</f>
        <v/>
      </c>
      <c r="I499" s="41"/>
      <c r="J499" s="41"/>
      <c r="K499" s="8"/>
      <c r="L499" s="42" t="str">
        <f aca="false">IF(OR(B499="",I499=""),"",ROUND((IF(J499="",AsOf,J499)-I499)/365.25,1))</f>
        <v/>
      </c>
      <c r="M499" s="8"/>
      <c r="N499" s="8"/>
      <c r="O499" s="8"/>
      <c r="P499" s="8"/>
      <c r="Q499" s="41"/>
      <c r="R499" s="43" t="str">
        <f aca="false">IF(OR(B499="",Q499=""),"",INT((AsOf-Q499)/365.25))</f>
        <v/>
      </c>
      <c r="S499" s="8"/>
      <c r="T499" s="40"/>
      <c r="U499" s="40"/>
      <c r="V499" s="40"/>
      <c r="W499" s="40"/>
      <c r="X499" s="8"/>
      <c r="Y499" s="8"/>
      <c r="Z499" s="8"/>
      <c r="AA499" s="8"/>
      <c r="AB499" s="8"/>
      <c r="AC499" s="8"/>
      <c r="AD499" s="8"/>
      <c r="AE499" s="40"/>
      <c r="AF499" s="8"/>
      <c r="AG499" s="40"/>
      <c r="AH499" s="40"/>
      <c r="AI499" s="8"/>
      <c r="AJ499" s="40"/>
      <c r="AK499" s="40"/>
      <c r="AL499" s="40"/>
      <c r="AM499" s="44"/>
      <c r="AN499" s="44"/>
      <c r="AO499" s="41"/>
      <c r="AP499" s="45" t="str">
        <f aca="false">IF(B499="","",IF(AND(ISNUMBER(AM499),ISNUMBER(AN499),AM499&gt;0,AN499&gt;0),AN499/AM499-1,""))</f>
        <v/>
      </c>
      <c r="AQ499" s="9" t="str">
        <f aca="false">IF(I499="","",(YEAR(I499)-IF(MONTH(I499)&lt;4,1,0))&amp;"-"&amp;RIGHT((YEAR(I499)-IF(MONTH(I499)&lt;4,1,0))+1,2))</f>
        <v/>
      </c>
      <c r="AR499" s="9" t="str">
        <f aca="false">IF(J499="","",(YEAR(J499)-IF(MONTH(J499)&lt;4,1,0))&amp;"-"&amp;RIGHT((YEAR(J499)-IF(MONTH(J499)&lt;4,1,0))+1,2))</f>
        <v/>
      </c>
      <c r="AS499" s="43" t="str">
        <f aca="false">IF(OR(B499="",Q499="",D499&lt;&gt;"Active"),"",DATE(YEAR(AsOf)+IF(DATE(YEAR(AsOf),MONTH(Q499),DAY(Q499))&lt;AsOf,1,0),MONTH(Q499),DAY(Q499))-AsOf)</f>
        <v/>
      </c>
      <c r="AT499" s="43" t="str">
        <f aca="false">IF(OR(B499="",I499="",D499&lt;&gt;"Active"),"",IF(YEAR(DATE(YEAR(AsOf)+IF(DATE(YEAR(AsOf),MONTH(I499),DAY(I499))&lt;AsOf,1,0),MONTH(I499),DAY(I499)))-YEAR(I499)&lt;1,"",DATE(YEAR(AsOf)+IF(DATE(YEAR(AsOf),MONTH(I499),DAY(I499))&lt;AsOf,1,0),MONTH(I499),DAY(I499))-AsOf))</f>
        <v/>
      </c>
      <c r="AU499" s="43" t="str">
        <f aca="false">IF(B499="","",IF(AV499="",0,LEN(AV499)-LEN(SUBSTITUTE(AV499,";",""))))</f>
        <v/>
      </c>
      <c r="AV499" s="9" t="str">
        <f aca="false">IF(B499="","",IF(COUNTIF($B$6:$B$505,B499)&gt;1,"Duplicate Emp Code; ","")&amp;IF(C499="","Name missing; ","")&amp;IF(I499="","DOJ missing; ","")&amp;IF(AND(J499&lt;&gt;"",I499&lt;&gt;"",J499&lt;I499),"Exit before DOJ; ","")&amp;IF(Q499="","DOB missing; ","")&amp;IF(T499="","Aadhaar missing; ",IF(LEN(T499)&lt;&gt;12,"Aadhaar not 12 digits; ",IF(COUNTIF($T$6:$T$505,T499)&gt;1,"Duplicate Aadhaar; ","")))&amp;IF(U499="","PAN missing; ",IF(LEN(U499)&lt;&gt;10,"PAN not 10 chars; ",""))&amp;IF(V499="","Mobile missing; ",IF(LEN(V499)&lt;&gt;10,"Mobile not 10 digits; ",""))&amp;IF(AG499="","Bank A/c missing; ","")&amp;IF(AH499="","IFSC missing; ",IF(LEN(AH499)&lt;&gt;11,"IFSC not 11 chars; ","")))</f>
        <v/>
      </c>
      <c r="AW499" s="46" t="str">
        <f aca="false">IF(AS499="","",AS499+ROW()/100000)</f>
        <v/>
      </c>
      <c r="AX499" s="46" t="str">
        <f aca="false">IF(AT499="","",AT499+ROW()/100000)</f>
        <v/>
      </c>
    </row>
    <row r="500" customFormat="false" ht="15" hidden="false" customHeight="false" outlineLevel="0" collapsed="false">
      <c r="A500" s="9" t="str">
        <f aca="false">IF(B500="","",ROW()-5)</f>
        <v/>
      </c>
      <c r="B500" s="40"/>
      <c r="C500" s="8"/>
      <c r="D500" s="9" t="str">
        <f aca="false">IF(B500="","",IF(J500="","Active","Exited"))</f>
        <v/>
      </c>
      <c r="E500" s="8"/>
      <c r="F500" s="8"/>
      <c r="G500" s="8"/>
      <c r="H500" s="9" t="str">
        <f aca="false">IF(OR(B500="",I500=""),"",IF(IF(J500="",AsOf,J500)-I500&gt;=Settings!$C$13,"Permanent","Probation"))</f>
        <v/>
      </c>
      <c r="I500" s="41"/>
      <c r="J500" s="41"/>
      <c r="K500" s="8"/>
      <c r="L500" s="42" t="str">
        <f aca="false">IF(OR(B500="",I500=""),"",ROUND((IF(J500="",AsOf,J500)-I500)/365.25,1))</f>
        <v/>
      </c>
      <c r="M500" s="8"/>
      <c r="N500" s="8"/>
      <c r="O500" s="8"/>
      <c r="P500" s="8"/>
      <c r="Q500" s="41"/>
      <c r="R500" s="43" t="str">
        <f aca="false">IF(OR(B500="",Q500=""),"",INT((AsOf-Q500)/365.25))</f>
        <v/>
      </c>
      <c r="S500" s="8"/>
      <c r="T500" s="40"/>
      <c r="U500" s="40"/>
      <c r="V500" s="40"/>
      <c r="W500" s="40"/>
      <c r="X500" s="8"/>
      <c r="Y500" s="8"/>
      <c r="Z500" s="8"/>
      <c r="AA500" s="8"/>
      <c r="AB500" s="8"/>
      <c r="AC500" s="8"/>
      <c r="AD500" s="8"/>
      <c r="AE500" s="40"/>
      <c r="AF500" s="8"/>
      <c r="AG500" s="40"/>
      <c r="AH500" s="40"/>
      <c r="AI500" s="8"/>
      <c r="AJ500" s="40"/>
      <c r="AK500" s="40"/>
      <c r="AL500" s="40"/>
      <c r="AM500" s="44"/>
      <c r="AN500" s="44"/>
      <c r="AO500" s="41"/>
      <c r="AP500" s="45" t="str">
        <f aca="false">IF(B500="","",IF(AND(ISNUMBER(AM500),ISNUMBER(AN500),AM500&gt;0,AN500&gt;0),AN500/AM500-1,""))</f>
        <v/>
      </c>
      <c r="AQ500" s="9" t="str">
        <f aca="false">IF(I500="","",(YEAR(I500)-IF(MONTH(I500)&lt;4,1,0))&amp;"-"&amp;RIGHT((YEAR(I500)-IF(MONTH(I500)&lt;4,1,0))+1,2))</f>
        <v/>
      </c>
      <c r="AR500" s="9" t="str">
        <f aca="false">IF(J500="","",(YEAR(J500)-IF(MONTH(J500)&lt;4,1,0))&amp;"-"&amp;RIGHT((YEAR(J500)-IF(MONTH(J500)&lt;4,1,0))+1,2))</f>
        <v/>
      </c>
      <c r="AS500" s="43" t="str">
        <f aca="false">IF(OR(B500="",Q500="",D500&lt;&gt;"Active"),"",DATE(YEAR(AsOf)+IF(DATE(YEAR(AsOf),MONTH(Q500),DAY(Q500))&lt;AsOf,1,0),MONTH(Q500),DAY(Q500))-AsOf)</f>
        <v/>
      </c>
      <c r="AT500" s="43" t="str">
        <f aca="false">IF(OR(B500="",I500="",D500&lt;&gt;"Active"),"",IF(YEAR(DATE(YEAR(AsOf)+IF(DATE(YEAR(AsOf),MONTH(I500),DAY(I500))&lt;AsOf,1,0),MONTH(I500),DAY(I500)))-YEAR(I500)&lt;1,"",DATE(YEAR(AsOf)+IF(DATE(YEAR(AsOf),MONTH(I500),DAY(I500))&lt;AsOf,1,0),MONTH(I500),DAY(I500))-AsOf))</f>
        <v/>
      </c>
      <c r="AU500" s="43" t="str">
        <f aca="false">IF(B500="","",IF(AV500="",0,LEN(AV500)-LEN(SUBSTITUTE(AV500,";",""))))</f>
        <v/>
      </c>
      <c r="AV500" s="9" t="str">
        <f aca="false">IF(B500="","",IF(COUNTIF($B$6:$B$505,B500)&gt;1,"Duplicate Emp Code; ","")&amp;IF(C500="","Name missing; ","")&amp;IF(I500="","DOJ missing; ","")&amp;IF(AND(J500&lt;&gt;"",I500&lt;&gt;"",J500&lt;I500),"Exit before DOJ; ","")&amp;IF(Q500="","DOB missing; ","")&amp;IF(T500="","Aadhaar missing; ",IF(LEN(T500)&lt;&gt;12,"Aadhaar not 12 digits; ",IF(COUNTIF($T$6:$T$505,T500)&gt;1,"Duplicate Aadhaar; ","")))&amp;IF(U500="","PAN missing; ",IF(LEN(U500)&lt;&gt;10,"PAN not 10 chars; ",""))&amp;IF(V500="","Mobile missing; ",IF(LEN(V500)&lt;&gt;10,"Mobile not 10 digits; ",""))&amp;IF(AG500="","Bank A/c missing; ","")&amp;IF(AH500="","IFSC missing; ",IF(LEN(AH500)&lt;&gt;11,"IFSC not 11 chars; ","")))</f>
        <v/>
      </c>
      <c r="AW500" s="46" t="str">
        <f aca="false">IF(AS500="","",AS500+ROW()/100000)</f>
        <v/>
      </c>
      <c r="AX500" s="46" t="str">
        <f aca="false">IF(AT500="","",AT500+ROW()/100000)</f>
        <v/>
      </c>
    </row>
    <row r="501" customFormat="false" ht="15" hidden="false" customHeight="false" outlineLevel="0" collapsed="false">
      <c r="A501" s="9" t="str">
        <f aca="false">IF(B501="","",ROW()-5)</f>
        <v/>
      </c>
      <c r="B501" s="40"/>
      <c r="C501" s="8"/>
      <c r="D501" s="9" t="str">
        <f aca="false">IF(B501="","",IF(J501="","Active","Exited"))</f>
        <v/>
      </c>
      <c r="E501" s="8"/>
      <c r="F501" s="8"/>
      <c r="G501" s="8"/>
      <c r="H501" s="9" t="str">
        <f aca="false">IF(OR(B501="",I501=""),"",IF(IF(J501="",AsOf,J501)-I501&gt;=Settings!$C$13,"Permanent","Probation"))</f>
        <v/>
      </c>
      <c r="I501" s="41"/>
      <c r="J501" s="41"/>
      <c r="K501" s="8"/>
      <c r="L501" s="42" t="str">
        <f aca="false">IF(OR(B501="",I501=""),"",ROUND((IF(J501="",AsOf,J501)-I501)/365.25,1))</f>
        <v/>
      </c>
      <c r="M501" s="8"/>
      <c r="N501" s="8"/>
      <c r="O501" s="8"/>
      <c r="P501" s="8"/>
      <c r="Q501" s="41"/>
      <c r="R501" s="43" t="str">
        <f aca="false">IF(OR(B501="",Q501=""),"",INT((AsOf-Q501)/365.25))</f>
        <v/>
      </c>
      <c r="S501" s="8"/>
      <c r="T501" s="40"/>
      <c r="U501" s="40"/>
      <c r="V501" s="40"/>
      <c r="W501" s="40"/>
      <c r="X501" s="8"/>
      <c r="Y501" s="8"/>
      <c r="Z501" s="8"/>
      <c r="AA501" s="8"/>
      <c r="AB501" s="8"/>
      <c r="AC501" s="8"/>
      <c r="AD501" s="8"/>
      <c r="AE501" s="40"/>
      <c r="AF501" s="8"/>
      <c r="AG501" s="40"/>
      <c r="AH501" s="40"/>
      <c r="AI501" s="8"/>
      <c r="AJ501" s="40"/>
      <c r="AK501" s="40"/>
      <c r="AL501" s="40"/>
      <c r="AM501" s="44"/>
      <c r="AN501" s="44"/>
      <c r="AO501" s="41"/>
      <c r="AP501" s="45" t="str">
        <f aca="false">IF(B501="","",IF(AND(ISNUMBER(AM501),ISNUMBER(AN501),AM501&gt;0,AN501&gt;0),AN501/AM501-1,""))</f>
        <v/>
      </c>
      <c r="AQ501" s="9" t="str">
        <f aca="false">IF(I501="","",(YEAR(I501)-IF(MONTH(I501)&lt;4,1,0))&amp;"-"&amp;RIGHT((YEAR(I501)-IF(MONTH(I501)&lt;4,1,0))+1,2))</f>
        <v/>
      </c>
      <c r="AR501" s="9" t="str">
        <f aca="false">IF(J501="","",(YEAR(J501)-IF(MONTH(J501)&lt;4,1,0))&amp;"-"&amp;RIGHT((YEAR(J501)-IF(MONTH(J501)&lt;4,1,0))+1,2))</f>
        <v/>
      </c>
      <c r="AS501" s="43" t="str">
        <f aca="false">IF(OR(B501="",Q501="",D501&lt;&gt;"Active"),"",DATE(YEAR(AsOf)+IF(DATE(YEAR(AsOf),MONTH(Q501),DAY(Q501))&lt;AsOf,1,0),MONTH(Q501),DAY(Q501))-AsOf)</f>
        <v/>
      </c>
      <c r="AT501" s="43" t="str">
        <f aca="false">IF(OR(B501="",I501="",D501&lt;&gt;"Active"),"",IF(YEAR(DATE(YEAR(AsOf)+IF(DATE(YEAR(AsOf),MONTH(I501),DAY(I501))&lt;AsOf,1,0),MONTH(I501),DAY(I501)))-YEAR(I501)&lt;1,"",DATE(YEAR(AsOf)+IF(DATE(YEAR(AsOf),MONTH(I501),DAY(I501))&lt;AsOf,1,0),MONTH(I501),DAY(I501))-AsOf))</f>
        <v/>
      </c>
      <c r="AU501" s="43" t="str">
        <f aca="false">IF(B501="","",IF(AV501="",0,LEN(AV501)-LEN(SUBSTITUTE(AV501,";",""))))</f>
        <v/>
      </c>
      <c r="AV501" s="9" t="str">
        <f aca="false">IF(B501="","",IF(COUNTIF($B$6:$B$505,B501)&gt;1,"Duplicate Emp Code; ","")&amp;IF(C501="","Name missing; ","")&amp;IF(I501="","DOJ missing; ","")&amp;IF(AND(J501&lt;&gt;"",I501&lt;&gt;"",J501&lt;I501),"Exit before DOJ; ","")&amp;IF(Q501="","DOB missing; ","")&amp;IF(T501="","Aadhaar missing; ",IF(LEN(T501)&lt;&gt;12,"Aadhaar not 12 digits; ",IF(COUNTIF($T$6:$T$505,T501)&gt;1,"Duplicate Aadhaar; ","")))&amp;IF(U501="","PAN missing; ",IF(LEN(U501)&lt;&gt;10,"PAN not 10 chars; ",""))&amp;IF(V501="","Mobile missing; ",IF(LEN(V501)&lt;&gt;10,"Mobile not 10 digits; ",""))&amp;IF(AG501="","Bank A/c missing; ","")&amp;IF(AH501="","IFSC missing; ",IF(LEN(AH501)&lt;&gt;11,"IFSC not 11 chars; ","")))</f>
        <v/>
      </c>
      <c r="AW501" s="46" t="str">
        <f aca="false">IF(AS501="","",AS501+ROW()/100000)</f>
        <v/>
      </c>
      <c r="AX501" s="46" t="str">
        <f aca="false">IF(AT501="","",AT501+ROW()/100000)</f>
        <v/>
      </c>
    </row>
    <row r="502" customFormat="false" ht="15" hidden="false" customHeight="false" outlineLevel="0" collapsed="false">
      <c r="A502" s="9" t="str">
        <f aca="false">IF(B502="","",ROW()-5)</f>
        <v/>
      </c>
      <c r="B502" s="40"/>
      <c r="C502" s="8"/>
      <c r="D502" s="9" t="str">
        <f aca="false">IF(B502="","",IF(J502="","Active","Exited"))</f>
        <v/>
      </c>
      <c r="E502" s="8"/>
      <c r="F502" s="8"/>
      <c r="G502" s="8"/>
      <c r="H502" s="9" t="str">
        <f aca="false">IF(OR(B502="",I502=""),"",IF(IF(J502="",AsOf,J502)-I502&gt;=Settings!$C$13,"Permanent","Probation"))</f>
        <v/>
      </c>
      <c r="I502" s="41"/>
      <c r="J502" s="41"/>
      <c r="K502" s="8"/>
      <c r="L502" s="42" t="str">
        <f aca="false">IF(OR(B502="",I502=""),"",ROUND((IF(J502="",AsOf,J502)-I502)/365.25,1))</f>
        <v/>
      </c>
      <c r="M502" s="8"/>
      <c r="N502" s="8"/>
      <c r="O502" s="8"/>
      <c r="P502" s="8"/>
      <c r="Q502" s="41"/>
      <c r="R502" s="43" t="str">
        <f aca="false">IF(OR(B502="",Q502=""),"",INT((AsOf-Q502)/365.25))</f>
        <v/>
      </c>
      <c r="S502" s="8"/>
      <c r="T502" s="40"/>
      <c r="U502" s="40"/>
      <c r="V502" s="40"/>
      <c r="W502" s="40"/>
      <c r="X502" s="8"/>
      <c r="Y502" s="8"/>
      <c r="Z502" s="8"/>
      <c r="AA502" s="8"/>
      <c r="AB502" s="8"/>
      <c r="AC502" s="8"/>
      <c r="AD502" s="8"/>
      <c r="AE502" s="40"/>
      <c r="AF502" s="8"/>
      <c r="AG502" s="40"/>
      <c r="AH502" s="40"/>
      <c r="AI502" s="8"/>
      <c r="AJ502" s="40"/>
      <c r="AK502" s="40"/>
      <c r="AL502" s="40"/>
      <c r="AM502" s="44"/>
      <c r="AN502" s="44"/>
      <c r="AO502" s="41"/>
      <c r="AP502" s="45" t="str">
        <f aca="false">IF(B502="","",IF(AND(ISNUMBER(AM502),ISNUMBER(AN502),AM502&gt;0,AN502&gt;0),AN502/AM502-1,""))</f>
        <v/>
      </c>
      <c r="AQ502" s="9" t="str">
        <f aca="false">IF(I502="","",(YEAR(I502)-IF(MONTH(I502)&lt;4,1,0))&amp;"-"&amp;RIGHT((YEAR(I502)-IF(MONTH(I502)&lt;4,1,0))+1,2))</f>
        <v/>
      </c>
      <c r="AR502" s="9" t="str">
        <f aca="false">IF(J502="","",(YEAR(J502)-IF(MONTH(J502)&lt;4,1,0))&amp;"-"&amp;RIGHT((YEAR(J502)-IF(MONTH(J502)&lt;4,1,0))+1,2))</f>
        <v/>
      </c>
      <c r="AS502" s="43" t="str">
        <f aca="false">IF(OR(B502="",Q502="",D502&lt;&gt;"Active"),"",DATE(YEAR(AsOf)+IF(DATE(YEAR(AsOf),MONTH(Q502),DAY(Q502))&lt;AsOf,1,0),MONTH(Q502),DAY(Q502))-AsOf)</f>
        <v/>
      </c>
      <c r="AT502" s="43" t="str">
        <f aca="false">IF(OR(B502="",I502="",D502&lt;&gt;"Active"),"",IF(YEAR(DATE(YEAR(AsOf)+IF(DATE(YEAR(AsOf),MONTH(I502),DAY(I502))&lt;AsOf,1,0),MONTH(I502),DAY(I502)))-YEAR(I502)&lt;1,"",DATE(YEAR(AsOf)+IF(DATE(YEAR(AsOf),MONTH(I502),DAY(I502))&lt;AsOf,1,0),MONTH(I502),DAY(I502))-AsOf))</f>
        <v/>
      </c>
      <c r="AU502" s="43" t="str">
        <f aca="false">IF(B502="","",IF(AV502="",0,LEN(AV502)-LEN(SUBSTITUTE(AV502,";",""))))</f>
        <v/>
      </c>
      <c r="AV502" s="9" t="str">
        <f aca="false">IF(B502="","",IF(COUNTIF($B$6:$B$505,B502)&gt;1,"Duplicate Emp Code; ","")&amp;IF(C502="","Name missing; ","")&amp;IF(I502="","DOJ missing; ","")&amp;IF(AND(J502&lt;&gt;"",I502&lt;&gt;"",J502&lt;I502),"Exit before DOJ; ","")&amp;IF(Q502="","DOB missing; ","")&amp;IF(T502="","Aadhaar missing; ",IF(LEN(T502)&lt;&gt;12,"Aadhaar not 12 digits; ",IF(COUNTIF($T$6:$T$505,T502)&gt;1,"Duplicate Aadhaar; ","")))&amp;IF(U502="","PAN missing; ",IF(LEN(U502)&lt;&gt;10,"PAN not 10 chars; ",""))&amp;IF(V502="","Mobile missing; ",IF(LEN(V502)&lt;&gt;10,"Mobile not 10 digits; ",""))&amp;IF(AG502="","Bank A/c missing; ","")&amp;IF(AH502="","IFSC missing; ",IF(LEN(AH502)&lt;&gt;11,"IFSC not 11 chars; ","")))</f>
        <v/>
      </c>
      <c r="AW502" s="46" t="str">
        <f aca="false">IF(AS502="","",AS502+ROW()/100000)</f>
        <v/>
      </c>
      <c r="AX502" s="46" t="str">
        <f aca="false">IF(AT502="","",AT502+ROW()/100000)</f>
        <v/>
      </c>
    </row>
    <row r="503" customFormat="false" ht="15" hidden="false" customHeight="false" outlineLevel="0" collapsed="false">
      <c r="A503" s="9" t="str">
        <f aca="false">IF(B503="","",ROW()-5)</f>
        <v/>
      </c>
      <c r="B503" s="40"/>
      <c r="C503" s="8"/>
      <c r="D503" s="9" t="str">
        <f aca="false">IF(B503="","",IF(J503="","Active","Exited"))</f>
        <v/>
      </c>
      <c r="E503" s="8"/>
      <c r="F503" s="8"/>
      <c r="G503" s="8"/>
      <c r="H503" s="9" t="str">
        <f aca="false">IF(OR(B503="",I503=""),"",IF(IF(J503="",AsOf,J503)-I503&gt;=Settings!$C$13,"Permanent","Probation"))</f>
        <v/>
      </c>
      <c r="I503" s="41"/>
      <c r="J503" s="41"/>
      <c r="K503" s="8"/>
      <c r="L503" s="42" t="str">
        <f aca="false">IF(OR(B503="",I503=""),"",ROUND((IF(J503="",AsOf,J503)-I503)/365.25,1))</f>
        <v/>
      </c>
      <c r="M503" s="8"/>
      <c r="N503" s="8"/>
      <c r="O503" s="8"/>
      <c r="P503" s="8"/>
      <c r="Q503" s="41"/>
      <c r="R503" s="43" t="str">
        <f aca="false">IF(OR(B503="",Q503=""),"",INT((AsOf-Q503)/365.25))</f>
        <v/>
      </c>
      <c r="S503" s="8"/>
      <c r="T503" s="40"/>
      <c r="U503" s="40"/>
      <c r="V503" s="40"/>
      <c r="W503" s="40"/>
      <c r="X503" s="8"/>
      <c r="Y503" s="8"/>
      <c r="Z503" s="8"/>
      <c r="AA503" s="8"/>
      <c r="AB503" s="8"/>
      <c r="AC503" s="8"/>
      <c r="AD503" s="8"/>
      <c r="AE503" s="40"/>
      <c r="AF503" s="8"/>
      <c r="AG503" s="40"/>
      <c r="AH503" s="40"/>
      <c r="AI503" s="8"/>
      <c r="AJ503" s="40"/>
      <c r="AK503" s="40"/>
      <c r="AL503" s="40"/>
      <c r="AM503" s="44"/>
      <c r="AN503" s="44"/>
      <c r="AO503" s="41"/>
      <c r="AP503" s="45" t="str">
        <f aca="false">IF(B503="","",IF(AND(ISNUMBER(AM503),ISNUMBER(AN503),AM503&gt;0,AN503&gt;0),AN503/AM503-1,""))</f>
        <v/>
      </c>
      <c r="AQ503" s="9" t="str">
        <f aca="false">IF(I503="","",(YEAR(I503)-IF(MONTH(I503)&lt;4,1,0))&amp;"-"&amp;RIGHT((YEAR(I503)-IF(MONTH(I503)&lt;4,1,0))+1,2))</f>
        <v/>
      </c>
      <c r="AR503" s="9" t="str">
        <f aca="false">IF(J503="","",(YEAR(J503)-IF(MONTH(J503)&lt;4,1,0))&amp;"-"&amp;RIGHT((YEAR(J503)-IF(MONTH(J503)&lt;4,1,0))+1,2))</f>
        <v/>
      </c>
      <c r="AS503" s="43" t="str">
        <f aca="false">IF(OR(B503="",Q503="",D503&lt;&gt;"Active"),"",DATE(YEAR(AsOf)+IF(DATE(YEAR(AsOf),MONTH(Q503),DAY(Q503))&lt;AsOf,1,0),MONTH(Q503),DAY(Q503))-AsOf)</f>
        <v/>
      </c>
      <c r="AT503" s="43" t="str">
        <f aca="false">IF(OR(B503="",I503="",D503&lt;&gt;"Active"),"",IF(YEAR(DATE(YEAR(AsOf)+IF(DATE(YEAR(AsOf),MONTH(I503),DAY(I503))&lt;AsOf,1,0),MONTH(I503),DAY(I503)))-YEAR(I503)&lt;1,"",DATE(YEAR(AsOf)+IF(DATE(YEAR(AsOf),MONTH(I503),DAY(I503))&lt;AsOf,1,0),MONTH(I503),DAY(I503))-AsOf))</f>
        <v/>
      </c>
      <c r="AU503" s="43" t="str">
        <f aca="false">IF(B503="","",IF(AV503="",0,LEN(AV503)-LEN(SUBSTITUTE(AV503,";",""))))</f>
        <v/>
      </c>
      <c r="AV503" s="9" t="str">
        <f aca="false">IF(B503="","",IF(COUNTIF($B$6:$B$505,B503)&gt;1,"Duplicate Emp Code; ","")&amp;IF(C503="","Name missing; ","")&amp;IF(I503="","DOJ missing; ","")&amp;IF(AND(J503&lt;&gt;"",I503&lt;&gt;"",J503&lt;I503),"Exit before DOJ; ","")&amp;IF(Q503="","DOB missing; ","")&amp;IF(T503="","Aadhaar missing; ",IF(LEN(T503)&lt;&gt;12,"Aadhaar not 12 digits; ",IF(COUNTIF($T$6:$T$505,T503)&gt;1,"Duplicate Aadhaar; ","")))&amp;IF(U503="","PAN missing; ",IF(LEN(U503)&lt;&gt;10,"PAN not 10 chars; ",""))&amp;IF(V503="","Mobile missing; ",IF(LEN(V503)&lt;&gt;10,"Mobile not 10 digits; ",""))&amp;IF(AG503="","Bank A/c missing; ","")&amp;IF(AH503="","IFSC missing; ",IF(LEN(AH503)&lt;&gt;11,"IFSC not 11 chars; ","")))</f>
        <v/>
      </c>
      <c r="AW503" s="46" t="str">
        <f aca="false">IF(AS503="","",AS503+ROW()/100000)</f>
        <v/>
      </c>
      <c r="AX503" s="46" t="str">
        <f aca="false">IF(AT503="","",AT503+ROW()/100000)</f>
        <v/>
      </c>
    </row>
    <row r="504" customFormat="false" ht="15" hidden="false" customHeight="false" outlineLevel="0" collapsed="false">
      <c r="A504" s="9" t="str">
        <f aca="false">IF(B504="","",ROW()-5)</f>
        <v/>
      </c>
      <c r="B504" s="40"/>
      <c r="C504" s="8"/>
      <c r="D504" s="9" t="str">
        <f aca="false">IF(B504="","",IF(J504="","Active","Exited"))</f>
        <v/>
      </c>
      <c r="E504" s="8"/>
      <c r="F504" s="8"/>
      <c r="G504" s="8"/>
      <c r="H504" s="9" t="str">
        <f aca="false">IF(OR(B504="",I504=""),"",IF(IF(J504="",AsOf,J504)-I504&gt;=Settings!$C$13,"Permanent","Probation"))</f>
        <v/>
      </c>
      <c r="I504" s="41"/>
      <c r="J504" s="41"/>
      <c r="K504" s="8"/>
      <c r="L504" s="42" t="str">
        <f aca="false">IF(OR(B504="",I504=""),"",ROUND((IF(J504="",AsOf,J504)-I504)/365.25,1))</f>
        <v/>
      </c>
      <c r="M504" s="8"/>
      <c r="N504" s="8"/>
      <c r="O504" s="8"/>
      <c r="P504" s="8"/>
      <c r="Q504" s="41"/>
      <c r="R504" s="43" t="str">
        <f aca="false">IF(OR(B504="",Q504=""),"",INT((AsOf-Q504)/365.25))</f>
        <v/>
      </c>
      <c r="S504" s="8"/>
      <c r="T504" s="40"/>
      <c r="U504" s="40"/>
      <c r="V504" s="40"/>
      <c r="W504" s="40"/>
      <c r="X504" s="8"/>
      <c r="Y504" s="8"/>
      <c r="Z504" s="8"/>
      <c r="AA504" s="8"/>
      <c r="AB504" s="8"/>
      <c r="AC504" s="8"/>
      <c r="AD504" s="8"/>
      <c r="AE504" s="40"/>
      <c r="AF504" s="8"/>
      <c r="AG504" s="40"/>
      <c r="AH504" s="40"/>
      <c r="AI504" s="8"/>
      <c r="AJ504" s="40"/>
      <c r="AK504" s="40"/>
      <c r="AL504" s="40"/>
      <c r="AM504" s="44"/>
      <c r="AN504" s="44"/>
      <c r="AO504" s="41"/>
      <c r="AP504" s="45" t="str">
        <f aca="false">IF(B504="","",IF(AND(ISNUMBER(AM504),ISNUMBER(AN504),AM504&gt;0,AN504&gt;0),AN504/AM504-1,""))</f>
        <v/>
      </c>
      <c r="AQ504" s="9" t="str">
        <f aca="false">IF(I504="","",(YEAR(I504)-IF(MONTH(I504)&lt;4,1,0))&amp;"-"&amp;RIGHT((YEAR(I504)-IF(MONTH(I504)&lt;4,1,0))+1,2))</f>
        <v/>
      </c>
      <c r="AR504" s="9" t="str">
        <f aca="false">IF(J504="","",(YEAR(J504)-IF(MONTH(J504)&lt;4,1,0))&amp;"-"&amp;RIGHT((YEAR(J504)-IF(MONTH(J504)&lt;4,1,0))+1,2))</f>
        <v/>
      </c>
      <c r="AS504" s="43" t="str">
        <f aca="false">IF(OR(B504="",Q504="",D504&lt;&gt;"Active"),"",DATE(YEAR(AsOf)+IF(DATE(YEAR(AsOf),MONTH(Q504),DAY(Q504))&lt;AsOf,1,0),MONTH(Q504),DAY(Q504))-AsOf)</f>
        <v/>
      </c>
      <c r="AT504" s="43" t="str">
        <f aca="false">IF(OR(B504="",I504="",D504&lt;&gt;"Active"),"",IF(YEAR(DATE(YEAR(AsOf)+IF(DATE(YEAR(AsOf),MONTH(I504),DAY(I504))&lt;AsOf,1,0),MONTH(I504),DAY(I504)))-YEAR(I504)&lt;1,"",DATE(YEAR(AsOf)+IF(DATE(YEAR(AsOf),MONTH(I504),DAY(I504))&lt;AsOf,1,0),MONTH(I504),DAY(I504))-AsOf))</f>
        <v/>
      </c>
      <c r="AU504" s="43" t="str">
        <f aca="false">IF(B504="","",IF(AV504="",0,LEN(AV504)-LEN(SUBSTITUTE(AV504,";",""))))</f>
        <v/>
      </c>
      <c r="AV504" s="9" t="str">
        <f aca="false">IF(B504="","",IF(COUNTIF($B$6:$B$505,B504)&gt;1,"Duplicate Emp Code; ","")&amp;IF(C504="","Name missing; ","")&amp;IF(I504="","DOJ missing; ","")&amp;IF(AND(J504&lt;&gt;"",I504&lt;&gt;"",J504&lt;I504),"Exit before DOJ; ","")&amp;IF(Q504="","DOB missing; ","")&amp;IF(T504="","Aadhaar missing; ",IF(LEN(T504)&lt;&gt;12,"Aadhaar not 12 digits; ",IF(COUNTIF($T$6:$T$505,T504)&gt;1,"Duplicate Aadhaar; ","")))&amp;IF(U504="","PAN missing; ",IF(LEN(U504)&lt;&gt;10,"PAN not 10 chars; ",""))&amp;IF(V504="","Mobile missing; ",IF(LEN(V504)&lt;&gt;10,"Mobile not 10 digits; ",""))&amp;IF(AG504="","Bank A/c missing; ","")&amp;IF(AH504="","IFSC missing; ",IF(LEN(AH504)&lt;&gt;11,"IFSC not 11 chars; ","")))</f>
        <v/>
      </c>
      <c r="AW504" s="46" t="str">
        <f aca="false">IF(AS504="","",AS504+ROW()/100000)</f>
        <v/>
      </c>
      <c r="AX504" s="46" t="str">
        <f aca="false">IF(AT504="","",AT504+ROW()/100000)</f>
        <v/>
      </c>
    </row>
    <row r="505" customFormat="false" ht="15" hidden="false" customHeight="false" outlineLevel="0" collapsed="false">
      <c r="A505" s="9" t="str">
        <f aca="false">IF(B505="","",ROW()-5)</f>
        <v/>
      </c>
      <c r="B505" s="40"/>
      <c r="C505" s="8"/>
      <c r="D505" s="9" t="str">
        <f aca="false">IF(B505="","",IF(J505="","Active","Exited"))</f>
        <v/>
      </c>
      <c r="E505" s="8"/>
      <c r="F505" s="8"/>
      <c r="G505" s="8"/>
      <c r="H505" s="9" t="str">
        <f aca="false">IF(OR(B505="",I505=""),"",IF(IF(J505="",AsOf,J505)-I505&gt;=Settings!$C$13,"Permanent","Probation"))</f>
        <v/>
      </c>
      <c r="I505" s="41"/>
      <c r="J505" s="41"/>
      <c r="K505" s="8"/>
      <c r="L505" s="42" t="str">
        <f aca="false">IF(OR(B505="",I505=""),"",ROUND((IF(J505="",AsOf,J505)-I505)/365.25,1))</f>
        <v/>
      </c>
      <c r="M505" s="8"/>
      <c r="N505" s="8"/>
      <c r="O505" s="8"/>
      <c r="P505" s="8"/>
      <c r="Q505" s="41"/>
      <c r="R505" s="43" t="str">
        <f aca="false">IF(OR(B505="",Q505=""),"",INT((AsOf-Q505)/365.25))</f>
        <v/>
      </c>
      <c r="S505" s="8"/>
      <c r="T505" s="40"/>
      <c r="U505" s="40"/>
      <c r="V505" s="40"/>
      <c r="W505" s="40"/>
      <c r="X505" s="8"/>
      <c r="Y505" s="8"/>
      <c r="Z505" s="8"/>
      <c r="AA505" s="8"/>
      <c r="AB505" s="8"/>
      <c r="AC505" s="8"/>
      <c r="AD505" s="8"/>
      <c r="AE505" s="40"/>
      <c r="AF505" s="8"/>
      <c r="AG505" s="40"/>
      <c r="AH505" s="40"/>
      <c r="AI505" s="8"/>
      <c r="AJ505" s="40"/>
      <c r="AK505" s="40"/>
      <c r="AL505" s="40"/>
      <c r="AM505" s="44"/>
      <c r="AN505" s="44"/>
      <c r="AO505" s="41"/>
      <c r="AP505" s="45" t="str">
        <f aca="false">IF(B505="","",IF(AND(ISNUMBER(AM505),ISNUMBER(AN505),AM505&gt;0,AN505&gt;0),AN505/AM505-1,""))</f>
        <v/>
      </c>
      <c r="AQ505" s="9" t="str">
        <f aca="false">IF(I505="","",(YEAR(I505)-IF(MONTH(I505)&lt;4,1,0))&amp;"-"&amp;RIGHT((YEAR(I505)-IF(MONTH(I505)&lt;4,1,0))+1,2))</f>
        <v/>
      </c>
      <c r="AR505" s="9" t="str">
        <f aca="false">IF(J505="","",(YEAR(J505)-IF(MONTH(J505)&lt;4,1,0))&amp;"-"&amp;RIGHT((YEAR(J505)-IF(MONTH(J505)&lt;4,1,0))+1,2))</f>
        <v/>
      </c>
      <c r="AS505" s="43" t="str">
        <f aca="false">IF(OR(B505="",Q505="",D505&lt;&gt;"Active"),"",DATE(YEAR(AsOf)+IF(DATE(YEAR(AsOf),MONTH(Q505),DAY(Q505))&lt;AsOf,1,0),MONTH(Q505),DAY(Q505))-AsOf)</f>
        <v/>
      </c>
      <c r="AT505" s="43" t="str">
        <f aca="false">IF(OR(B505="",I505="",D505&lt;&gt;"Active"),"",IF(YEAR(DATE(YEAR(AsOf)+IF(DATE(YEAR(AsOf),MONTH(I505),DAY(I505))&lt;AsOf,1,0),MONTH(I505),DAY(I505)))-YEAR(I505)&lt;1,"",DATE(YEAR(AsOf)+IF(DATE(YEAR(AsOf),MONTH(I505),DAY(I505))&lt;AsOf,1,0),MONTH(I505),DAY(I505))-AsOf))</f>
        <v/>
      </c>
      <c r="AU505" s="43" t="str">
        <f aca="false">IF(B505="","",IF(AV505="",0,LEN(AV505)-LEN(SUBSTITUTE(AV505,";",""))))</f>
        <v/>
      </c>
      <c r="AV505" s="9" t="str">
        <f aca="false">IF(B505="","",IF(COUNTIF($B$6:$B$505,B505)&gt;1,"Duplicate Emp Code; ","")&amp;IF(C505="","Name missing; ","")&amp;IF(I505="","DOJ missing; ","")&amp;IF(AND(J505&lt;&gt;"",I505&lt;&gt;"",J505&lt;I505),"Exit before DOJ; ","")&amp;IF(Q505="","DOB missing; ","")&amp;IF(T505="","Aadhaar missing; ",IF(LEN(T505)&lt;&gt;12,"Aadhaar not 12 digits; ",IF(COUNTIF($T$6:$T$505,T505)&gt;1,"Duplicate Aadhaar; ","")))&amp;IF(U505="","PAN missing; ",IF(LEN(U505)&lt;&gt;10,"PAN not 10 chars; ",""))&amp;IF(V505="","Mobile missing; ",IF(LEN(V505)&lt;&gt;10,"Mobile not 10 digits; ",""))&amp;IF(AG505="","Bank A/c missing; ","")&amp;IF(AH505="","IFSC missing; ",IF(LEN(AH505)&lt;&gt;11,"IFSC not 11 chars; ","")))</f>
        <v/>
      </c>
      <c r="AW505" s="46" t="str">
        <f aca="false">IF(AS505="","",AS505+ROW()/100000)</f>
        <v/>
      </c>
      <c r="AX505" s="46" t="str">
        <f aca="false">IF(AT505="","",AT505+ROW()/100000)</f>
        <v/>
      </c>
    </row>
  </sheetData>
  <autoFilter ref="A5:AX505"/>
  <mergeCells count="8">
    <mergeCell ref="A4:M4"/>
    <mergeCell ref="N4:U4"/>
    <mergeCell ref="V4:Y4"/>
    <mergeCell ref="Z4:AE4"/>
    <mergeCell ref="AF4:AL4"/>
    <mergeCell ref="AM4:AP4"/>
    <mergeCell ref="AQ4:AV4"/>
    <mergeCell ref="AW4:AX4"/>
  </mergeCells>
  <conditionalFormatting sqref="A6:AX505">
    <cfRule type="expression" priority="2" aboveAverage="0" equalAverage="0" bottom="0" percent="0" rank="0" text="" dxfId="5">
      <formula>$D6="Exited"</formula>
    </cfRule>
  </conditionalFormatting>
  <conditionalFormatting sqref="T6:T505">
    <cfRule type="expression" priority="3" aboveAverage="0" equalAverage="0" bottom="0" percent="0" rank="0" text="" dxfId="6">
      <formula>AND($D6="Active",T6="")</formula>
    </cfRule>
  </conditionalFormatting>
  <conditionalFormatting sqref="U6:U505">
    <cfRule type="expression" priority="4" aboveAverage="0" equalAverage="0" bottom="0" percent="0" rank="0" text="" dxfId="6">
      <formula>AND($D6="Active",U6="")</formula>
    </cfRule>
  </conditionalFormatting>
  <conditionalFormatting sqref="V6:V505">
    <cfRule type="expression" priority="5" aboveAverage="0" equalAverage="0" bottom="0" percent="0" rank="0" text="" dxfId="6">
      <formula>AND($D6="Active",V6="")</formula>
    </cfRule>
  </conditionalFormatting>
  <conditionalFormatting sqref="AG6:AG505">
    <cfRule type="expression" priority="6" aboveAverage="0" equalAverage="0" bottom="0" percent="0" rank="0" text="" dxfId="6">
      <formula>AND($D6="Active",AG6="")</formula>
    </cfRule>
  </conditionalFormatting>
  <conditionalFormatting sqref="AH6:AH505">
    <cfRule type="expression" priority="7" aboveAverage="0" equalAverage="0" bottom="0" percent="0" rank="0" text="" dxfId="6">
      <formula>AND($D6="Active",AH6="")</formula>
    </cfRule>
  </conditionalFormatting>
  <conditionalFormatting sqref="B6:B505">
    <cfRule type="expression" priority="8" aboveAverage="0" equalAverage="0" bottom="0" percent="0" rank="0" text="" dxfId="7">
      <formula>AND(B6&lt;&gt;"",COUNTIF($B$6:$B$505,B6)&gt;1)</formula>
    </cfRule>
  </conditionalFormatting>
  <conditionalFormatting sqref="AU6:AV505">
    <cfRule type="expression" priority="9" aboveAverage="0" equalAverage="0" bottom="0" percent="0" rank="0" text="" dxfId="8">
      <formula>AND(ISNUMBER($AU6),$AU6&gt;0)</formula>
    </cfRule>
  </conditionalFormatting>
  <conditionalFormatting sqref="D6:D505">
    <cfRule type="expression" priority="10" aboveAverage="0" equalAverage="0" bottom="0" percent="0" rank="0" text="" dxfId="9">
      <formula>$D6="Active"</formula>
    </cfRule>
  </conditionalFormatting>
  <dataValidations count="10">
    <dataValidation allowBlank="true" errorStyle="warning" operator="between" showDropDown="false" showErrorMessage="false" showInputMessage="false" sqref="E6:E505" type="list">
      <formula1>Lists!$C$5:$C$44</formula1>
      <formula2>0</formula2>
    </dataValidation>
    <dataValidation allowBlank="true" errorStyle="warning" operator="between" showDropDown="false" showErrorMessage="false" showInputMessage="false" sqref="F6:F505" type="list">
      <formula1>Lists!$A$5:$A$16</formula1>
      <formula2>0</formula2>
    </dataValidation>
    <dataValidation allowBlank="true" errorStyle="warning" operator="between" showDropDown="false" showErrorMessage="false" showInputMessage="false" sqref="G6:G505" type="list">
      <formula1>Lists!$B$5:$B$14</formula1>
      <formula2>0</formula2>
    </dataValidation>
    <dataValidation allowBlank="true" errorStyle="warning" operator="between" showDropDown="false" showErrorMessage="false" showInputMessage="false" sqref="K6:K505" type="list">
      <formula1>Lists!$H$5:$H$14</formula1>
      <formula2>0</formula2>
    </dataValidation>
    <dataValidation allowBlank="true" errorStyle="warning" operator="between" showDropDown="false" showErrorMessage="false" showInputMessage="false" sqref="O6:O505" type="list">
      <formula1>Lists!$D$5:$D$7</formula1>
      <formula2>0</formula2>
    </dataValidation>
    <dataValidation allowBlank="true" errorStyle="warning" operator="between" showDropDown="false" showErrorMessage="false" showInputMessage="false" sqref="P6:P505" type="list">
      <formula1>Lists!$E$5:$E$8</formula1>
      <formula2>0</formula2>
    </dataValidation>
    <dataValidation allowBlank="true" errorStyle="warning" operator="between" showDropDown="false" showErrorMessage="false" showInputMessage="false" sqref="S6:S505" type="list">
      <formula1>Lists!$F$5:$F$12</formula1>
      <formula2>0</formula2>
    </dataValidation>
    <dataValidation allowBlank="true" errorStyle="warning" operator="between" showDropDown="false" showErrorMessage="false" showInputMessage="false" sqref="AD6:AD505" type="list">
      <formula1>Lists!$I$5:$I$44</formula1>
      <formula2>0</formula2>
    </dataValidation>
    <dataValidation allowBlank="true" errorStyle="warning" operator="between" showDropDown="false" showErrorMessage="false" showInputMessage="false" sqref="AF6:AF505" type="list">
      <formula1>Lists!$J$5:$J$54</formula1>
      <formula2>0</formula2>
    </dataValidation>
    <dataValidation allowBlank="true" error="Enter a valid date, e.g. 15-Aug-2024" errorStyle="stop" errorTitle="Date needed" operator="greaterThan" showDropDown="false" showErrorMessage="true" showInputMessage="false" sqref="I6:J505 Q6:Q505 AO6:AO505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K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11" min="9" style="0" width="11"/>
    <col collapsed="false" customWidth="true" hidden="false" outlineLevel="0" max="12" min="12" style="0" width="2"/>
  </cols>
  <sheetData>
    <row r="1" customFormat="false" ht="19.7" hidden="false" customHeight="false" outlineLevel="0" collapsed="false">
      <c r="B1" s="29" t="s">
        <v>163</v>
      </c>
    </row>
    <row r="2" customFormat="false" ht="15" hidden="false" customHeight="false" outlineLevel="0" collapsed="false">
      <c r="H2" s="25" t="s">
        <v>164</v>
      </c>
    </row>
    <row r="3" customFormat="false" ht="15" hidden="false" customHeight="false" outlineLevel="0" collapsed="false">
      <c r="B3" s="30" t="s">
        <v>165</v>
      </c>
      <c r="C3" s="47"/>
      <c r="E3" s="25" t="s">
        <v>166</v>
      </c>
      <c r="H3" s="25" t="str">
        <f aca="false">IFERROR(MATCH(C3,M_emp,0),"")</f>
        <v/>
      </c>
    </row>
    <row r="5" customFormat="false" ht="22.05" hidden="false" customHeight="false" outlineLevel="0" collapsed="false">
      <c r="B5" s="48" t="str">
        <f aca="false">IF($H$3="","",INDEX(M_name,$H$3))</f>
        <v/>
      </c>
      <c r="C5" s="48"/>
      <c r="D5" s="48"/>
      <c r="E5" s="48"/>
      <c r="F5" s="48"/>
    </row>
    <row r="6" customFormat="false" ht="15" hidden="false" customHeight="false" outlineLevel="0" collapsed="false">
      <c r="B6" s="49" t="str">
        <f aca="false">IF($H$3="","",INDEX(M_pos,$H$3)&amp;"  |  "&amp;INDEX(M_dept,$H$3)&amp;"  |  "&amp;INDEX(M_loc,$H$3)&amp;"  |  "&amp;INDEX(M_status,$H$3))</f>
        <v/>
      </c>
      <c r="C6" s="49"/>
      <c r="D6" s="49"/>
      <c r="E6" s="49"/>
      <c r="F6" s="49"/>
    </row>
    <row r="8" customFormat="false" ht="15" hidden="false" customHeight="false" outlineLevel="0" collapsed="false">
      <c r="B8" s="50" t="s">
        <v>167</v>
      </c>
      <c r="C8" s="51"/>
      <c r="E8" s="50" t="s">
        <v>110</v>
      </c>
      <c r="F8" s="52"/>
      <c r="H8" s="3" t="s">
        <v>168</v>
      </c>
      <c r="I8" s="3"/>
      <c r="J8" s="3"/>
      <c r="K8" s="3"/>
    </row>
    <row r="9" customFormat="false" ht="15" hidden="false" customHeight="false" outlineLevel="0" collapsed="false">
      <c r="B9" s="22" t="s">
        <v>117</v>
      </c>
      <c r="C9" s="53" t="str">
        <f aca="false">IF($H$3="","",IFERROR(IF(INDEX(M_emp,$H$3)="","",INDEX(M_emp,$H$3)),""))</f>
        <v/>
      </c>
      <c r="E9" s="22" t="s">
        <v>134</v>
      </c>
      <c r="F9" s="54" t="str">
        <f aca="false">IF($H$3="","",IFERROR(IF(INDEX(M_mobile,$H$3)="","",INDEX(M_mobile,$H$3)),""))</f>
        <v/>
      </c>
      <c r="H9" s="22" t="s">
        <v>152</v>
      </c>
      <c r="I9" s="55" t="str">
        <f aca="false">IF($H$3="","",IFERROR(IF(INDEX(M_sal,$H$3)="","",INDEX(M_sal,$H$3)),""))</f>
        <v/>
      </c>
      <c r="J9" s="55"/>
      <c r="K9" s="55"/>
    </row>
    <row r="10" customFormat="false" ht="15" hidden="false" customHeight="false" outlineLevel="0" collapsed="false">
      <c r="B10" s="22" t="s">
        <v>120</v>
      </c>
      <c r="C10" s="53" t="str">
        <f aca="false">IF($H$3="","",IFERROR(IF(INDEX(M_pos,$H$3)="","",INDEX(M_pos,$H$3)),""))</f>
        <v/>
      </c>
      <c r="E10" s="22" t="s">
        <v>135</v>
      </c>
      <c r="F10" s="54" t="str">
        <f aca="false">IF($H$3="","",IFERROR(IF(INDEX(M_emerg,$H$3)="","",INDEX(M_emerg,$H$3)),""))</f>
        <v/>
      </c>
      <c r="H10" s="22" t="s">
        <v>151</v>
      </c>
      <c r="I10" s="55" t="str">
        <f aca="false">IF($H$3="","",IFERROR(IF(INDEX(M_prevsal,$H$3)="","",INDEX(M_prevsal,$H$3)),""))</f>
        <v/>
      </c>
      <c r="J10" s="55"/>
      <c r="K10" s="55"/>
    </row>
    <row r="11" customFormat="false" ht="15" hidden="false" customHeight="false" outlineLevel="0" collapsed="false">
      <c r="B11" s="22" t="s">
        <v>67</v>
      </c>
      <c r="C11" s="53" t="str">
        <f aca="false">IF($H$3="","",IFERROR(IF(INDEX(M_dept,$H$3)="","",INDEX(M_dept,$H$3)),""))</f>
        <v/>
      </c>
      <c r="E11" s="22" t="s">
        <v>136</v>
      </c>
      <c r="F11" s="53" t="str">
        <f aca="false">IF($H$3="","",IFERROR(IF(INDEX(M_pemail,$H$3)="","",INDEX(M_pemail,$H$3)),""))</f>
        <v/>
      </c>
      <c r="H11" s="22" t="s">
        <v>169</v>
      </c>
      <c r="I11" s="28" t="str">
        <f aca="false">IF($H$3="","",IFERROR(IF(INDEX(M_revdate,$H$3)="","",INDEX(M_revdate,$H$3)),""))</f>
        <v/>
      </c>
      <c r="J11" s="28"/>
      <c r="K11" s="28"/>
    </row>
    <row r="12" customFormat="false" ht="15" hidden="false" customHeight="false" outlineLevel="0" collapsed="false">
      <c r="B12" s="22" t="s">
        <v>73</v>
      </c>
      <c r="C12" s="53" t="str">
        <f aca="false">IF($H$3="","",IFERROR(IF(INDEX(M_loc,$H$3)="","",INDEX(M_loc,$H$3)),""))</f>
        <v/>
      </c>
      <c r="E12" s="22" t="s">
        <v>137</v>
      </c>
      <c r="F12" s="53" t="str">
        <f aca="false">IF($H$3="","",IFERROR(IF(INDEX(M_cemail,$H$3)="","",INDEX(M_cemail,$H$3)),""))</f>
        <v/>
      </c>
      <c r="H12" s="22" t="s">
        <v>154</v>
      </c>
      <c r="I12" s="20" t="str">
        <f aca="false">IF($H$3="","",IFERROR(IF(INDEX(M_hike,$H$3)="","",INDEX(M_hike,$H$3)),""))</f>
        <v/>
      </c>
      <c r="J12" s="20"/>
      <c r="K12" s="20"/>
    </row>
    <row r="13" customFormat="false" ht="15" hidden="false" customHeight="false" outlineLevel="0" collapsed="false">
      <c r="B13" s="22" t="s">
        <v>20</v>
      </c>
      <c r="C13" s="53" t="str">
        <f aca="false">IF($H$3="","",IFERROR(IF(INDEX(M_type,$H$3)="","",INDEX(M_type,$H$3)),""))</f>
        <v/>
      </c>
    </row>
    <row r="14" customFormat="false" ht="15" hidden="false" customHeight="false" outlineLevel="0" collapsed="false">
      <c r="B14" s="22" t="s">
        <v>119</v>
      </c>
      <c r="C14" s="53" t="str">
        <f aca="false">IF($H$3="","",IFERROR(IF(INDEX(M_status,$H$3)="","",INDEX(M_status,$H$3)),""))</f>
        <v/>
      </c>
      <c r="E14" s="50" t="s">
        <v>111</v>
      </c>
      <c r="F14" s="56"/>
    </row>
    <row r="15" customFormat="false" ht="15" hidden="false" customHeight="false" outlineLevel="0" collapsed="false">
      <c r="B15" s="22" t="s">
        <v>170</v>
      </c>
      <c r="C15" s="57" t="str">
        <f aca="false">IF($H$3="","",IFERROR(IF(INDEX(M_doj,$H$3)="","",INDEX(M_doj,$H$3)),""))</f>
        <v/>
      </c>
      <c r="E15" s="22" t="s">
        <v>138</v>
      </c>
      <c r="F15" s="53" t="str">
        <f aca="false">IF($H$3="","",IFERROR(IF(INDEX(M_addr0,$H$3)="","",INDEX(M_addr0,$H$3)),""))</f>
        <v/>
      </c>
    </row>
    <row r="16" customFormat="false" ht="15" hidden="false" customHeight="false" outlineLevel="0" collapsed="false">
      <c r="B16" s="22" t="s">
        <v>123</v>
      </c>
      <c r="C16" s="57" t="str">
        <f aca="false">IF($H$3="","",IFERROR(IF(INDEX(M_exit,$H$3)="","",INDEX(M_exit,$H$3)),""))</f>
        <v/>
      </c>
      <c r="E16" s="22" t="s">
        <v>139</v>
      </c>
      <c r="F16" s="53" t="str">
        <f aca="false">IF($H$3="","",IFERROR(IF(INDEX(M_addr1,$H$3)="","",INDEX(M_addr1,$H$3)),""))</f>
        <v/>
      </c>
    </row>
    <row r="17" customFormat="false" ht="15" hidden="false" customHeight="false" outlineLevel="0" collapsed="false">
      <c r="B17" s="22" t="s">
        <v>124</v>
      </c>
      <c r="C17" s="53" t="str">
        <f aca="false">IF($H$3="","",IFERROR(IF(INDEX(M_exitreason,$H$3)="","",INDEX(M_exitreason,$H$3)),""))</f>
        <v/>
      </c>
      <c r="E17" s="22" t="s">
        <v>140</v>
      </c>
      <c r="F17" s="53" t="str">
        <f aca="false">IF($H$3="","",IFERROR(IF(INDEX(M_addr2,$H$3)="","",INDEX(M_addr2,$H$3)),""))</f>
        <v/>
      </c>
    </row>
    <row r="18" customFormat="false" ht="15" hidden="false" customHeight="false" outlineLevel="0" collapsed="false">
      <c r="B18" s="22" t="s">
        <v>171</v>
      </c>
      <c r="C18" s="58" t="str">
        <f aca="false">IF($H$3="","",IFERROR(IF(INDEX(M_ten,$H$3)="","",INDEX(M_ten,$H$3)),""))</f>
        <v/>
      </c>
      <c r="E18" s="22" t="s">
        <v>141</v>
      </c>
      <c r="F18" s="53" t="str">
        <f aca="false">IF($H$3="","",IFERROR(IF(INDEX(M_city,$H$3)="","",INDEX(M_city,$H$3)),""))</f>
        <v/>
      </c>
    </row>
    <row r="19" customFormat="false" ht="15" hidden="false" customHeight="false" outlineLevel="0" collapsed="false">
      <c r="B19" s="22" t="s">
        <v>126</v>
      </c>
      <c r="C19" s="53" t="str">
        <f aca="false">IF($H$3="","",IFERROR(IF(INDEX(M_report,$H$3)="","",INDEX(M_report,$H$3)),""))</f>
        <v/>
      </c>
      <c r="E19" s="22" t="s">
        <v>142</v>
      </c>
      <c r="F19" s="53" t="str">
        <f aca="false">IF($H$3="","",IFERROR(IF(INDEX(M_state,$H$3)="","",INDEX(M_state,$H$3)),""))</f>
        <v/>
      </c>
    </row>
    <row r="20" customFormat="false" ht="15" hidden="false" customHeight="false" outlineLevel="0" collapsed="false">
      <c r="E20" s="22" t="s">
        <v>143</v>
      </c>
      <c r="F20" s="54" t="str">
        <f aca="false">IF($H$3="","",IFERROR(IF(INDEX(M_pin,$H$3)="","",INDEX(M_pin,$H$3)),""))</f>
        <v/>
      </c>
    </row>
    <row r="21" customFormat="false" ht="15" hidden="false" customHeight="false" outlineLevel="0" collapsed="false">
      <c r="B21" s="50" t="s">
        <v>109</v>
      </c>
      <c r="C21" s="51"/>
    </row>
    <row r="22" customFormat="false" ht="15" hidden="false" customHeight="false" outlineLevel="0" collapsed="false">
      <c r="B22" s="22" t="s">
        <v>172</v>
      </c>
      <c r="C22" s="53" t="str">
        <f aca="false">IF($H$3="","",IFERROR(IF(INDEX(M_fname,$H$3)="","",INDEX(M_fname,$H$3)),""))</f>
        <v/>
      </c>
      <c r="E22" s="50" t="s">
        <v>112</v>
      </c>
      <c r="F22" s="59"/>
    </row>
    <row r="23" customFormat="false" ht="15" hidden="false" customHeight="false" outlineLevel="0" collapsed="false">
      <c r="B23" s="22" t="s">
        <v>76</v>
      </c>
      <c r="C23" s="53" t="str">
        <f aca="false">IF($H$3="","",IFERROR(IF(INDEX(M_sex,$H$3)="","",INDEX(M_sex,$H$3)),""))</f>
        <v/>
      </c>
      <c r="E23" s="22" t="s">
        <v>173</v>
      </c>
      <c r="F23" s="53" t="str">
        <f aca="false">IF($H$3="","",IFERROR(IF(INDEX(M_bank,$H$3)="","",INDEX(M_bank,$H$3)),""))</f>
        <v/>
      </c>
    </row>
    <row r="24" customFormat="false" ht="15" hidden="false" customHeight="false" outlineLevel="0" collapsed="false">
      <c r="B24" s="22" t="s">
        <v>128</v>
      </c>
      <c r="C24" s="53" t="str">
        <f aca="false">IF($H$3="","",IFERROR(IF(INDEX(M_mar,$H$3)="","",INDEX(M_mar,$H$3)),""))</f>
        <v/>
      </c>
      <c r="E24" s="22" t="s">
        <v>145</v>
      </c>
      <c r="F24" s="54" t="str">
        <f aca="false">IF($H$3="","",IFERROR(IF(INDEX(M_acct,$H$3)="","",INDEX(M_acct,$H$3)),""))</f>
        <v/>
      </c>
    </row>
    <row r="25" customFormat="false" ht="15" hidden="false" customHeight="false" outlineLevel="0" collapsed="false">
      <c r="B25" s="22" t="s">
        <v>174</v>
      </c>
      <c r="C25" s="57" t="str">
        <f aca="false">IF($H$3="","",IFERROR(IF(INDEX(M_dob,$H$3)="","",INDEX(M_dob,$H$3)),""))</f>
        <v/>
      </c>
      <c r="E25" s="22" t="s">
        <v>175</v>
      </c>
      <c r="F25" s="54" t="str">
        <f aca="false">IF($H$3="","",IFERROR(IF(INDEX(M_ifsc,$H$3)="","",INDEX(M_ifsc,$H$3)),""))</f>
        <v/>
      </c>
    </row>
    <row r="26" customFormat="false" ht="15" hidden="false" customHeight="false" outlineLevel="0" collapsed="false">
      <c r="B26" s="22" t="s">
        <v>130</v>
      </c>
      <c r="C26" s="60" t="str">
        <f aca="false">IF($H$3="","",IFERROR(IF(INDEX(M_age,$H$3)="","",INDEX(M_age,$H$3)),""))</f>
        <v/>
      </c>
      <c r="E26" s="22" t="s">
        <v>147</v>
      </c>
      <c r="F26" s="53" t="str">
        <f aca="false">IF($H$3="","",IFERROR(IF(INDEX(M_branch,$H$3)="","",INDEX(M_branch,$H$3)),""))</f>
        <v/>
      </c>
    </row>
    <row r="27" customFormat="false" ht="15" hidden="false" customHeight="false" outlineLevel="0" collapsed="false">
      <c r="B27" s="22" t="s">
        <v>131</v>
      </c>
      <c r="C27" s="53" t="str">
        <f aca="false">IF($H$3="","",IFERROR(IF(INDEX(M_blood,$H$3)="","",INDEX(M_blood,$H$3)),""))</f>
        <v/>
      </c>
      <c r="E27" s="22" t="s">
        <v>148</v>
      </c>
      <c r="F27" s="54" t="str">
        <f aca="false">IF($H$3="","",IFERROR(IF(INDEX(M_esic,$H$3)="","",INDEX(M_esic,$H$3)),""))</f>
        <v/>
      </c>
    </row>
    <row r="28" customFormat="false" ht="15" hidden="false" customHeight="false" outlineLevel="0" collapsed="false">
      <c r="B28" s="22" t="s">
        <v>132</v>
      </c>
      <c r="C28" s="54" t="str">
        <f aca="false">IF($H$3="","",IFERROR(IF(INDEX(M_aadhaar,$H$3)="","",INDEX(M_aadhaar,$H$3)),""))</f>
        <v/>
      </c>
      <c r="E28" s="22" t="s">
        <v>149</v>
      </c>
      <c r="F28" s="54" t="str">
        <f aca="false">IF($H$3="","",IFERROR(IF(INDEX(M_uan,$H$3)="","",INDEX(M_uan,$H$3)),""))</f>
        <v/>
      </c>
    </row>
    <row r="29" customFormat="false" ht="15" hidden="false" customHeight="false" outlineLevel="0" collapsed="false">
      <c r="B29" s="22" t="s">
        <v>133</v>
      </c>
      <c r="C29" s="54" t="str">
        <f aca="false">IF($H$3="","",IFERROR(IF(INDEX(M_pan,$H$3)="","",INDEX(M_pan,$H$3)),""))</f>
        <v/>
      </c>
      <c r="E29" s="22" t="s">
        <v>150</v>
      </c>
      <c r="F29" s="54" t="str">
        <f aca="false">IF($H$3="","",IFERROR(IF(INDEX(M_pf,$H$3)="","",INDEX(M_pf,$H$3)),""))</f>
        <v/>
      </c>
    </row>
  </sheetData>
  <mergeCells count="7">
    <mergeCell ref="B5:F5"/>
    <mergeCell ref="B6:F6"/>
    <mergeCell ref="H8:K8"/>
    <mergeCell ref="I9:K9"/>
    <mergeCell ref="I10:K10"/>
    <mergeCell ref="I11:K11"/>
    <mergeCell ref="I12:K12"/>
  </mergeCells>
  <dataValidations count="1">
    <dataValidation allowBlank="true" errorStyle="warning" operator="between" showDropDown="false" showErrorMessage="false" showInputMessage="false" sqref="C3" type="list">
      <formula1>M_emp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B1:D3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78"/>
    <col collapsed="false" customWidth="true" hidden="false" outlineLevel="0" max="5" min="5" style="0" width="2"/>
  </cols>
  <sheetData>
    <row r="1" customFormat="false" ht="19.7" hidden="false" customHeight="false" outlineLevel="0" collapsed="false">
      <c r="B1" s="29" t="s">
        <v>176</v>
      </c>
    </row>
    <row r="2" customFormat="false" ht="15" hidden="false" customHeight="false" outlineLevel="0" collapsed="false">
      <c r="B2" s="25" t="s">
        <v>177</v>
      </c>
    </row>
    <row r="4" customFormat="false" ht="15" hidden="false" customHeight="false" outlineLevel="0" collapsed="false">
      <c r="B4" s="18" t="s">
        <v>178</v>
      </c>
      <c r="C4" s="18" t="s">
        <v>179</v>
      </c>
      <c r="D4" s="18" t="s">
        <v>180</v>
      </c>
    </row>
    <row r="5" customFormat="false" ht="15" hidden="false" customHeight="false" outlineLevel="0" collapsed="false">
      <c r="B5" s="61" t="s">
        <v>181</v>
      </c>
      <c r="C5" s="62" t="s">
        <v>182</v>
      </c>
      <c r="D5" s="63" t="s">
        <v>183</v>
      </c>
    </row>
    <row r="6" customFormat="false" ht="15" hidden="false" customHeight="false" outlineLevel="0" collapsed="false">
      <c r="B6" s="61" t="s">
        <v>184</v>
      </c>
      <c r="C6" s="64" t="n">
        <f aca="true">TODAY()</f>
        <v>46322</v>
      </c>
      <c r="D6" s="63" t="s">
        <v>185</v>
      </c>
    </row>
    <row r="7" customFormat="false" ht="22.35" hidden="true" customHeight="false" outlineLevel="0" collapsed="false">
      <c r="B7" s="61" t="s">
        <v>186</v>
      </c>
      <c r="C7" s="65" t="n">
        <f aca="false">YEAR(C6)</f>
        <v>2026</v>
      </c>
      <c r="D7" s="63" t="s">
        <v>187</v>
      </c>
    </row>
    <row r="8" customFormat="false" ht="15" hidden="false" customHeight="false" outlineLevel="0" collapsed="false">
      <c r="B8" s="61" t="s">
        <v>188</v>
      </c>
      <c r="C8" s="66" t="str">
        <f aca="false">IF(MONTH(C6)&gt;=4,YEAR(C6),YEAR(C6)-1)&amp;"-"&amp;RIGHT(IF(MONTH(C6)&gt;=4,YEAR(C6),YEAR(C6)-1)+1,2)</f>
        <v>2026-27</v>
      </c>
      <c r="D8" s="63" t="s">
        <v>189</v>
      </c>
    </row>
    <row r="9" customFormat="false" ht="15" hidden="true" customHeight="false" outlineLevel="0" collapsed="false">
      <c r="B9" s="61" t="s">
        <v>190</v>
      </c>
      <c r="C9" s="67" t="n">
        <f aca="false">MIN(C6,DATE(C7,12,31))</f>
        <v>46322</v>
      </c>
      <c r="D9" s="63" t="s">
        <v>191</v>
      </c>
    </row>
    <row r="10" customFormat="false" ht="15" hidden="true" customHeight="false" outlineLevel="0" collapsed="false">
      <c r="B10" s="61" t="s">
        <v>192</v>
      </c>
      <c r="C10" s="68" t="n">
        <v>7</v>
      </c>
      <c r="D10" s="63" t="s">
        <v>193</v>
      </c>
    </row>
    <row r="11" customFormat="false" ht="15" hidden="true" customHeight="false" outlineLevel="0" collapsed="false">
      <c r="B11" s="61" t="s">
        <v>194</v>
      </c>
      <c r="C11" s="68" t="n">
        <v>7</v>
      </c>
      <c r="D11" s="63" t="s">
        <v>193</v>
      </c>
    </row>
    <row r="12" customFormat="false" ht="15" hidden="true" customHeight="false" outlineLevel="0" collapsed="false">
      <c r="B12" s="61" t="s">
        <v>195</v>
      </c>
      <c r="C12" s="68" t="n">
        <v>18</v>
      </c>
      <c r="D12" s="63" t="s">
        <v>196</v>
      </c>
    </row>
    <row r="13" customFormat="false" ht="15" hidden="false" customHeight="false" outlineLevel="0" collapsed="false">
      <c r="B13" s="61" t="s">
        <v>197</v>
      </c>
      <c r="C13" s="65" t="n">
        <v>90</v>
      </c>
      <c r="D13" s="63" t="s">
        <v>198</v>
      </c>
    </row>
    <row r="14" customFormat="false" ht="15" hidden="true" customHeight="false" outlineLevel="0" collapsed="false">
      <c r="B14" s="61" t="s">
        <v>199</v>
      </c>
      <c r="C14" s="65" t="n">
        <v>0</v>
      </c>
      <c r="D14" s="63" t="s">
        <v>200</v>
      </c>
    </row>
    <row r="15" customFormat="false" ht="23.85" hidden="true" customHeight="false" outlineLevel="0" collapsed="false">
      <c r="B15" s="61" t="s">
        <v>201</v>
      </c>
      <c r="C15" s="68" t="n">
        <v>3</v>
      </c>
      <c r="D15" s="63" t="s">
        <v>202</v>
      </c>
    </row>
    <row r="16" customFormat="false" ht="15" hidden="true" customHeight="false" outlineLevel="0" collapsed="false">
      <c r="B16" s="61" t="s">
        <v>203</v>
      </c>
      <c r="C16" s="65" t="n">
        <v>3</v>
      </c>
      <c r="D16" s="63" t="s">
        <v>193</v>
      </c>
    </row>
    <row r="17" customFormat="false" ht="15" hidden="true" customHeight="false" outlineLevel="0" collapsed="false">
      <c r="B17" s="61" t="s">
        <v>204</v>
      </c>
      <c r="C17" s="68" t="n">
        <v>0.5</v>
      </c>
      <c r="D17" s="63" t="s">
        <v>193</v>
      </c>
    </row>
    <row r="18" customFormat="false" ht="15" hidden="false" customHeight="false" outlineLevel="0" collapsed="false">
      <c r="B18" s="61" t="s">
        <v>205</v>
      </c>
      <c r="C18" s="65" t="n">
        <v>30</v>
      </c>
      <c r="D18" s="63" t="s">
        <v>206</v>
      </c>
    </row>
    <row r="21" customFormat="false" ht="15" hidden="true" customHeight="false" outlineLevel="0" collapsed="false">
      <c r="B21" s="30" t="s">
        <v>207</v>
      </c>
    </row>
    <row r="22" customFormat="false" ht="15" hidden="true" customHeight="false" outlineLevel="0" collapsed="false">
      <c r="B22" s="18" t="s">
        <v>208</v>
      </c>
      <c r="C22" s="18" t="s">
        <v>209</v>
      </c>
      <c r="D22" s="18" t="s">
        <v>210</v>
      </c>
    </row>
    <row r="23" customFormat="false" ht="15" hidden="true" customHeight="false" outlineLevel="0" collapsed="false">
      <c r="B23" s="69" t="s">
        <v>211</v>
      </c>
      <c r="C23" s="7" t="s">
        <v>212</v>
      </c>
      <c r="D23" s="61" t="s">
        <v>213</v>
      </c>
    </row>
    <row r="24" customFormat="false" ht="15" hidden="true" customHeight="false" outlineLevel="0" collapsed="false">
      <c r="B24" s="69" t="s">
        <v>214</v>
      </c>
      <c r="C24" s="7" t="s">
        <v>215</v>
      </c>
      <c r="D24" s="61" t="s">
        <v>216</v>
      </c>
    </row>
    <row r="25" customFormat="false" ht="15" hidden="true" customHeight="false" outlineLevel="0" collapsed="false">
      <c r="B25" s="69" t="s">
        <v>217</v>
      </c>
      <c r="C25" s="7" t="s">
        <v>218</v>
      </c>
      <c r="D25" s="61" t="s">
        <v>219</v>
      </c>
    </row>
    <row r="26" customFormat="false" ht="15" hidden="true" customHeight="false" outlineLevel="0" collapsed="false">
      <c r="B26" s="69" t="s">
        <v>220</v>
      </c>
      <c r="C26" s="7" t="s">
        <v>221</v>
      </c>
      <c r="D26" s="61" t="s">
        <v>222</v>
      </c>
    </row>
    <row r="27" customFormat="false" ht="15" hidden="true" customHeight="false" outlineLevel="0" collapsed="false">
      <c r="B27" s="69" t="s">
        <v>223</v>
      </c>
      <c r="C27" s="7" t="s">
        <v>224</v>
      </c>
      <c r="D27" s="61" t="s">
        <v>225</v>
      </c>
    </row>
    <row r="28" customFormat="false" ht="15" hidden="true" customHeight="false" outlineLevel="0" collapsed="false">
      <c r="B28" s="69" t="s">
        <v>226</v>
      </c>
      <c r="C28" s="7" t="s">
        <v>227</v>
      </c>
      <c r="D28" s="61" t="s">
        <v>228</v>
      </c>
    </row>
    <row r="29" customFormat="false" ht="15" hidden="true" customHeight="false" outlineLevel="0" collapsed="false">
      <c r="B29" s="69" t="s">
        <v>229</v>
      </c>
      <c r="C29" s="7" t="s">
        <v>230</v>
      </c>
      <c r="D29" s="61" t="s">
        <v>231</v>
      </c>
    </row>
    <row r="30" customFormat="false" ht="15" hidden="true" customHeight="false" outlineLevel="0" collapsed="false">
      <c r="B30" s="69" t="s">
        <v>232</v>
      </c>
      <c r="C30" s="7" t="s">
        <v>233</v>
      </c>
      <c r="D30" s="61" t="s">
        <v>234</v>
      </c>
    </row>
    <row r="31" customFormat="false" ht="15" hidden="true" customHeight="false" outlineLevel="0" collapsed="false">
      <c r="B31" s="69" t="s">
        <v>235</v>
      </c>
      <c r="C31" s="7" t="s">
        <v>236</v>
      </c>
      <c r="D31" s="61" t="s">
        <v>237</v>
      </c>
    </row>
    <row r="32" customFormat="false" ht="15" hidden="true" customHeight="false" outlineLevel="0" collapsed="false">
      <c r="B32" s="69" t="s">
        <v>238</v>
      </c>
      <c r="C32" s="7" t="s">
        <v>239</v>
      </c>
      <c r="D32" s="61" t="s">
        <v>213</v>
      </c>
    </row>
    <row r="33" customFormat="false" ht="15" hidden="true" customHeight="false" outlineLevel="0" collapsed="false">
      <c r="B33" s="69" t="s">
        <v>240</v>
      </c>
      <c r="C33" s="7" t="s">
        <v>241</v>
      </c>
      <c r="D33" s="61" t="s">
        <v>213</v>
      </c>
    </row>
    <row r="34" customFormat="false" ht="15" hidden="true" customHeight="false" outlineLevel="0" collapsed="false">
      <c r="B34" s="69" t="s">
        <v>242</v>
      </c>
      <c r="C34" s="7" t="s">
        <v>243</v>
      </c>
      <c r="D34" s="61" t="s">
        <v>213</v>
      </c>
    </row>
    <row r="35" customFormat="false" ht="15" hidden="true" customHeight="false" outlineLevel="0" collapsed="false">
      <c r="B35" s="69" t="s">
        <v>244</v>
      </c>
      <c r="C35" s="7" t="s">
        <v>245</v>
      </c>
      <c r="D35" s="61" t="s">
        <v>246</v>
      </c>
    </row>
    <row r="36" customFormat="false" ht="15" hidden="true" customHeight="false" outlineLevel="0" collapsed="false"/>
    <row r="37" customFormat="false" ht="15" hidden="true" customHeight="false" outlineLevel="0" collapsed="false">
      <c r="B37" s="2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4"/>
  </cols>
  <sheetData>
    <row r="1" customFormat="false" ht="19.7" hidden="false" customHeight="false" outlineLevel="0" collapsed="false">
      <c r="A1" s="29" t="s">
        <v>248</v>
      </c>
    </row>
    <row r="2" customFormat="false" ht="15" hidden="false" customHeight="false" outlineLevel="0" collapsed="false">
      <c r="A2" s="25" t="s">
        <v>249</v>
      </c>
    </row>
    <row r="4" customFormat="false" ht="15" hidden="false" customHeight="false" outlineLevel="0" collapsed="false">
      <c r="A4" s="18" t="s">
        <v>67</v>
      </c>
      <c r="B4" s="18" t="s">
        <v>73</v>
      </c>
      <c r="C4" s="18" t="s">
        <v>120</v>
      </c>
      <c r="D4" s="18" t="s">
        <v>76</v>
      </c>
      <c r="E4" s="18" t="s">
        <v>128</v>
      </c>
      <c r="F4" s="18" t="s">
        <v>131</v>
      </c>
      <c r="G4" s="18" t="s">
        <v>20</v>
      </c>
      <c r="H4" s="18" t="s">
        <v>124</v>
      </c>
      <c r="I4" s="18" t="s">
        <v>142</v>
      </c>
      <c r="J4" s="18" t="s">
        <v>173</v>
      </c>
    </row>
    <row r="5" customFormat="false" ht="15" hidden="false" customHeight="false" outlineLevel="0" collapsed="false">
      <c r="A5" s="8" t="s">
        <v>250</v>
      </c>
      <c r="B5" s="8" t="s">
        <v>251</v>
      </c>
      <c r="C5" s="8" t="s">
        <v>252</v>
      </c>
      <c r="D5" s="8" t="s">
        <v>253</v>
      </c>
      <c r="E5" s="8" t="s">
        <v>254</v>
      </c>
      <c r="F5" s="8" t="s">
        <v>255</v>
      </c>
      <c r="G5" s="8" t="s">
        <v>256</v>
      </c>
      <c r="H5" s="8" t="s">
        <v>257</v>
      </c>
      <c r="I5" s="8" t="s">
        <v>258</v>
      </c>
      <c r="J5" s="8" t="s">
        <v>259</v>
      </c>
    </row>
    <row r="6" customFormat="false" ht="15" hidden="false" customHeight="false" outlineLevel="0" collapsed="false">
      <c r="A6" s="8" t="s">
        <v>260</v>
      </c>
      <c r="B6" s="8" t="s">
        <v>261</v>
      </c>
      <c r="C6" s="8" t="s">
        <v>262</v>
      </c>
      <c r="D6" s="8" t="s">
        <v>263</v>
      </c>
      <c r="E6" s="8" t="s">
        <v>264</v>
      </c>
      <c r="F6" s="8" t="s">
        <v>265</v>
      </c>
      <c r="G6" s="8" t="s">
        <v>266</v>
      </c>
      <c r="H6" s="8" t="s">
        <v>267</v>
      </c>
      <c r="I6" s="8" t="s">
        <v>268</v>
      </c>
      <c r="J6" s="8" t="s">
        <v>269</v>
      </c>
    </row>
    <row r="7" customFormat="false" ht="15" hidden="false" customHeight="false" outlineLevel="0" collapsed="false">
      <c r="A7" s="8" t="s">
        <v>270</v>
      </c>
      <c r="B7" s="8"/>
      <c r="C7" s="8" t="s">
        <v>271</v>
      </c>
      <c r="D7" s="8" t="s">
        <v>272</v>
      </c>
      <c r="E7" s="8" t="s">
        <v>273</v>
      </c>
      <c r="F7" s="8" t="s">
        <v>274</v>
      </c>
      <c r="G7" s="8"/>
      <c r="H7" s="8" t="s">
        <v>275</v>
      </c>
      <c r="I7" s="8" t="s">
        <v>276</v>
      </c>
      <c r="J7" s="8" t="s">
        <v>277</v>
      </c>
    </row>
    <row r="8" customFormat="false" ht="15" hidden="false" customHeight="false" outlineLevel="0" collapsed="false">
      <c r="A8" s="8" t="s">
        <v>278</v>
      </c>
      <c r="B8" s="8"/>
      <c r="C8" s="8" t="s">
        <v>279</v>
      </c>
      <c r="E8" s="8" t="s">
        <v>280</v>
      </c>
      <c r="F8" s="8" t="s">
        <v>281</v>
      </c>
      <c r="G8" s="8"/>
      <c r="H8" s="8" t="s">
        <v>282</v>
      </c>
      <c r="I8" s="8" t="s">
        <v>283</v>
      </c>
      <c r="J8" s="8" t="s">
        <v>284</v>
      </c>
    </row>
    <row r="9" customFormat="false" ht="15" hidden="false" customHeight="false" outlineLevel="0" collapsed="false">
      <c r="A9" s="8" t="s">
        <v>285</v>
      </c>
      <c r="B9" s="8"/>
      <c r="C9" s="8" t="s">
        <v>286</v>
      </c>
      <c r="F9" s="8" t="s">
        <v>287</v>
      </c>
      <c r="G9" s="8"/>
      <c r="H9" s="8" t="s">
        <v>288</v>
      </c>
      <c r="I9" s="8" t="s">
        <v>289</v>
      </c>
      <c r="J9" s="8" t="s">
        <v>290</v>
      </c>
    </row>
    <row r="10" customFormat="false" ht="15" hidden="false" customHeight="false" outlineLevel="0" collapsed="false">
      <c r="A10" s="8" t="s">
        <v>291</v>
      </c>
      <c r="B10" s="8"/>
      <c r="C10" s="8"/>
      <c r="F10" s="8" t="s">
        <v>292</v>
      </c>
      <c r="G10" s="8"/>
      <c r="H10" s="8" t="s">
        <v>293</v>
      </c>
      <c r="I10" s="8" t="s">
        <v>294</v>
      </c>
      <c r="J10" s="8" t="s">
        <v>295</v>
      </c>
    </row>
    <row r="11" customFormat="false" ht="15" hidden="false" customHeight="false" outlineLevel="0" collapsed="false">
      <c r="A11" s="8" t="s">
        <v>296</v>
      </c>
      <c r="B11" s="8"/>
      <c r="C11" s="8"/>
      <c r="F11" s="8" t="s">
        <v>297</v>
      </c>
      <c r="G11" s="8"/>
      <c r="H11" s="8" t="s">
        <v>272</v>
      </c>
      <c r="I11" s="8" t="s">
        <v>298</v>
      </c>
      <c r="J11" s="8" t="s">
        <v>299</v>
      </c>
    </row>
    <row r="12" customFormat="false" ht="15" hidden="false" customHeight="false" outlineLevel="0" collapsed="false">
      <c r="A12" s="8" t="s">
        <v>300</v>
      </c>
      <c r="B12" s="8"/>
      <c r="C12" s="8"/>
      <c r="F12" s="8" t="s">
        <v>301</v>
      </c>
      <c r="G12" s="8"/>
      <c r="H12" s="8"/>
      <c r="I12" s="8" t="s">
        <v>302</v>
      </c>
      <c r="J12" s="8" t="s">
        <v>303</v>
      </c>
    </row>
    <row r="13" customFormat="false" ht="15" hidden="false" customHeight="false" outlineLevel="0" collapsed="false">
      <c r="A13" s="8"/>
      <c r="B13" s="8"/>
      <c r="C13" s="8"/>
      <c r="G13" s="8"/>
      <c r="H13" s="8"/>
      <c r="I13" s="8" t="s">
        <v>304</v>
      </c>
      <c r="J13" s="8" t="s">
        <v>305</v>
      </c>
    </row>
    <row r="14" customFormat="false" ht="15" hidden="false" customHeight="false" outlineLevel="0" collapsed="false">
      <c r="A14" s="8"/>
      <c r="B14" s="8"/>
      <c r="C14" s="8"/>
      <c r="G14" s="8"/>
      <c r="H14" s="8"/>
      <c r="I14" s="8" t="s">
        <v>306</v>
      </c>
      <c r="J14" s="8" t="s">
        <v>307</v>
      </c>
    </row>
    <row r="15" customFormat="false" ht="15" hidden="false" customHeight="false" outlineLevel="0" collapsed="false">
      <c r="A15" s="8"/>
      <c r="C15" s="8"/>
      <c r="I15" s="8" t="s">
        <v>308</v>
      </c>
      <c r="J15" s="8" t="s">
        <v>309</v>
      </c>
    </row>
    <row r="16" customFormat="false" ht="15" hidden="false" customHeight="false" outlineLevel="0" collapsed="false">
      <c r="A16" s="8"/>
      <c r="C16" s="8"/>
      <c r="I16" s="8" t="s">
        <v>310</v>
      </c>
      <c r="J16" s="8" t="s">
        <v>311</v>
      </c>
    </row>
    <row r="17" customFormat="false" ht="15" hidden="false" customHeight="false" outlineLevel="0" collapsed="false">
      <c r="C17" s="8"/>
      <c r="I17" s="8" t="s">
        <v>312</v>
      </c>
      <c r="J17" s="8" t="s">
        <v>313</v>
      </c>
    </row>
    <row r="18" customFormat="false" ht="15" hidden="false" customHeight="false" outlineLevel="0" collapsed="false">
      <c r="C18" s="8"/>
      <c r="I18" s="8" t="s">
        <v>314</v>
      </c>
      <c r="J18" s="8" t="s">
        <v>315</v>
      </c>
    </row>
    <row r="19" customFormat="false" ht="15" hidden="false" customHeight="false" outlineLevel="0" collapsed="false">
      <c r="C19" s="8"/>
      <c r="I19" s="8" t="s">
        <v>316</v>
      </c>
      <c r="J19" s="8" t="s">
        <v>317</v>
      </c>
    </row>
    <row r="20" customFormat="false" ht="15" hidden="false" customHeight="false" outlineLevel="0" collapsed="false">
      <c r="C20" s="8"/>
      <c r="I20" s="8" t="s">
        <v>318</v>
      </c>
      <c r="J20" s="8" t="s">
        <v>319</v>
      </c>
    </row>
    <row r="21" customFormat="false" ht="15" hidden="false" customHeight="false" outlineLevel="0" collapsed="false">
      <c r="C21" s="8"/>
      <c r="I21" s="8" t="s">
        <v>320</v>
      </c>
      <c r="J21" s="8" t="s">
        <v>321</v>
      </c>
    </row>
    <row r="22" customFormat="false" ht="15" hidden="false" customHeight="false" outlineLevel="0" collapsed="false">
      <c r="C22" s="8"/>
      <c r="I22" s="8" t="s">
        <v>322</v>
      </c>
      <c r="J22" s="8" t="s">
        <v>323</v>
      </c>
    </row>
    <row r="23" customFormat="false" ht="15" hidden="false" customHeight="false" outlineLevel="0" collapsed="false">
      <c r="C23" s="8"/>
      <c r="I23" s="8" t="s">
        <v>324</v>
      </c>
      <c r="J23" s="8" t="s">
        <v>325</v>
      </c>
    </row>
    <row r="24" customFormat="false" ht="15" hidden="false" customHeight="false" outlineLevel="0" collapsed="false">
      <c r="C24" s="8"/>
      <c r="I24" s="8" t="s">
        <v>326</v>
      </c>
      <c r="J24" s="8" t="s">
        <v>327</v>
      </c>
    </row>
    <row r="25" customFormat="false" ht="15" hidden="false" customHeight="false" outlineLevel="0" collapsed="false">
      <c r="C25" s="8"/>
      <c r="I25" s="8" t="s">
        <v>328</v>
      </c>
      <c r="J25" s="8" t="s">
        <v>329</v>
      </c>
    </row>
    <row r="26" customFormat="false" ht="15" hidden="false" customHeight="false" outlineLevel="0" collapsed="false">
      <c r="C26" s="8"/>
      <c r="I26" s="8" t="s">
        <v>330</v>
      </c>
      <c r="J26" s="8" t="s">
        <v>331</v>
      </c>
    </row>
    <row r="27" customFormat="false" ht="15" hidden="false" customHeight="false" outlineLevel="0" collapsed="false">
      <c r="C27" s="8"/>
      <c r="I27" s="8" t="s">
        <v>332</v>
      </c>
      <c r="J27" s="8" t="s">
        <v>333</v>
      </c>
    </row>
    <row r="28" customFormat="false" ht="15" hidden="false" customHeight="false" outlineLevel="0" collapsed="false">
      <c r="C28" s="8"/>
      <c r="I28" s="8" t="s">
        <v>334</v>
      </c>
      <c r="J28" s="8" t="s">
        <v>335</v>
      </c>
    </row>
    <row r="29" customFormat="false" ht="15" hidden="false" customHeight="false" outlineLevel="0" collapsed="false">
      <c r="C29" s="8"/>
      <c r="I29" s="8" t="s">
        <v>336</v>
      </c>
      <c r="J29" s="8" t="s">
        <v>272</v>
      </c>
    </row>
    <row r="30" customFormat="false" ht="15" hidden="false" customHeight="false" outlineLevel="0" collapsed="false">
      <c r="C30" s="8"/>
      <c r="I30" s="8" t="s">
        <v>337</v>
      </c>
      <c r="J30" s="8"/>
    </row>
    <row r="31" customFormat="false" ht="15" hidden="false" customHeight="false" outlineLevel="0" collapsed="false">
      <c r="C31" s="8"/>
      <c r="I31" s="8" t="s">
        <v>338</v>
      </c>
      <c r="J31" s="8"/>
    </row>
    <row r="32" customFormat="false" ht="15" hidden="false" customHeight="false" outlineLevel="0" collapsed="false">
      <c r="C32" s="8"/>
      <c r="I32" s="8" t="s">
        <v>339</v>
      </c>
      <c r="J32" s="8"/>
    </row>
    <row r="33" customFormat="false" ht="15" hidden="false" customHeight="false" outlineLevel="0" collapsed="false">
      <c r="C33" s="8"/>
      <c r="I33" s="8" t="s">
        <v>340</v>
      </c>
      <c r="J33" s="8"/>
    </row>
    <row r="34" customFormat="false" ht="15" hidden="false" customHeight="false" outlineLevel="0" collapsed="false">
      <c r="C34" s="8"/>
      <c r="I34" s="8" t="s">
        <v>341</v>
      </c>
      <c r="J34" s="8"/>
    </row>
    <row r="35" customFormat="false" ht="15" hidden="false" customHeight="false" outlineLevel="0" collapsed="false">
      <c r="C35" s="8"/>
      <c r="I35" s="8" t="s">
        <v>342</v>
      </c>
      <c r="J35" s="8"/>
    </row>
    <row r="36" customFormat="false" ht="15" hidden="false" customHeight="false" outlineLevel="0" collapsed="false">
      <c r="C36" s="8"/>
      <c r="I36" s="8" t="s">
        <v>343</v>
      </c>
      <c r="J36" s="8"/>
    </row>
    <row r="37" customFormat="false" ht="15" hidden="false" customHeight="false" outlineLevel="0" collapsed="false">
      <c r="C37" s="8"/>
      <c r="I37" s="8" t="s">
        <v>344</v>
      </c>
      <c r="J37" s="8"/>
    </row>
    <row r="38" customFormat="false" ht="15" hidden="false" customHeight="false" outlineLevel="0" collapsed="false">
      <c r="C38" s="8"/>
      <c r="I38" s="8" t="s">
        <v>345</v>
      </c>
      <c r="J38" s="8"/>
    </row>
    <row r="39" customFormat="false" ht="15" hidden="false" customHeight="false" outlineLevel="0" collapsed="false">
      <c r="C39" s="8"/>
      <c r="I39" s="8" t="s">
        <v>346</v>
      </c>
      <c r="J39" s="8"/>
    </row>
    <row r="40" customFormat="false" ht="15" hidden="false" customHeight="false" outlineLevel="0" collapsed="false">
      <c r="C40" s="8"/>
      <c r="I40" s="8" t="s">
        <v>347</v>
      </c>
      <c r="J40" s="8"/>
    </row>
    <row r="41" customFormat="false" ht="15" hidden="false" customHeight="false" outlineLevel="0" collapsed="false">
      <c r="C41" s="8"/>
      <c r="I41" s="8"/>
      <c r="J41" s="8"/>
    </row>
    <row r="42" customFormat="false" ht="15" hidden="false" customHeight="false" outlineLevel="0" collapsed="false">
      <c r="C42" s="8"/>
      <c r="I42" s="8"/>
      <c r="J42" s="8"/>
    </row>
    <row r="43" customFormat="false" ht="15" hidden="false" customHeight="false" outlineLevel="0" collapsed="false">
      <c r="C43" s="8"/>
      <c r="I43" s="8"/>
      <c r="J43" s="8"/>
    </row>
    <row r="44" customFormat="false" ht="15" hidden="false" customHeight="false" outlineLevel="0" collapsed="false">
      <c r="C44" s="8"/>
      <c r="I44" s="8"/>
      <c r="J44" s="8"/>
    </row>
    <row r="45" customFormat="false" ht="15" hidden="false" customHeight="false" outlineLevel="0" collapsed="false">
      <c r="J45" s="8"/>
    </row>
    <row r="46" customFormat="false" ht="15" hidden="false" customHeight="false" outlineLevel="0" collapsed="false">
      <c r="J46" s="8"/>
    </row>
    <row r="47" customFormat="false" ht="15" hidden="false" customHeight="false" outlineLevel="0" collapsed="false">
      <c r="J47" s="8"/>
    </row>
    <row r="48" customFormat="false" ht="15" hidden="false" customHeight="false" outlineLevel="0" collapsed="false">
      <c r="J48" s="8"/>
    </row>
    <row r="49" customFormat="false" ht="15" hidden="false" customHeight="false" outlineLevel="0" collapsed="false">
      <c r="J49" s="8"/>
    </row>
    <row r="50" customFormat="false" ht="15" hidden="false" customHeight="false" outlineLevel="0" collapsed="false">
      <c r="J50" s="8"/>
    </row>
    <row r="51" customFormat="false" ht="15" hidden="false" customHeight="false" outlineLevel="0" collapsed="false">
      <c r="J51" s="8"/>
    </row>
    <row r="52" customFormat="false" ht="15" hidden="false" customHeight="false" outlineLevel="0" collapsed="false">
      <c r="J52" s="8"/>
    </row>
    <row r="53" customFormat="false" ht="15" hidden="false" customHeight="false" outlineLevel="0" collapsed="false">
      <c r="J53" s="8"/>
    </row>
    <row r="54" customFormat="false" ht="15" hidden="false" customHeight="false" outlineLevel="0" collapsed="false">
      <c r="J5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2026-10-27T11:47:19Z</dcterms:created>
  <dc:creator>openpyxl</dc:creator>
  <dc:description/>
  <dc:language>en-US</dc:language>
  <cp:lastModifiedBy/>
  <dcterms:modified xsi:type="dcterms:W3CDTF">2026-10-27T11:47:20Z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